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aleed\Downloads\"/>
    </mc:Choice>
  </mc:AlternateContent>
  <bookViews>
    <workbookView xWindow="0" yWindow="0" windowWidth="23040" windowHeight="8904"/>
  </bookViews>
  <sheets>
    <sheet name="05_Control_Dashboard" sheetId="26" r:id="rId1"/>
    <sheet name="04_EOR_Reconciliation" sheetId="24" r:id="rId2"/>
    <sheet name="03_Payment_Batch" sheetId="21" r:id="rId3"/>
    <sheet name="02_Validation_Engine" sheetId="15" r:id="rId4"/>
    <sheet name="01_Raw_Input" sheetId="14" r:id="rId5"/>
    <sheet name="EOR_Map" sheetId="25" r:id="rId6"/>
    <sheet name="Name_Master" sheetId="20" r:id="rId7"/>
    <sheet name="System_Master_Data" sheetId="19" r:id="rId8"/>
  </sheets>
  <externalReferences>
    <externalReference r:id="rId9"/>
  </externalReferences>
  <definedNames>
    <definedName name="_xlnm._FilterDatabase" localSheetId="4" hidden="1">'01_Raw_Input'!$A$1:$P$351</definedName>
    <definedName name="_xlnm._FilterDatabase" localSheetId="3" hidden="1">'02_Validation_Engine'!$A$1:$X$351</definedName>
    <definedName name="nr_AllowedMonths">'[1]3_Master_Data'!$D$2:$D$4</definedName>
    <definedName name="nr_CostCenters">'[1]3_Master_Data'!$O$2:$O$6</definedName>
    <definedName name="nr_Countries">'[1]3_Master_Data'!$A$2:$A$6</definedName>
    <definedName name="nr_EntityTypes">'[1]3_Master_Data'!$F$2:$F$5</definedName>
    <definedName name="nr_PaymentTypes">'[1]3_Master_Data'!$I$2:$I$5</definedName>
    <definedName name="nr_ProjectCodes">'[1]3_Master_Data'!$Q$2:$Q$5</definedName>
  </definedNames>
  <calcPr calcId="162913"/>
</workbook>
</file>

<file path=xl/calcChain.xml><?xml version="1.0" encoding="utf-8"?>
<calcChain xmlns="http://schemas.openxmlformats.org/spreadsheetml/2006/main">
  <c r="E2" i="26" l="1"/>
  <c r="F2" i="24"/>
  <c r="F3" i="24"/>
  <c r="F4" i="24"/>
  <c r="F5" i="24"/>
  <c r="F6" i="24"/>
  <c r="F7" i="24"/>
  <c r="F8" i="24"/>
  <c r="F9" i="24"/>
  <c r="F10" i="24"/>
  <c r="F11" i="24"/>
  <c r="F12" i="24"/>
  <c r="F13" i="24"/>
  <c r="D2" i="24"/>
  <c r="E2" i="24" s="1"/>
  <c r="D3" i="24"/>
  <c r="E3" i="24" s="1"/>
  <c r="D4" i="24"/>
  <c r="E4" i="24" s="1"/>
  <c r="D5" i="24"/>
  <c r="E5" i="24" s="1"/>
  <c r="D6" i="24"/>
  <c r="E6" i="24" s="1"/>
  <c r="D7" i="24"/>
  <c r="E7" i="24" s="1"/>
  <c r="D8" i="24"/>
  <c r="E8" i="24" s="1"/>
  <c r="D9" i="24"/>
  <c r="E9" i="24" s="1"/>
  <c r="D10" i="24"/>
  <c r="E10" i="24" s="1"/>
  <c r="D11" i="24"/>
  <c r="E11" i="24" s="1"/>
  <c r="D12" i="24"/>
  <c r="E12" i="24" s="1"/>
  <c r="D13" i="24"/>
  <c r="E13" i="24" s="1"/>
  <c r="S2" i="14"/>
  <c r="T2" i="14" s="1"/>
  <c r="S3" i="14"/>
  <c r="T3" i="14" s="1"/>
  <c r="S4" i="14"/>
  <c r="T4" i="14" s="1"/>
  <c r="S5" i="14"/>
  <c r="T5" i="14" s="1"/>
  <c r="S6" i="14"/>
  <c r="T6" i="14" s="1"/>
  <c r="S7" i="14"/>
  <c r="T7" i="14" s="1"/>
  <c r="S8" i="14"/>
  <c r="T8" i="14" s="1"/>
  <c r="S9" i="14"/>
  <c r="T9" i="14" s="1"/>
  <c r="S10" i="14"/>
  <c r="T10" i="14" s="1"/>
  <c r="S11" i="14"/>
  <c r="T11" i="14" s="1"/>
  <c r="S12" i="14"/>
  <c r="T12" i="14" s="1"/>
  <c r="S13" i="14"/>
  <c r="T13" i="14" s="1"/>
  <c r="S14" i="14"/>
  <c r="T14" i="14" s="1"/>
  <c r="S15" i="14"/>
  <c r="T15" i="14" s="1"/>
  <c r="S16" i="14"/>
  <c r="T16" i="14" s="1"/>
  <c r="S17" i="14"/>
  <c r="T17" i="14" s="1"/>
  <c r="S18" i="14"/>
  <c r="T18" i="14" s="1"/>
  <c r="S19" i="14"/>
  <c r="T19" i="14" s="1"/>
  <c r="S20" i="14"/>
  <c r="T20" i="14" s="1"/>
  <c r="S21" i="14"/>
  <c r="T21" i="14" s="1"/>
  <c r="S22" i="14"/>
  <c r="T22" i="14" s="1"/>
  <c r="S23" i="14"/>
  <c r="T23" i="14" s="1"/>
  <c r="S24" i="14"/>
  <c r="T24" i="14" s="1"/>
  <c r="S25" i="14"/>
  <c r="T25" i="14" s="1"/>
  <c r="S26" i="14"/>
  <c r="T26" i="14" s="1"/>
  <c r="S27" i="14"/>
  <c r="T27" i="14" s="1"/>
  <c r="S28" i="14"/>
  <c r="T28" i="14" s="1"/>
  <c r="S29" i="14"/>
  <c r="T29" i="14" s="1"/>
  <c r="S30" i="14"/>
  <c r="T30" i="14" s="1"/>
  <c r="S31" i="14"/>
  <c r="T31" i="14" s="1"/>
  <c r="S32" i="14"/>
  <c r="T32" i="14" s="1"/>
  <c r="S33" i="14"/>
  <c r="T33" i="14" s="1"/>
  <c r="S34" i="14"/>
  <c r="T34" i="14" s="1"/>
  <c r="S35" i="14"/>
  <c r="T35" i="14" s="1"/>
  <c r="S36" i="14"/>
  <c r="T36" i="14" s="1"/>
  <c r="S37" i="14"/>
  <c r="T37" i="14" s="1"/>
  <c r="S38" i="14"/>
  <c r="T38" i="14" s="1"/>
  <c r="S39" i="14"/>
  <c r="T39" i="14" s="1"/>
  <c r="S40" i="14"/>
  <c r="T40" i="14" s="1"/>
  <c r="S41" i="14"/>
  <c r="T41" i="14" s="1"/>
  <c r="S42" i="14"/>
  <c r="T42" i="14" s="1"/>
  <c r="S43" i="14"/>
  <c r="T43" i="14" s="1"/>
  <c r="S44" i="14"/>
  <c r="T44" i="14" s="1"/>
  <c r="S45" i="14"/>
  <c r="T45" i="14" s="1"/>
  <c r="S46" i="14"/>
  <c r="T46" i="14" s="1"/>
  <c r="S47" i="14"/>
  <c r="T47" i="14" s="1"/>
  <c r="S48" i="14"/>
  <c r="T48" i="14" s="1"/>
  <c r="S49" i="14"/>
  <c r="T49" i="14" s="1"/>
  <c r="S50" i="14"/>
  <c r="T50" i="14" s="1"/>
  <c r="S51" i="14"/>
  <c r="T51" i="14" s="1"/>
  <c r="S52" i="14"/>
  <c r="T52" i="14" s="1"/>
  <c r="S53" i="14"/>
  <c r="T53" i="14" s="1"/>
  <c r="S54" i="14"/>
  <c r="T54" i="14" s="1"/>
  <c r="S55" i="14"/>
  <c r="T55" i="14" s="1"/>
  <c r="S56" i="14"/>
  <c r="T56" i="14" s="1"/>
  <c r="S57" i="14"/>
  <c r="T57" i="14" s="1"/>
  <c r="S58" i="14"/>
  <c r="T58" i="14" s="1"/>
  <c r="S59" i="14"/>
  <c r="T59" i="14" s="1"/>
  <c r="S60" i="14"/>
  <c r="T60" i="14" s="1"/>
  <c r="S61" i="14"/>
  <c r="T61" i="14" s="1"/>
  <c r="S62" i="14"/>
  <c r="T62" i="14" s="1"/>
  <c r="S63" i="14"/>
  <c r="T63" i="14" s="1"/>
  <c r="S64" i="14"/>
  <c r="T64" i="14" s="1"/>
  <c r="S65" i="14"/>
  <c r="T65" i="14" s="1"/>
  <c r="S66" i="14"/>
  <c r="T66" i="14" s="1"/>
  <c r="S67" i="14"/>
  <c r="T67" i="14" s="1"/>
  <c r="S68" i="14"/>
  <c r="T68" i="14" s="1"/>
  <c r="S69" i="14"/>
  <c r="T69" i="14" s="1"/>
  <c r="S70" i="14"/>
  <c r="T70" i="14" s="1"/>
  <c r="S71" i="14"/>
  <c r="T71" i="14" s="1"/>
  <c r="S72" i="14"/>
  <c r="T72" i="14" s="1"/>
  <c r="S73" i="14"/>
  <c r="T73" i="14" s="1"/>
  <c r="S74" i="14"/>
  <c r="T74" i="14" s="1"/>
  <c r="S75" i="14"/>
  <c r="T75" i="14" s="1"/>
  <c r="S76" i="14"/>
  <c r="T76" i="14" s="1"/>
  <c r="S77" i="14"/>
  <c r="T77" i="14" s="1"/>
  <c r="S78" i="14"/>
  <c r="T78" i="14" s="1"/>
  <c r="S79" i="14"/>
  <c r="T79" i="14" s="1"/>
  <c r="S80" i="14"/>
  <c r="T80" i="14" s="1"/>
  <c r="S81" i="14"/>
  <c r="T81" i="14" s="1"/>
  <c r="S82" i="14"/>
  <c r="T82" i="14" s="1"/>
  <c r="S83" i="14"/>
  <c r="T83" i="14" s="1"/>
  <c r="S84" i="14"/>
  <c r="T84" i="14" s="1"/>
  <c r="S85" i="14"/>
  <c r="T85" i="14" s="1"/>
  <c r="S86" i="14"/>
  <c r="T86" i="14" s="1"/>
  <c r="S87" i="14"/>
  <c r="T87" i="14" s="1"/>
  <c r="S88" i="14"/>
  <c r="T88" i="14" s="1"/>
  <c r="S89" i="14"/>
  <c r="T89" i="14" s="1"/>
  <c r="S90" i="14"/>
  <c r="T90" i="14" s="1"/>
  <c r="S91" i="14"/>
  <c r="T91" i="14" s="1"/>
  <c r="S92" i="14"/>
  <c r="T92" i="14" s="1"/>
  <c r="S93" i="14"/>
  <c r="T93" i="14" s="1"/>
  <c r="S94" i="14"/>
  <c r="T94" i="14" s="1"/>
  <c r="S95" i="14"/>
  <c r="T95" i="14" s="1"/>
  <c r="S96" i="14"/>
  <c r="T96" i="14" s="1"/>
  <c r="S97" i="14"/>
  <c r="T97" i="14" s="1"/>
  <c r="S98" i="14"/>
  <c r="T98" i="14" s="1"/>
  <c r="S99" i="14"/>
  <c r="T99" i="14" s="1"/>
  <c r="S100" i="14"/>
  <c r="T100" i="14" s="1"/>
  <c r="S101" i="14"/>
  <c r="T101" i="14" s="1"/>
  <c r="S102" i="14"/>
  <c r="T102" i="14" s="1"/>
  <c r="S103" i="14"/>
  <c r="T103" i="14" s="1"/>
  <c r="S104" i="14"/>
  <c r="T104" i="14" s="1"/>
  <c r="S105" i="14"/>
  <c r="T105" i="14" s="1"/>
  <c r="S106" i="14"/>
  <c r="T106" i="14" s="1"/>
  <c r="S107" i="14"/>
  <c r="T107" i="14" s="1"/>
  <c r="S108" i="14"/>
  <c r="T108" i="14" s="1"/>
  <c r="S109" i="14"/>
  <c r="T109" i="14" s="1"/>
  <c r="S110" i="14"/>
  <c r="T110" i="14" s="1"/>
  <c r="S111" i="14"/>
  <c r="T111" i="14" s="1"/>
  <c r="S112" i="14"/>
  <c r="T112" i="14" s="1"/>
  <c r="S113" i="14"/>
  <c r="T113" i="14" s="1"/>
  <c r="S114" i="14"/>
  <c r="T114" i="14" s="1"/>
  <c r="S115" i="14"/>
  <c r="T115" i="14" s="1"/>
  <c r="S116" i="14"/>
  <c r="T116" i="14" s="1"/>
  <c r="S117" i="14"/>
  <c r="T117" i="14" s="1"/>
  <c r="S118" i="14"/>
  <c r="T118" i="14" s="1"/>
  <c r="S119" i="14"/>
  <c r="T119" i="14" s="1"/>
  <c r="S120" i="14"/>
  <c r="T120" i="14" s="1"/>
  <c r="S121" i="14"/>
  <c r="T121" i="14" s="1"/>
  <c r="S122" i="14"/>
  <c r="T122" i="14" s="1"/>
  <c r="S123" i="14"/>
  <c r="T123" i="14" s="1"/>
  <c r="S124" i="14"/>
  <c r="T124" i="14" s="1"/>
  <c r="S125" i="14"/>
  <c r="T125" i="14" s="1"/>
  <c r="S126" i="14"/>
  <c r="T126" i="14" s="1"/>
  <c r="S127" i="14"/>
  <c r="T127" i="14" s="1"/>
  <c r="S128" i="14"/>
  <c r="T128" i="14" s="1"/>
  <c r="S129" i="14"/>
  <c r="T129" i="14" s="1"/>
  <c r="S130" i="14"/>
  <c r="T130" i="14" s="1"/>
  <c r="S131" i="14"/>
  <c r="T131" i="14" s="1"/>
  <c r="S132" i="14"/>
  <c r="T132" i="14" s="1"/>
  <c r="S133" i="14"/>
  <c r="T133" i="14" s="1"/>
  <c r="S134" i="14"/>
  <c r="T134" i="14" s="1"/>
  <c r="S135" i="14"/>
  <c r="T135" i="14" s="1"/>
  <c r="S136" i="14"/>
  <c r="T136" i="14" s="1"/>
  <c r="S137" i="14"/>
  <c r="T137" i="14" s="1"/>
  <c r="S138" i="14"/>
  <c r="T138" i="14" s="1"/>
  <c r="S139" i="14"/>
  <c r="T139" i="14" s="1"/>
  <c r="S140" i="14"/>
  <c r="T140" i="14" s="1"/>
  <c r="S141" i="14"/>
  <c r="T141" i="14" s="1"/>
  <c r="S142" i="14"/>
  <c r="T142" i="14" s="1"/>
  <c r="S143" i="14"/>
  <c r="T143" i="14" s="1"/>
  <c r="S144" i="14"/>
  <c r="T144" i="14" s="1"/>
  <c r="S145" i="14"/>
  <c r="T145" i="14" s="1"/>
  <c r="S146" i="14"/>
  <c r="T146" i="14" s="1"/>
  <c r="S147" i="14"/>
  <c r="T147" i="14" s="1"/>
  <c r="S148" i="14"/>
  <c r="T148" i="14" s="1"/>
  <c r="S149" i="14"/>
  <c r="T149" i="14" s="1"/>
  <c r="S150" i="14"/>
  <c r="T150" i="14" s="1"/>
  <c r="S151" i="14"/>
  <c r="T151" i="14" s="1"/>
  <c r="S152" i="14"/>
  <c r="T152" i="14" s="1"/>
  <c r="S153" i="14"/>
  <c r="T153" i="14" s="1"/>
  <c r="S154" i="14"/>
  <c r="T154" i="14" s="1"/>
  <c r="S155" i="14"/>
  <c r="T155" i="14" s="1"/>
  <c r="S156" i="14"/>
  <c r="T156" i="14" s="1"/>
  <c r="S157" i="14"/>
  <c r="T157" i="14" s="1"/>
  <c r="S158" i="14"/>
  <c r="T158" i="14" s="1"/>
  <c r="S159" i="14"/>
  <c r="T159" i="14" s="1"/>
  <c r="S160" i="14"/>
  <c r="T160" i="14" s="1"/>
  <c r="S161" i="14"/>
  <c r="T161" i="14" s="1"/>
  <c r="S162" i="14"/>
  <c r="T162" i="14" s="1"/>
  <c r="S163" i="14"/>
  <c r="T163" i="14" s="1"/>
  <c r="S164" i="14"/>
  <c r="T164" i="14" s="1"/>
  <c r="S165" i="14"/>
  <c r="T165" i="14" s="1"/>
  <c r="S166" i="14"/>
  <c r="T166" i="14" s="1"/>
  <c r="S167" i="14"/>
  <c r="T167" i="14" s="1"/>
  <c r="S168" i="14"/>
  <c r="T168" i="14" s="1"/>
  <c r="S169" i="14"/>
  <c r="T169" i="14" s="1"/>
  <c r="S170" i="14"/>
  <c r="T170" i="14" s="1"/>
  <c r="S171" i="14"/>
  <c r="T171" i="14" s="1"/>
  <c r="S172" i="14"/>
  <c r="T172" i="14" s="1"/>
  <c r="S173" i="14"/>
  <c r="T173" i="14" s="1"/>
  <c r="S174" i="14"/>
  <c r="T174" i="14" s="1"/>
  <c r="S175" i="14"/>
  <c r="T175" i="14" s="1"/>
  <c r="S176" i="14"/>
  <c r="T176" i="14" s="1"/>
  <c r="S177" i="14"/>
  <c r="T177" i="14" s="1"/>
  <c r="S178" i="14"/>
  <c r="T178" i="14" s="1"/>
  <c r="S179" i="14"/>
  <c r="T179" i="14" s="1"/>
  <c r="S180" i="14"/>
  <c r="T180" i="14" s="1"/>
  <c r="S181" i="14"/>
  <c r="T181" i="14" s="1"/>
  <c r="S182" i="14"/>
  <c r="T182" i="14" s="1"/>
  <c r="S183" i="14"/>
  <c r="T183" i="14" s="1"/>
  <c r="S184" i="14"/>
  <c r="T184" i="14" s="1"/>
  <c r="S185" i="14"/>
  <c r="T185" i="14" s="1"/>
  <c r="S186" i="14"/>
  <c r="T186" i="14" s="1"/>
  <c r="S187" i="14"/>
  <c r="T187" i="14" s="1"/>
  <c r="S188" i="14"/>
  <c r="T188" i="14" s="1"/>
  <c r="S189" i="14"/>
  <c r="T189" i="14" s="1"/>
  <c r="S190" i="14"/>
  <c r="T190" i="14" s="1"/>
  <c r="S191" i="14"/>
  <c r="T191" i="14" s="1"/>
  <c r="S192" i="14"/>
  <c r="T192" i="14" s="1"/>
  <c r="S193" i="14"/>
  <c r="T193" i="14" s="1"/>
  <c r="S194" i="14"/>
  <c r="T194" i="14" s="1"/>
  <c r="S195" i="14"/>
  <c r="T195" i="14" s="1"/>
  <c r="S196" i="14"/>
  <c r="T196" i="14" s="1"/>
  <c r="S197" i="14"/>
  <c r="T197" i="14" s="1"/>
  <c r="S198" i="14"/>
  <c r="T198" i="14" s="1"/>
  <c r="S199" i="14"/>
  <c r="T199" i="14" s="1"/>
  <c r="S200" i="14"/>
  <c r="T200" i="14" s="1"/>
  <c r="S201" i="14"/>
  <c r="T201" i="14" s="1"/>
  <c r="S202" i="14"/>
  <c r="T202" i="14" s="1"/>
  <c r="S203" i="14"/>
  <c r="T203" i="14" s="1"/>
  <c r="S204" i="14"/>
  <c r="T204" i="14" s="1"/>
  <c r="S205" i="14"/>
  <c r="T205" i="14" s="1"/>
  <c r="S206" i="14"/>
  <c r="T206" i="14" s="1"/>
  <c r="S207" i="14"/>
  <c r="T207" i="14" s="1"/>
  <c r="S208" i="14"/>
  <c r="T208" i="14" s="1"/>
  <c r="S209" i="14"/>
  <c r="T209" i="14" s="1"/>
  <c r="S210" i="14"/>
  <c r="T210" i="14" s="1"/>
  <c r="S211" i="14"/>
  <c r="T211" i="14" s="1"/>
  <c r="S212" i="14"/>
  <c r="T212" i="14" s="1"/>
  <c r="S213" i="14"/>
  <c r="T213" i="14" s="1"/>
  <c r="S214" i="14"/>
  <c r="T214" i="14" s="1"/>
  <c r="S215" i="14"/>
  <c r="T215" i="14" s="1"/>
  <c r="S216" i="14"/>
  <c r="T216" i="14" s="1"/>
  <c r="S217" i="14"/>
  <c r="T217" i="14" s="1"/>
  <c r="S218" i="14"/>
  <c r="T218" i="14" s="1"/>
  <c r="S219" i="14"/>
  <c r="T219" i="14" s="1"/>
  <c r="S220" i="14"/>
  <c r="T220" i="14" s="1"/>
  <c r="S221" i="14"/>
  <c r="T221" i="14" s="1"/>
  <c r="S222" i="14"/>
  <c r="T222" i="14" s="1"/>
  <c r="S223" i="14"/>
  <c r="T223" i="14" s="1"/>
  <c r="S224" i="14"/>
  <c r="T224" i="14" s="1"/>
  <c r="S225" i="14"/>
  <c r="T225" i="14" s="1"/>
  <c r="S226" i="14"/>
  <c r="T226" i="14" s="1"/>
  <c r="S227" i="14"/>
  <c r="T227" i="14" s="1"/>
  <c r="S228" i="14"/>
  <c r="T228" i="14" s="1"/>
  <c r="S229" i="14"/>
  <c r="T229" i="14" s="1"/>
  <c r="S230" i="14"/>
  <c r="T230" i="14" s="1"/>
  <c r="S231" i="14"/>
  <c r="T231" i="14" s="1"/>
  <c r="S232" i="14"/>
  <c r="T232" i="14" s="1"/>
  <c r="S233" i="14"/>
  <c r="T233" i="14" s="1"/>
  <c r="S234" i="14"/>
  <c r="T234" i="14" s="1"/>
  <c r="S235" i="14"/>
  <c r="T235" i="14" s="1"/>
  <c r="S236" i="14"/>
  <c r="T236" i="14" s="1"/>
  <c r="S237" i="14"/>
  <c r="T237" i="14" s="1"/>
  <c r="S238" i="14"/>
  <c r="T238" i="14" s="1"/>
  <c r="S239" i="14"/>
  <c r="T239" i="14" s="1"/>
  <c r="S240" i="14"/>
  <c r="T240" i="14" s="1"/>
  <c r="S241" i="14"/>
  <c r="T241" i="14" s="1"/>
  <c r="S242" i="14"/>
  <c r="T242" i="14" s="1"/>
  <c r="S243" i="14"/>
  <c r="T243" i="14" s="1"/>
  <c r="S244" i="14"/>
  <c r="T244" i="14" s="1"/>
  <c r="S245" i="14"/>
  <c r="T245" i="14" s="1"/>
  <c r="S246" i="14"/>
  <c r="T246" i="14" s="1"/>
  <c r="S247" i="14"/>
  <c r="T247" i="14" s="1"/>
  <c r="S248" i="14"/>
  <c r="T248" i="14" s="1"/>
  <c r="S249" i="14"/>
  <c r="T249" i="14" s="1"/>
  <c r="S250" i="14"/>
  <c r="T250" i="14" s="1"/>
  <c r="S251" i="14"/>
  <c r="T251" i="14" s="1"/>
  <c r="S252" i="14"/>
  <c r="T252" i="14" s="1"/>
  <c r="S253" i="14"/>
  <c r="T253" i="14" s="1"/>
  <c r="S254" i="14"/>
  <c r="T254" i="14" s="1"/>
  <c r="S255" i="14"/>
  <c r="T255" i="14" s="1"/>
  <c r="S256" i="14"/>
  <c r="T256" i="14" s="1"/>
  <c r="S257" i="14"/>
  <c r="T257" i="14" s="1"/>
  <c r="S258" i="14"/>
  <c r="T258" i="14" s="1"/>
  <c r="S259" i="14"/>
  <c r="T259" i="14" s="1"/>
  <c r="S260" i="14"/>
  <c r="T260" i="14" s="1"/>
  <c r="S261" i="14"/>
  <c r="T261" i="14" s="1"/>
  <c r="S262" i="14"/>
  <c r="T262" i="14" s="1"/>
  <c r="S263" i="14"/>
  <c r="T263" i="14" s="1"/>
  <c r="S264" i="14"/>
  <c r="T264" i="14" s="1"/>
  <c r="S265" i="14"/>
  <c r="T265" i="14" s="1"/>
  <c r="S266" i="14"/>
  <c r="T266" i="14" s="1"/>
  <c r="S267" i="14"/>
  <c r="T267" i="14" s="1"/>
  <c r="S268" i="14"/>
  <c r="T268" i="14" s="1"/>
  <c r="S269" i="14"/>
  <c r="T269" i="14" s="1"/>
  <c r="S270" i="14"/>
  <c r="T270" i="14" s="1"/>
  <c r="S271" i="14"/>
  <c r="T271" i="14" s="1"/>
  <c r="S272" i="14"/>
  <c r="T272" i="14" s="1"/>
  <c r="S273" i="14"/>
  <c r="T273" i="14" s="1"/>
  <c r="S274" i="14"/>
  <c r="T274" i="14" s="1"/>
  <c r="S275" i="14"/>
  <c r="T275" i="14" s="1"/>
  <c r="S276" i="14"/>
  <c r="T276" i="14" s="1"/>
  <c r="S277" i="14"/>
  <c r="T277" i="14" s="1"/>
  <c r="S278" i="14"/>
  <c r="T278" i="14" s="1"/>
  <c r="S279" i="14"/>
  <c r="T279" i="14" s="1"/>
  <c r="S280" i="14"/>
  <c r="T280" i="14" s="1"/>
  <c r="S281" i="14"/>
  <c r="T281" i="14" s="1"/>
  <c r="S282" i="14"/>
  <c r="T282" i="14" s="1"/>
  <c r="S283" i="14"/>
  <c r="T283" i="14" s="1"/>
  <c r="S284" i="14"/>
  <c r="T284" i="14" s="1"/>
  <c r="S285" i="14"/>
  <c r="T285" i="14" s="1"/>
  <c r="S286" i="14"/>
  <c r="T286" i="14" s="1"/>
  <c r="S287" i="14"/>
  <c r="T287" i="14" s="1"/>
  <c r="S288" i="14"/>
  <c r="T288" i="14" s="1"/>
  <c r="S289" i="14"/>
  <c r="T289" i="14" s="1"/>
  <c r="S290" i="14"/>
  <c r="T290" i="14" s="1"/>
  <c r="S291" i="14"/>
  <c r="T291" i="14" s="1"/>
  <c r="S292" i="14"/>
  <c r="T292" i="14" s="1"/>
  <c r="S293" i="14"/>
  <c r="T293" i="14" s="1"/>
  <c r="S294" i="14"/>
  <c r="T294" i="14" s="1"/>
  <c r="S295" i="14"/>
  <c r="T295" i="14" s="1"/>
  <c r="S296" i="14"/>
  <c r="T296" i="14" s="1"/>
  <c r="S297" i="14"/>
  <c r="T297" i="14" s="1"/>
  <c r="S298" i="14"/>
  <c r="T298" i="14" s="1"/>
  <c r="S299" i="14"/>
  <c r="T299" i="14" s="1"/>
  <c r="S300" i="14"/>
  <c r="T300" i="14" s="1"/>
  <c r="S301" i="14"/>
  <c r="T301" i="14" s="1"/>
  <c r="S302" i="14"/>
  <c r="T302" i="14" s="1"/>
  <c r="S303" i="14"/>
  <c r="T303" i="14" s="1"/>
  <c r="S304" i="14"/>
  <c r="T304" i="14" s="1"/>
  <c r="S305" i="14"/>
  <c r="T305" i="14" s="1"/>
  <c r="S306" i="14"/>
  <c r="T306" i="14" s="1"/>
  <c r="S307" i="14"/>
  <c r="T307" i="14" s="1"/>
  <c r="S308" i="14"/>
  <c r="T308" i="14" s="1"/>
  <c r="S309" i="14"/>
  <c r="T309" i="14" s="1"/>
  <c r="S310" i="14"/>
  <c r="T310" i="14" s="1"/>
  <c r="S311" i="14"/>
  <c r="T311" i="14" s="1"/>
  <c r="S312" i="14"/>
  <c r="T312" i="14" s="1"/>
  <c r="S313" i="14"/>
  <c r="T313" i="14" s="1"/>
  <c r="S314" i="14"/>
  <c r="T314" i="14" s="1"/>
  <c r="S315" i="14"/>
  <c r="T315" i="14" s="1"/>
  <c r="S316" i="14"/>
  <c r="T316" i="14" s="1"/>
  <c r="S317" i="14"/>
  <c r="T317" i="14" s="1"/>
  <c r="S318" i="14"/>
  <c r="T318" i="14" s="1"/>
  <c r="S319" i="14"/>
  <c r="T319" i="14" s="1"/>
  <c r="S320" i="14"/>
  <c r="T320" i="14" s="1"/>
  <c r="S321" i="14"/>
  <c r="T321" i="14" s="1"/>
  <c r="S322" i="14"/>
  <c r="T322" i="14" s="1"/>
  <c r="S323" i="14"/>
  <c r="T323" i="14" s="1"/>
  <c r="S324" i="14"/>
  <c r="T324" i="14" s="1"/>
  <c r="S325" i="14"/>
  <c r="T325" i="14" s="1"/>
  <c r="S326" i="14"/>
  <c r="T326" i="14" s="1"/>
  <c r="S327" i="14"/>
  <c r="T327" i="14" s="1"/>
  <c r="S328" i="14"/>
  <c r="T328" i="14" s="1"/>
  <c r="S329" i="14"/>
  <c r="T329" i="14" s="1"/>
  <c r="S330" i="14"/>
  <c r="T330" i="14" s="1"/>
  <c r="S331" i="14"/>
  <c r="T331" i="14" s="1"/>
  <c r="S332" i="14"/>
  <c r="T332" i="14" s="1"/>
  <c r="S333" i="14"/>
  <c r="T333" i="14" s="1"/>
  <c r="S334" i="14"/>
  <c r="T334" i="14" s="1"/>
  <c r="S335" i="14"/>
  <c r="T335" i="14" s="1"/>
  <c r="S336" i="14"/>
  <c r="T336" i="14" s="1"/>
  <c r="S337" i="14"/>
  <c r="T337" i="14" s="1"/>
  <c r="S338" i="14"/>
  <c r="T338" i="14" s="1"/>
  <c r="S339" i="14"/>
  <c r="T339" i="14" s="1"/>
  <c r="S340" i="14"/>
  <c r="T340" i="14" s="1"/>
  <c r="S341" i="14"/>
  <c r="T341" i="14" s="1"/>
  <c r="S342" i="14"/>
  <c r="T342" i="14" s="1"/>
  <c r="S343" i="14"/>
  <c r="T343" i="14" s="1"/>
  <c r="S344" i="14"/>
  <c r="T344" i="14" s="1"/>
  <c r="S345" i="14"/>
  <c r="T345" i="14" s="1"/>
  <c r="S346" i="14"/>
  <c r="T346" i="14" s="1"/>
  <c r="S347" i="14"/>
  <c r="T347" i="14" s="1"/>
  <c r="S348" i="14"/>
  <c r="T348" i="14" s="1"/>
  <c r="S349" i="14"/>
  <c r="T349" i="14" s="1"/>
  <c r="S350" i="14"/>
  <c r="T350" i="14" s="1"/>
  <c r="S351" i="14"/>
  <c r="T351" i="14" s="1"/>
  <c r="A2" i="15" l="1"/>
  <c r="R133" i="15"/>
  <c r="M258" i="15"/>
  <c r="M334" i="15"/>
  <c r="L282" i="15"/>
  <c r="I2" i="15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I109" i="15"/>
  <c r="I110" i="15"/>
  <c r="I111" i="15"/>
  <c r="I112" i="15"/>
  <c r="I113" i="15"/>
  <c r="I114" i="15"/>
  <c r="I115" i="15"/>
  <c r="I116" i="15"/>
  <c r="I117" i="15"/>
  <c r="I118" i="15"/>
  <c r="I119" i="15"/>
  <c r="I120" i="15"/>
  <c r="I121" i="15"/>
  <c r="I122" i="15"/>
  <c r="I123" i="15"/>
  <c r="I124" i="15"/>
  <c r="I125" i="15"/>
  <c r="I126" i="15"/>
  <c r="I127" i="15"/>
  <c r="I128" i="15"/>
  <c r="I129" i="15"/>
  <c r="I130" i="15"/>
  <c r="I131" i="15"/>
  <c r="I132" i="15"/>
  <c r="I133" i="15"/>
  <c r="I134" i="15"/>
  <c r="I135" i="15"/>
  <c r="I136" i="15"/>
  <c r="I137" i="15"/>
  <c r="I138" i="15"/>
  <c r="I139" i="15"/>
  <c r="I140" i="15"/>
  <c r="I141" i="15"/>
  <c r="I142" i="15"/>
  <c r="I143" i="15"/>
  <c r="I144" i="15"/>
  <c r="I145" i="15"/>
  <c r="I146" i="15"/>
  <c r="I147" i="15"/>
  <c r="I148" i="15"/>
  <c r="I149" i="15"/>
  <c r="I150" i="15"/>
  <c r="I151" i="15"/>
  <c r="I152" i="15"/>
  <c r="I153" i="15"/>
  <c r="I154" i="15"/>
  <c r="I155" i="15"/>
  <c r="I156" i="15"/>
  <c r="I157" i="15"/>
  <c r="I158" i="15"/>
  <c r="I159" i="15"/>
  <c r="I160" i="15"/>
  <c r="I161" i="15"/>
  <c r="I162" i="15"/>
  <c r="I163" i="15"/>
  <c r="I164" i="15"/>
  <c r="I165" i="15"/>
  <c r="I166" i="15"/>
  <c r="I167" i="15"/>
  <c r="I168" i="15"/>
  <c r="I169" i="15"/>
  <c r="I170" i="15"/>
  <c r="I171" i="15"/>
  <c r="I172" i="15"/>
  <c r="I173" i="15"/>
  <c r="I174" i="15"/>
  <c r="I175" i="15"/>
  <c r="I176" i="15"/>
  <c r="I177" i="15"/>
  <c r="I178" i="15"/>
  <c r="I179" i="15"/>
  <c r="I180" i="15"/>
  <c r="I181" i="15"/>
  <c r="I182" i="15"/>
  <c r="I183" i="15"/>
  <c r="I184" i="15"/>
  <c r="I185" i="15"/>
  <c r="I186" i="15"/>
  <c r="I187" i="15"/>
  <c r="I188" i="15"/>
  <c r="I189" i="15"/>
  <c r="I190" i="15"/>
  <c r="I191" i="15"/>
  <c r="I192" i="15"/>
  <c r="I193" i="15"/>
  <c r="I194" i="15"/>
  <c r="I195" i="15"/>
  <c r="I196" i="15"/>
  <c r="I197" i="15"/>
  <c r="I198" i="15"/>
  <c r="I199" i="15"/>
  <c r="I200" i="15"/>
  <c r="I201" i="15"/>
  <c r="I202" i="15"/>
  <c r="I203" i="15"/>
  <c r="I204" i="15"/>
  <c r="I205" i="15"/>
  <c r="I206" i="15"/>
  <c r="I207" i="15"/>
  <c r="I208" i="15"/>
  <c r="I209" i="15"/>
  <c r="I210" i="15"/>
  <c r="I211" i="15"/>
  <c r="I212" i="15"/>
  <c r="I213" i="15"/>
  <c r="I214" i="15"/>
  <c r="I215" i="15"/>
  <c r="I216" i="15"/>
  <c r="I217" i="15"/>
  <c r="I218" i="15"/>
  <c r="I219" i="15"/>
  <c r="I220" i="15"/>
  <c r="I221" i="15"/>
  <c r="I222" i="15"/>
  <c r="I223" i="15"/>
  <c r="I224" i="15"/>
  <c r="I225" i="15"/>
  <c r="I226" i="15"/>
  <c r="I227" i="15"/>
  <c r="I228" i="15"/>
  <c r="I229" i="15"/>
  <c r="I230" i="15"/>
  <c r="I231" i="15"/>
  <c r="I232" i="15"/>
  <c r="I233" i="15"/>
  <c r="I234" i="15"/>
  <c r="I235" i="15"/>
  <c r="I236" i="15"/>
  <c r="I237" i="15"/>
  <c r="I238" i="15"/>
  <c r="I239" i="15"/>
  <c r="I240" i="15"/>
  <c r="I241" i="15"/>
  <c r="I242" i="15"/>
  <c r="I243" i="15"/>
  <c r="I244" i="15"/>
  <c r="I245" i="15"/>
  <c r="I246" i="15"/>
  <c r="I247" i="15"/>
  <c r="I248" i="15"/>
  <c r="I249" i="15"/>
  <c r="I250" i="15"/>
  <c r="I251" i="15"/>
  <c r="I252" i="15"/>
  <c r="I253" i="15"/>
  <c r="I254" i="15"/>
  <c r="I255" i="15"/>
  <c r="I256" i="15"/>
  <c r="I257" i="15"/>
  <c r="I258" i="15"/>
  <c r="I259" i="15"/>
  <c r="I260" i="15"/>
  <c r="I261" i="15"/>
  <c r="I262" i="15"/>
  <c r="I263" i="15"/>
  <c r="I264" i="15"/>
  <c r="I265" i="15"/>
  <c r="I266" i="15"/>
  <c r="I267" i="15"/>
  <c r="I268" i="15"/>
  <c r="I269" i="15"/>
  <c r="I270" i="15"/>
  <c r="I271" i="15"/>
  <c r="I272" i="15"/>
  <c r="I273" i="15"/>
  <c r="I274" i="15"/>
  <c r="I275" i="15"/>
  <c r="I276" i="15"/>
  <c r="I277" i="15"/>
  <c r="I278" i="15"/>
  <c r="I279" i="15"/>
  <c r="I280" i="15"/>
  <c r="I281" i="15"/>
  <c r="I282" i="15"/>
  <c r="I283" i="15"/>
  <c r="I284" i="15"/>
  <c r="I285" i="15"/>
  <c r="I286" i="15"/>
  <c r="I287" i="15"/>
  <c r="I288" i="15"/>
  <c r="I289" i="15"/>
  <c r="I290" i="15"/>
  <c r="I291" i="15"/>
  <c r="I292" i="15"/>
  <c r="I293" i="15"/>
  <c r="I294" i="15"/>
  <c r="I295" i="15"/>
  <c r="I296" i="15"/>
  <c r="I297" i="15"/>
  <c r="I298" i="15"/>
  <c r="I299" i="15"/>
  <c r="I300" i="15"/>
  <c r="I301" i="15"/>
  <c r="I302" i="15"/>
  <c r="I303" i="15"/>
  <c r="I304" i="15"/>
  <c r="I305" i="15"/>
  <c r="I306" i="15"/>
  <c r="I307" i="15"/>
  <c r="I308" i="15"/>
  <c r="I309" i="15"/>
  <c r="I310" i="15"/>
  <c r="I311" i="15"/>
  <c r="I312" i="15"/>
  <c r="I313" i="15"/>
  <c r="I314" i="15"/>
  <c r="I315" i="15"/>
  <c r="I316" i="15"/>
  <c r="I317" i="15"/>
  <c r="I318" i="15"/>
  <c r="I319" i="15"/>
  <c r="I320" i="15"/>
  <c r="I321" i="15"/>
  <c r="I322" i="15"/>
  <c r="I323" i="15"/>
  <c r="I324" i="15"/>
  <c r="I325" i="15"/>
  <c r="I326" i="15"/>
  <c r="I327" i="15"/>
  <c r="I328" i="15"/>
  <c r="I329" i="15"/>
  <c r="I330" i="15"/>
  <c r="I331" i="15"/>
  <c r="I332" i="15"/>
  <c r="I333" i="15"/>
  <c r="I334" i="15"/>
  <c r="I335" i="15"/>
  <c r="I336" i="15"/>
  <c r="I337" i="15"/>
  <c r="I338" i="15"/>
  <c r="I339" i="15"/>
  <c r="I340" i="15"/>
  <c r="I341" i="15"/>
  <c r="I342" i="15"/>
  <c r="I343" i="15"/>
  <c r="I344" i="15"/>
  <c r="I345" i="15"/>
  <c r="I346" i="15"/>
  <c r="I347" i="15"/>
  <c r="I348" i="15"/>
  <c r="I349" i="15"/>
  <c r="I350" i="15"/>
  <c r="I351" i="15"/>
  <c r="H3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R108" i="15" s="1"/>
  <c r="H109" i="15"/>
  <c r="H110" i="15"/>
  <c r="H111" i="15"/>
  <c r="H112" i="15"/>
  <c r="H113" i="15"/>
  <c r="H114" i="15"/>
  <c r="H115" i="15"/>
  <c r="H116" i="15"/>
  <c r="H117" i="15"/>
  <c r="H118" i="15"/>
  <c r="H119" i="15"/>
  <c r="H120" i="15"/>
  <c r="H121" i="15"/>
  <c r="H122" i="15"/>
  <c r="H123" i="15"/>
  <c r="H124" i="15"/>
  <c r="H125" i="15"/>
  <c r="H126" i="15"/>
  <c r="H127" i="15"/>
  <c r="H128" i="15"/>
  <c r="H129" i="15"/>
  <c r="H130" i="15"/>
  <c r="H131" i="15"/>
  <c r="H132" i="15"/>
  <c r="H134" i="15"/>
  <c r="H135" i="15"/>
  <c r="H136" i="15"/>
  <c r="H137" i="15"/>
  <c r="H138" i="15"/>
  <c r="H139" i="15"/>
  <c r="H140" i="15"/>
  <c r="H141" i="15"/>
  <c r="H142" i="15"/>
  <c r="H143" i="15"/>
  <c r="H144" i="15"/>
  <c r="H145" i="15"/>
  <c r="H146" i="15"/>
  <c r="H147" i="15"/>
  <c r="H148" i="15"/>
  <c r="H149" i="15"/>
  <c r="H150" i="15"/>
  <c r="H151" i="15"/>
  <c r="H152" i="15"/>
  <c r="H153" i="15"/>
  <c r="H154" i="15"/>
  <c r="H155" i="15"/>
  <c r="H156" i="15"/>
  <c r="H157" i="15"/>
  <c r="H158" i="15"/>
  <c r="H159" i="15"/>
  <c r="H160" i="15"/>
  <c r="H161" i="15"/>
  <c r="H162" i="15"/>
  <c r="H163" i="15"/>
  <c r="H164" i="15"/>
  <c r="H165" i="15"/>
  <c r="H166" i="15"/>
  <c r="H167" i="15"/>
  <c r="H168" i="15"/>
  <c r="H169" i="15"/>
  <c r="H170" i="15"/>
  <c r="H171" i="15"/>
  <c r="H172" i="15"/>
  <c r="H173" i="15"/>
  <c r="H174" i="15"/>
  <c r="H175" i="15"/>
  <c r="H176" i="15"/>
  <c r="H177" i="15"/>
  <c r="H178" i="15"/>
  <c r="H179" i="15"/>
  <c r="H180" i="15"/>
  <c r="H181" i="15"/>
  <c r="H182" i="15"/>
  <c r="H183" i="15"/>
  <c r="H184" i="15"/>
  <c r="H185" i="15"/>
  <c r="H186" i="15"/>
  <c r="H187" i="15"/>
  <c r="H188" i="15"/>
  <c r="H189" i="15"/>
  <c r="H190" i="15"/>
  <c r="H191" i="15"/>
  <c r="H192" i="15"/>
  <c r="H193" i="15"/>
  <c r="H194" i="15"/>
  <c r="H195" i="15"/>
  <c r="H196" i="15"/>
  <c r="H197" i="15"/>
  <c r="H198" i="15"/>
  <c r="H199" i="15"/>
  <c r="H200" i="15"/>
  <c r="H201" i="15"/>
  <c r="H202" i="15"/>
  <c r="H203" i="15"/>
  <c r="H204" i="15"/>
  <c r="H205" i="15"/>
  <c r="H206" i="15"/>
  <c r="H207" i="15"/>
  <c r="H208" i="15"/>
  <c r="H209" i="15"/>
  <c r="H210" i="15"/>
  <c r="H211" i="15"/>
  <c r="H212" i="15"/>
  <c r="H213" i="15"/>
  <c r="H214" i="15"/>
  <c r="H215" i="15"/>
  <c r="H216" i="15"/>
  <c r="H217" i="15"/>
  <c r="H218" i="15"/>
  <c r="H219" i="15"/>
  <c r="H220" i="15"/>
  <c r="H221" i="15"/>
  <c r="H222" i="15"/>
  <c r="H223" i="15"/>
  <c r="H224" i="15"/>
  <c r="H225" i="15"/>
  <c r="H226" i="15"/>
  <c r="H227" i="15"/>
  <c r="H228" i="15"/>
  <c r="H229" i="15"/>
  <c r="H230" i="15"/>
  <c r="H231" i="15"/>
  <c r="H232" i="15"/>
  <c r="H233" i="15"/>
  <c r="H234" i="15"/>
  <c r="H235" i="15"/>
  <c r="H236" i="15"/>
  <c r="H237" i="15"/>
  <c r="H238" i="15"/>
  <c r="H239" i="15"/>
  <c r="H240" i="15"/>
  <c r="H241" i="15"/>
  <c r="H242" i="15"/>
  <c r="H243" i="15"/>
  <c r="H244" i="15"/>
  <c r="H245" i="15"/>
  <c r="H246" i="15"/>
  <c r="H247" i="15"/>
  <c r="H248" i="15"/>
  <c r="H249" i="15"/>
  <c r="H250" i="15"/>
  <c r="H251" i="15"/>
  <c r="H252" i="15"/>
  <c r="H253" i="15"/>
  <c r="H254" i="15"/>
  <c r="H255" i="15"/>
  <c r="H256" i="15"/>
  <c r="H257" i="15"/>
  <c r="H258" i="15"/>
  <c r="H259" i="15"/>
  <c r="H260" i="15"/>
  <c r="H261" i="15"/>
  <c r="H262" i="15"/>
  <c r="H263" i="15"/>
  <c r="H264" i="15"/>
  <c r="H265" i="15"/>
  <c r="H266" i="15"/>
  <c r="H267" i="15"/>
  <c r="H268" i="15"/>
  <c r="H269" i="15"/>
  <c r="H270" i="15"/>
  <c r="H271" i="15"/>
  <c r="H272" i="15"/>
  <c r="H273" i="15"/>
  <c r="H274" i="15"/>
  <c r="H275" i="15"/>
  <c r="H276" i="15"/>
  <c r="H277" i="15"/>
  <c r="H278" i="15"/>
  <c r="H279" i="15"/>
  <c r="H280" i="15"/>
  <c r="H281" i="15"/>
  <c r="H282" i="15"/>
  <c r="H283" i="15"/>
  <c r="H284" i="15"/>
  <c r="H285" i="15"/>
  <c r="H286" i="15"/>
  <c r="H287" i="15"/>
  <c r="H288" i="15"/>
  <c r="H289" i="15"/>
  <c r="H290" i="15"/>
  <c r="H291" i="15"/>
  <c r="H292" i="15"/>
  <c r="H293" i="15"/>
  <c r="H294" i="15"/>
  <c r="H295" i="15"/>
  <c r="H296" i="15"/>
  <c r="H297" i="15"/>
  <c r="H298" i="15"/>
  <c r="H299" i="15"/>
  <c r="H300" i="15"/>
  <c r="H301" i="15"/>
  <c r="H302" i="15"/>
  <c r="H303" i="15"/>
  <c r="H304" i="15"/>
  <c r="H305" i="15"/>
  <c r="H306" i="15"/>
  <c r="H307" i="15"/>
  <c r="H308" i="15"/>
  <c r="H309" i="15"/>
  <c r="H310" i="15"/>
  <c r="H311" i="15"/>
  <c r="H312" i="15"/>
  <c r="H313" i="15"/>
  <c r="H314" i="15"/>
  <c r="H315" i="15"/>
  <c r="H316" i="15"/>
  <c r="H317" i="15"/>
  <c r="H318" i="15"/>
  <c r="H319" i="15"/>
  <c r="H320" i="15"/>
  <c r="H321" i="15"/>
  <c r="H322" i="15"/>
  <c r="H323" i="15"/>
  <c r="H324" i="15"/>
  <c r="H325" i="15"/>
  <c r="H326" i="15"/>
  <c r="H327" i="15"/>
  <c r="H328" i="15"/>
  <c r="H329" i="15"/>
  <c r="H330" i="15"/>
  <c r="H331" i="15"/>
  <c r="H332" i="15"/>
  <c r="H333" i="15"/>
  <c r="H334" i="15"/>
  <c r="H335" i="15"/>
  <c r="H336" i="15"/>
  <c r="H337" i="15"/>
  <c r="H338" i="15"/>
  <c r="H339" i="15"/>
  <c r="H340" i="15"/>
  <c r="H341" i="15"/>
  <c r="H342" i="15"/>
  <c r="H343" i="15"/>
  <c r="H344" i="15"/>
  <c r="H345" i="15"/>
  <c r="H346" i="15"/>
  <c r="H347" i="15"/>
  <c r="H348" i="15"/>
  <c r="H349" i="15"/>
  <c r="H350" i="15"/>
  <c r="H351" i="15"/>
  <c r="H2" i="15"/>
  <c r="G2" i="15"/>
  <c r="G3" i="15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72" i="15"/>
  <c r="G73" i="15"/>
  <c r="G74" i="15"/>
  <c r="G75" i="15"/>
  <c r="G76" i="15"/>
  <c r="G77" i="15"/>
  <c r="G78" i="15"/>
  <c r="G79" i="15"/>
  <c r="G80" i="15"/>
  <c r="G81" i="15"/>
  <c r="G82" i="15"/>
  <c r="G83" i="15"/>
  <c r="G84" i="15"/>
  <c r="G85" i="15"/>
  <c r="G86" i="15"/>
  <c r="G87" i="15"/>
  <c r="G88" i="15"/>
  <c r="G89" i="15"/>
  <c r="G90" i="15"/>
  <c r="G91" i="15"/>
  <c r="G92" i="15"/>
  <c r="G93" i="15"/>
  <c r="G94" i="15"/>
  <c r="G95" i="15"/>
  <c r="G96" i="15"/>
  <c r="G97" i="15"/>
  <c r="G98" i="15"/>
  <c r="G99" i="15"/>
  <c r="G100" i="15"/>
  <c r="G101" i="15"/>
  <c r="G102" i="15"/>
  <c r="G103" i="15"/>
  <c r="G104" i="15"/>
  <c r="G105" i="15"/>
  <c r="G106" i="15"/>
  <c r="G107" i="15"/>
  <c r="G108" i="15"/>
  <c r="G109" i="15"/>
  <c r="G110" i="15"/>
  <c r="G111" i="15"/>
  <c r="G112" i="15"/>
  <c r="G113" i="15"/>
  <c r="G114" i="15"/>
  <c r="G115" i="15"/>
  <c r="G116" i="15"/>
  <c r="G117" i="15"/>
  <c r="G118" i="15"/>
  <c r="G119" i="15"/>
  <c r="G120" i="15"/>
  <c r="G121" i="15"/>
  <c r="G122" i="15"/>
  <c r="G123" i="15"/>
  <c r="G124" i="15"/>
  <c r="G125" i="15"/>
  <c r="G126" i="15"/>
  <c r="G127" i="15"/>
  <c r="G128" i="15"/>
  <c r="G129" i="15"/>
  <c r="G130" i="15"/>
  <c r="G131" i="15"/>
  <c r="G132" i="15"/>
  <c r="G133" i="15"/>
  <c r="G134" i="15"/>
  <c r="G135" i="15"/>
  <c r="G136" i="15"/>
  <c r="G137" i="15"/>
  <c r="G138" i="15"/>
  <c r="G139" i="15"/>
  <c r="G140" i="15"/>
  <c r="G141" i="15"/>
  <c r="G142" i="15"/>
  <c r="G143" i="15"/>
  <c r="G144" i="15"/>
  <c r="G145" i="15"/>
  <c r="G146" i="15"/>
  <c r="G147" i="15"/>
  <c r="G148" i="15"/>
  <c r="G149" i="15"/>
  <c r="G150" i="15"/>
  <c r="G151" i="15"/>
  <c r="G152" i="15"/>
  <c r="G153" i="15"/>
  <c r="G154" i="15"/>
  <c r="G155" i="15"/>
  <c r="G156" i="15"/>
  <c r="G157" i="15"/>
  <c r="G158" i="15"/>
  <c r="G159" i="15"/>
  <c r="G160" i="15"/>
  <c r="G161" i="15"/>
  <c r="G162" i="15"/>
  <c r="G163" i="15"/>
  <c r="G164" i="15"/>
  <c r="G165" i="15"/>
  <c r="G166" i="15"/>
  <c r="G167" i="15"/>
  <c r="G168" i="15"/>
  <c r="G169" i="15"/>
  <c r="G170" i="15"/>
  <c r="G171" i="15"/>
  <c r="G172" i="15"/>
  <c r="G173" i="15"/>
  <c r="G174" i="15"/>
  <c r="G175" i="15"/>
  <c r="G176" i="15"/>
  <c r="G177" i="15"/>
  <c r="G178" i="15"/>
  <c r="G179" i="15"/>
  <c r="G180" i="15"/>
  <c r="G181" i="15"/>
  <c r="G182" i="15"/>
  <c r="G183" i="15"/>
  <c r="G184" i="15"/>
  <c r="G185" i="15"/>
  <c r="G186" i="15"/>
  <c r="G187" i="15"/>
  <c r="G188" i="15"/>
  <c r="G189" i="15"/>
  <c r="G190" i="15"/>
  <c r="G191" i="15"/>
  <c r="G192" i="15"/>
  <c r="G193" i="15"/>
  <c r="G194" i="15"/>
  <c r="G195" i="15"/>
  <c r="G196" i="15"/>
  <c r="G197" i="15"/>
  <c r="G198" i="15"/>
  <c r="G199" i="15"/>
  <c r="G200" i="15"/>
  <c r="G201" i="15"/>
  <c r="G202" i="15"/>
  <c r="G203" i="15"/>
  <c r="G204" i="15"/>
  <c r="G205" i="15"/>
  <c r="G206" i="15"/>
  <c r="G207" i="15"/>
  <c r="G208" i="15"/>
  <c r="G209" i="15"/>
  <c r="G210" i="15"/>
  <c r="G211" i="15"/>
  <c r="G212" i="15"/>
  <c r="G213" i="15"/>
  <c r="G214" i="15"/>
  <c r="G215" i="15"/>
  <c r="G216" i="15"/>
  <c r="G217" i="15"/>
  <c r="G218" i="15"/>
  <c r="G219" i="15"/>
  <c r="G220" i="15"/>
  <c r="G221" i="15"/>
  <c r="G222" i="15"/>
  <c r="G223" i="15"/>
  <c r="G224" i="15"/>
  <c r="G225" i="15"/>
  <c r="G226" i="15"/>
  <c r="G227" i="15"/>
  <c r="G228" i="15"/>
  <c r="G229" i="15"/>
  <c r="G230" i="15"/>
  <c r="G231" i="15"/>
  <c r="G232" i="15"/>
  <c r="G233" i="15"/>
  <c r="G234" i="15"/>
  <c r="G235" i="15"/>
  <c r="G236" i="15"/>
  <c r="G237" i="15"/>
  <c r="G238" i="15"/>
  <c r="G239" i="15"/>
  <c r="G240" i="15"/>
  <c r="G241" i="15"/>
  <c r="G242" i="15"/>
  <c r="G243" i="15"/>
  <c r="G244" i="15"/>
  <c r="G245" i="15"/>
  <c r="G246" i="15"/>
  <c r="G247" i="15"/>
  <c r="G248" i="15"/>
  <c r="G249" i="15"/>
  <c r="G250" i="15"/>
  <c r="G251" i="15"/>
  <c r="G252" i="15"/>
  <c r="G253" i="15"/>
  <c r="G254" i="15"/>
  <c r="G255" i="15"/>
  <c r="G256" i="15"/>
  <c r="G257" i="15"/>
  <c r="G258" i="15"/>
  <c r="G259" i="15"/>
  <c r="G260" i="15"/>
  <c r="G261" i="15"/>
  <c r="G262" i="15"/>
  <c r="G263" i="15"/>
  <c r="G264" i="15"/>
  <c r="G265" i="15"/>
  <c r="G266" i="15"/>
  <c r="G267" i="15"/>
  <c r="G268" i="15"/>
  <c r="G269" i="15"/>
  <c r="G270" i="15"/>
  <c r="G271" i="15"/>
  <c r="G272" i="15"/>
  <c r="G273" i="15"/>
  <c r="G274" i="15"/>
  <c r="G275" i="15"/>
  <c r="G276" i="15"/>
  <c r="G277" i="15"/>
  <c r="G278" i="15"/>
  <c r="G279" i="15"/>
  <c r="G280" i="15"/>
  <c r="G281" i="15"/>
  <c r="G282" i="15"/>
  <c r="G283" i="15"/>
  <c r="G284" i="15"/>
  <c r="G285" i="15"/>
  <c r="G286" i="15"/>
  <c r="G287" i="15"/>
  <c r="G288" i="15"/>
  <c r="G289" i="15"/>
  <c r="G290" i="15"/>
  <c r="G291" i="15"/>
  <c r="G292" i="15"/>
  <c r="G293" i="15"/>
  <c r="G294" i="15"/>
  <c r="G295" i="15"/>
  <c r="G296" i="15"/>
  <c r="G297" i="15"/>
  <c r="G298" i="15"/>
  <c r="G299" i="15"/>
  <c r="G300" i="15"/>
  <c r="G301" i="15"/>
  <c r="G302" i="15"/>
  <c r="G303" i="15"/>
  <c r="G304" i="15"/>
  <c r="G305" i="15"/>
  <c r="G306" i="15"/>
  <c r="G307" i="15"/>
  <c r="G308" i="15"/>
  <c r="G309" i="15"/>
  <c r="G310" i="15"/>
  <c r="G311" i="15"/>
  <c r="G312" i="15"/>
  <c r="G313" i="15"/>
  <c r="G314" i="15"/>
  <c r="G315" i="15"/>
  <c r="G316" i="15"/>
  <c r="G317" i="15"/>
  <c r="G318" i="15"/>
  <c r="G319" i="15"/>
  <c r="G320" i="15"/>
  <c r="G321" i="15"/>
  <c r="G322" i="15"/>
  <c r="G323" i="15"/>
  <c r="G324" i="15"/>
  <c r="G325" i="15"/>
  <c r="G326" i="15"/>
  <c r="G327" i="15"/>
  <c r="G328" i="15"/>
  <c r="G329" i="15"/>
  <c r="G330" i="15"/>
  <c r="G331" i="15"/>
  <c r="G332" i="15"/>
  <c r="G333" i="15"/>
  <c r="G334" i="15"/>
  <c r="G335" i="15"/>
  <c r="G336" i="15"/>
  <c r="G337" i="15"/>
  <c r="G338" i="15"/>
  <c r="G339" i="15"/>
  <c r="G340" i="15"/>
  <c r="G341" i="15"/>
  <c r="G342" i="15"/>
  <c r="G343" i="15"/>
  <c r="G344" i="15"/>
  <c r="G345" i="15"/>
  <c r="G346" i="15"/>
  <c r="G347" i="15"/>
  <c r="G348" i="15"/>
  <c r="G349" i="15"/>
  <c r="G350" i="15"/>
  <c r="E2" i="15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0" i="15"/>
  <c r="E171" i="15"/>
  <c r="E172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191" i="15"/>
  <c r="E192" i="15"/>
  <c r="E193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6" i="15"/>
  <c r="E207" i="15"/>
  <c r="E208" i="15"/>
  <c r="E209" i="15"/>
  <c r="E210" i="15"/>
  <c r="E211" i="15"/>
  <c r="E212" i="15"/>
  <c r="E213" i="15"/>
  <c r="E214" i="15"/>
  <c r="E215" i="15"/>
  <c r="E216" i="15"/>
  <c r="E217" i="15"/>
  <c r="E218" i="15"/>
  <c r="E219" i="15"/>
  <c r="E220" i="15"/>
  <c r="E221" i="15"/>
  <c r="E222" i="15"/>
  <c r="E223" i="15"/>
  <c r="E224" i="15"/>
  <c r="E225" i="15"/>
  <c r="E226" i="15"/>
  <c r="E227" i="15"/>
  <c r="E228" i="15"/>
  <c r="E229" i="15"/>
  <c r="E230" i="15"/>
  <c r="E231" i="15"/>
  <c r="E232" i="15"/>
  <c r="E233" i="15"/>
  <c r="E234" i="15"/>
  <c r="E235" i="15"/>
  <c r="E236" i="15"/>
  <c r="E237" i="15"/>
  <c r="E238" i="15"/>
  <c r="E239" i="15"/>
  <c r="E240" i="15"/>
  <c r="E241" i="15"/>
  <c r="E242" i="15"/>
  <c r="E243" i="15"/>
  <c r="E244" i="15"/>
  <c r="E245" i="15"/>
  <c r="E246" i="15"/>
  <c r="E247" i="15"/>
  <c r="E248" i="15"/>
  <c r="E249" i="15"/>
  <c r="E250" i="15"/>
  <c r="E251" i="15"/>
  <c r="E252" i="15"/>
  <c r="E253" i="15"/>
  <c r="E254" i="15"/>
  <c r="E255" i="15"/>
  <c r="E256" i="15"/>
  <c r="E257" i="15"/>
  <c r="E258" i="15"/>
  <c r="E259" i="15"/>
  <c r="E260" i="15"/>
  <c r="E261" i="15"/>
  <c r="E262" i="15"/>
  <c r="E263" i="15"/>
  <c r="E264" i="15"/>
  <c r="E265" i="15"/>
  <c r="E266" i="15"/>
  <c r="E267" i="15"/>
  <c r="E268" i="15"/>
  <c r="E269" i="15"/>
  <c r="E270" i="15"/>
  <c r="E271" i="15"/>
  <c r="E272" i="15"/>
  <c r="E273" i="15"/>
  <c r="E274" i="15"/>
  <c r="E275" i="15"/>
  <c r="E276" i="15"/>
  <c r="E277" i="15"/>
  <c r="E278" i="15"/>
  <c r="E279" i="15"/>
  <c r="E280" i="15"/>
  <c r="E281" i="15"/>
  <c r="E282" i="15"/>
  <c r="E283" i="15"/>
  <c r="E284" i="15"/>
  <c r="E285" i="15"/>
  <c r="E286" i="15"/>
  <c r="E287" i="15"/>
  <c r="E288" i="15"/>
  <c r="E289" i="15"/>
  <c r="E290" i="15"/>
  <c r="E291" i="15"/>
  <c r="E292" i="15"/>
  <c r="E293" i="15"/>
  <c r="E294" i="15"/>
  <c r="E295" i="15"/>
  <c r="E296" i="15"/>
  <c r="E297" i="15"/>
  <c r="E298" i="15"/>
  <c r="E299" i="15"/>
  <c r="E300" i="15"/>
  <c r="E301" i="15"/>
  <c r="E302" i="15"/>
  <c r="E303" i="15"/>
  <c r="E304" i="15"/>
  <c r="E305" i="15"/>
  <c r="E306" i="15"/>
  <c r="E307" i="15"/>
  <c r="E308" i="15"/>
  <c r="E309" i="15"/>
  <c r="E310" i="15"/>
  <c r="E311" i="15"/>
  <c r="E312" i="15"/>
  <c r="E313" i="15"/>
  <c r="E314" i="15"/>
  <c r="E315" i="15"/>
  <c r="E316" i="15"/>
  <c r="E317" i="15"/>
  <c r="E318" i="15"/>
  <c r="E319" i="15"/>
  <c r="E320" i="15"/>
  <c r="E321" i="15"/>
  <c r="E322" i="15"/>
  <c r="E323" i="15"/>
  <c r="E324" i="15"/>
  <c r="E325" i="15"/>
  <c r="E326" i="15"/>
  <c r="E327" i="15"/>
  <c r="E328" i="15"/>
  <c r="E329" i="15"/>
  <c r="E330" i="15"/>
  <c r="E331" i="15"/>
  <c r="E332" i="15"/>
  <c r="E333" i="15"/>
  <c r="E334" i="15"/>
  <c r="E335" i="15"/>
  <c r="E336" i="15"/>
  <c r="E337" i="15"/>
  <c r="E338" i="15"/>
  <c r="E339" i="15"/>
  <c r="E340" i="15"/>
  <c r="E341" i="15"/>
  <c r="E342" i="15"/>
  <c r="E343" i="15"/>
  <c r="E344" i="15"/>
  <c r="E345" i="15"/>
  <c r="E346" i="15"/>
  <c r="E347" i="15"/>
  <c r="E348" i="15"/>
  <c r="E349" i="15"/>
  <c r="E350" i="15"/>
  <c r="E351" i="15"/>
  <c r="D2" i="15"/>
  <c r="D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D225" i="15"/>
  <c r="D226" i="15"/>
  <c r="D227" i="15"/>
  <c r="D228" i="15"/>
  <c r="D229" i="15"/>
  <c r="D230" i="15"/>
  <c r="D231" i="15"/>
  <c r="D232" i="15"/>
  <c r="D233" i="15"/>
  <c r="D234" i="15"/>
  <c r="D235" i="15"/>
  <c r="D236" i="15"/>
  <c r="D237" i="15"/>
  <c r="D238" i="15"/>
  <c r="D239" i="15"/>
  <c r="D240" i="15"/>
  <c r="D241" i="15"/>
  <c r="D242" i="15"/>
  <c r="D243" i="15"/>
  <c r="D244" i="15"/>
  <c r="D245" i="15"/>
  <c r="D246" i="15"/>
  <c r="D247" i="15"/>
  <c r="D248" i="15"/>
  <c r="D249" i="15"/>
  <c r="D250" i="15"/>
  <c r="D251" i="15"/>
  <c r="D252" i="15"/>
  <c r="D253" i="15"/>
  <c r="D254" i="15"/>
  <c r="D255" i="15"/>
  <c r="D256" i="15"/>
  <c r="D257" i="15"/>
  <c r="D258" i="15"/>
  <c r="D259" i="15"/>
  <c r="D260" i="15"/>
  <c r="D261" i="15"/>
  <c r="D262" i="15"/>
  <c r="D263" i="15"/>
  <c r="D264" i="15"/>
  <c r="D265" i="15"/>
  <c r="D266" i="15"/>
  <c r="D267" i="15"/>
  <c r="D268" i="15"/>
  <c r="D269" i="15"/>
  <c r="D270" i="15"/>
  <c r="D271" i="15"/>
  <c r="D272" i="15"/>
  <c r="D273" i="15"/>
  <c r="D274" i="15"/>
  <c r="D275" i="15"/>
  <c r="D276" i="15"/>
  <c r="D277" i="15"/>
  <c r="D278" i="15"/>
  <c r="D279" i="15"/>
  <c r="D280" i="15"/>
  <c r="D281" i="15"/>
  <c r="D282" i="15"/>
  <c r="D283" i="15"/>
  <c r="D284" i="15"/>
  <c r="D285" i="15"/>
  <c r="D286" i="15"/>
  <c r="D287" i="15"/>
  <c r="D288" i="15"/>
  <c r="D289" i="15"/>
  <c r="D290" i="15"/>
  <c r="D291" i="15"/>
  <c r="D292" i="15"/>
  <c r="D293" i="15"/>
  <c r="D294" i="15"/>
  <c r="D295" i="15"/>
  <c r="D296" i="15"/>
  <c r="D297" i="15"/>
  <c r="D298" i="15"/>
  <c r="D299" i="15"/>
  <c r="D300" i="15"/>
  <c r="D301" i="15"/>
  <c r="D302" i="15"/>
  <c r="D303" i="15"/>
  <c r="D304" i="15"/>
  <c r="D305" i="15"/>
  <c r="D306" i="15"/>
  <c r="D307" i="15"/>
  <c r="D308" i="15"/>
  <c r="D309" i="15"/>
  <c r="D310" i="15"/>
  <c r="D311" i="15"/>
  <c r="D312" i="15"/>
  <c r="D313" i="15"/>
  <c r="D314" i="15"/>
  <c r="D315" i="15"/>
  <c r="D316" i="15"/>
  <c r="D317" i="15"/>
  <c r="D318" i="15"/>
  <c r="D319" i="15"/>
  <c r="D320" i="15"/>
  <c r="D321" i="15"/>
  <c r="D322" i="15"/>
  <c r="D323" i="15"/>
  <c r="D324" i="15"/>
  <c r="D325" i="15"/>
  <c r="D326" i="15"/>
  <c r="D327" i="15"/>
  <c r="D328" i="15"/>
  <c r="D329" i="15"/>
  <c r="D330" i="15"/>
  <c r="D331" i="15"/>
  <c r="D332" i="15"/>
  <c r="D333" i="15"/>
  <c r="D334" i="15"/>
  <c r="D335" i="15"/>
  <c r="D336" i="15"/>
  <c r="D337" i="15"/>
  <c r="D338" i="15"/>
  <c r="D339" i="15"/>
  <c r="D340" i="15"/>
  <c r="D341" i="15"/>
  <c r="D342" i="15"/>
  <c r="D343" i="15"/>
  <c r="D344" i="15"/>
  <c r="D345" i="15"/>
  <c r="D346" i="15"/>
  <c r="D347" i="15"/>
  <c r="D348" i="15"/>
  <c r="D349" i="15"/>
  <c r="D350" i="15"/>
  <c r="D351" i="15"/>
  <c r="C2" i="15"/>
  <c r="C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1" i="15"/>
  <c r="C92" i="15"/>
  <c r="C93" i="15"/>
  <c r="C94" i="15"/>
  <c r="C95" i="15"/>
  <c r="C96" i="15"/>
  <c r="C97" i="15"/>
  <c r="C98" i="15"/>
  <c r="C99" i="15"/>
  <c r="C100" i="15"/>
  <c r="C101" i="15"/>
  <c r="C102" i="15"/>
  <c r="C103" i="15"/>
  <c r="C104" i="15"/>
  <c r="C105" i="15"/>
  <c r="C106" i="15"/>
  <c r="C107" i="15"/>
  <c r="C108" i="15"/>
  <c r="C109" i="15"/>
  <c r="C110" i="15"/>
  <c r="C111" i="15"/>
  <c r="C112" i="15"/>
  <c r="C113" i="15"/>
  <c r="C114" i="15"/>
  <c r="C115" i="15"/>
  <c r="C116" i="15"/>
  <c r="C117" i="15"/>
  <c r="C118" i="15"/>
  <c r="C119" i="15"/>
  <c r="C120" i="15"/>
  <c r="C121" i="15"/>
  <c r="C122" i="15"/>
  <c r="C123" i="15"/>
  <c r="C124" i="15"/>
  <c r="C125" i="15"/>
  <c r="C126" i="15"/>
  <c r="C127" i="15"/>
  <c r="C128" i="15"/>
  <c r="C129" i="15"/>
  <c r="C130" i="15"/>
  <c r="C131" i="15"/>
  <c r="C132" i="15"/>
  <c r="C133" i="15"/>
  <c r="C134" i="15"/>
  <c r="C135" i="15"/>
  <c r="C136" i="15"/>
  <c r="C137" i="15"/>
  <c r="C138" i="15"/>
  <c r="C139" i="15"/>
  <c r="C140" i="15"/>
  <c r="C141" i="15"/>
  <c r="C142" i="15"/>
  <c r="C143" i="15"/>
  <c r="C144" i="15"/>
  <c r="C145" i="15"/>
  <c r="C146" i="15"/>
  <c r="C147" i="15"/>
  <c r="C148" i="15"/>
  <c r="C149" i="15"/>
  <c r="C150" i="15"/>
  <c r="C151" i="15"/>
  <c r="C152" i="15"/>
  <c r="C153" i="15"/>
  <c r="C154" i="15"/>
  <c r="C155" i="15"/>
  <c r="C156" i="15"/>
  <c r="C157" i="15"/>
  <c r="C158" i="15"/>
  <c r="C159" i="15"/>
  <c r="C160" i="15"/>
  <c r="C161" i="15"/>
  <c r="C162" i="15"/>
  <c r="C163" i="15"/>
  <c r="C164" i="15"/>
  <c r="C165" i="15"/>
  <c r="C166" i="15"/>
  <c r="C167" i="15"/>
  <c r="C168" i="15"/>
  <c r="C169" i="15"/>
  <c r="C170" i="15"/>
  <c r="C171" i="15"/>
  <c r="C172" i="15"/>
  <c r="C173" i="15"/>
  <c r="C174" i="15"/>
  <c r="C175" i="15"/>
  <c r="C176" i="15"/>
  <c r="C177" i="15"/>
  <c r="C178" i="15"/>
  <c r="C179" i="15"/>
  <c r="C180" i="15"/>
  <c r="C181" i="15"/>
  <c r="C182" i="15"/>
  <c r="C183" i="15"/>
  <c r="C184" i="15"/>
  <c r="C185" i="15"/>
  <c r="C186" i="15"/>
  <c r="C187" i="15"/>
  <c r="C188" i="15"/>
  <c r="C189" i="15"/>
  <c r="C190" i="15"/>
  <c r="C191" i="15"/>
  <c r="C192" i="15"/>
  <c r="C193" i="15"/>
  <c r="C194" i="15"/>
  <c r="C195" i="15"/>
  <c r="C196" i="15"/>
  <c r="C197" i="15"/>
  <c r="C198" i="15"/>
  <c r="C199" i="15"/>
  <c r="C200" i="15"/>
  <c r="C201" i="15"/>
  <c r="C202" i="15"/>
  <c r="C203" i="15"/>
  <c r="C204" i="15"/>
  <c r="C205" i="15"/>
  <c r="C206" i="15"/>
  <c r="C207" i="15"/>
  <c r="C208" i="15"/>
  <c r="C209" i="15"/>
  <c r="C210" i="15"/>
  <c r="C211" i="15"/>
  <c r="C212" i="15"/>
  <c r="C213" i="15"/>
  <c r="C214" i="15"/>
  <c r="C215" i="15"/>
  <c r="C216" i="15"/>
  <c r="C217" i="15"/>
  <c r="C218" i="15"/>
  <c r="C219" i="15"/>
  <c r="C220" i="15"/>
  <c r="C221" i="15"/>
  <c r="C222" i="15"/>
  <c r="C223" i="15"/>
  <c r="C224" i="15"/>
  <c r="C225" i="15"/>
  <c r="C226" i="15"/>
  <c r="C227" i="15"/>
  <c r="C228" i="15"/>
  <c r="C229" i="15"/>
  <c r="C230" i="15"/>
  <c r="C231" i="15"/>
  <c r="C232" i="15"/>
  <c r="C233" i="15"/>
  <c r="C234" i="15"/>
  <c r="C235" i="15"/>
  <c r="C236" i="15"/>
  <c r="C237" i="15"/>
  <c r="C238" i="15"/>
  <c r="C239" i="15"/>
  <c r="C240" i="15"/>
  <c r="C241" i="15"/>
  <c r="C242" i="15"/>
  <c r="C243" i="15"/>
  <c r="C244" i="15"/>
  <c r="C245" i="15"/>
  <c r="C246" i="15"/>
  <c r="C247" i="15"/>
  <c r="C248" i="15"/>
  <c r="C249" i="15"/>
  <c r="C250" i="15"/>
  <c r="C251" i="15"/>
  <c r="C252" i="15"/>
  <c r="C253" i="15"/>
  <c r="C254" i="15"/>
  <c r="C255" i="15"/>
  <c r="C256" i="15"/>
  <c r="C257" i="15"/>
  <c r="C258" i="15"/>
  <c r="C259" i="15"/>
  <c r="C260" i="15"/>
  <c r="C261" i="15"/>
  <c r="C262" i="15"/>
  <c r="C263" i="15"/>
  <c r="C264" i="15"/>
  <c r="C265" i="15"/>
  <c r="C266" i="15"/>
  <c r="C267" i="15"/>
  <c r="C268" i="15"/>
  <c r="C269" i="15"/>
  <c r="C270" i="15"/>
  <c r="C271" i="15"/>
  <c r="C272" i="15"/>
  <c r="C273" i="15"/>
  <c r="C274" i="15"/>
  <c r="C275" i="15"/>
  <c r="C276" i="15"/>
  <c r="C277" i="15"/>
  <c r="C278" i="15"/>
  <c r="C279" i="15"/>
  <c r="C280" i="15"/>
  <c r="C281" i="15"/>
  <c r="C282" i="15"/>
  <c r="C283" i="15"/>
  <c r="C284" i="15"/>
  <c r="C285" i="15"/>
  <c r="C286" i="15"/>
  <c r="C287" i="15"/>
  <c r="C288" i="15"/>
  <c r="C289" i="15"/>
  <c r="C290" i="15"/>
  <c r="C291" i="15"/>
  <c r="C292" i="15"/>
  <c r="C293" i="15"/>
  <c r="C294" i="15"/>
  <c r="C295" i="15"/>
  <c r="C296" i="15"/>
  <c r="C297" i="15"/>
  <c r="C298" i="15"/>
  <c r="C299" i="15"/>
  <c r="C300" i="15"/>
  <c r="C301" i="15"/>
  <c r="C302" i="15"/>
  <c r="C303" i="15"/>
  <c r="C304" i="15"/>
  <c r="C305" i="15"/>
  <c r="C306" i="15"/>
  <c r="C307" i="15"/>
  <c r="C308" i="15"/>
  <c r="C309" i="15"/>
  <c r="C310" i="15"/>
  <c r="C311" i="15"/>
  <c r="C312" i="15"/>
  <c r="C313" i="15"/>
  <c r="C314" i="15"/>
  <c r="C315" i="15"/>
  <c r="C316" i="15"/>
  <c r="C317" i="15"/>
  <c r="C318" i="15"/>
  <c r="C319" i="15"/>
  <c r="C320" i="15"/>
  <c r="C321" i="15"/>
  <c r="C322" i="15"/>
  <c r="C323" i="15"/>
  <c r="C324" i="15"/>
  <c r="C325" i="15"/>
  <c r="C326" i="15"/>
  <c r="C327" i="15"/>
  <c r="C328" i="15"/>
  <c r="C329" i="15"/>
  <c r="C330" i="15"/>
  <c r="C331" i="15"/>
  <c r="C332" i="15"/>
  <c r="C333" i="15"/>
  <c r="C334" i="15"/>
  <c r="C335" i="15"/>
  <c r="C336" i="15"/>
  <c r="C337" i="15"/>
  <c r="C338" i="15"/>
  <c r="C339" i="15"/>
  <c r="C340" i="15"/>
  <c r="C341" i="15"/>
  <c r="C342" i="15"/>
  <c r="C343" i="15"/>
  <c r="C344" i="15"/>
  <c r="C345" i="15"/>
  <c r="C346" i="15"/>
  <c r="C347" i="15"/>
  <c r="C348" i="15"/>
  <c r="C349" i="15"/>
  <c r="C350" i="15"/>
  <c r="C351" i="15"/>
  <c r="A3" i="15"/>
  <c r="A4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89" i="15"/>
  <c r="A90" i="15"/>
  <c r="A91" i="15"/>
  <c r="A92" i="15"/>
  <c r="A93" i="15"/>
  <c r="A94" i="15"/>
  <c r="A95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69" i="15"/>
  <c r="A170" i="15"/>
  <c r="A171" i="15"/>
  <c r="A172" i="15"/>
  <c r="A173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37" i="15"/>
  <c r="A238" i="15"/>
  <c r="A239" i="15"/>
  <c r="A240" i="15"/>
  <c r="A241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92" i="15"/>
  <c r="A293" i="15"/>
  <c r="A294" i="15"/>
  <c r="A295" i="15"/>
  <c r="A296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Q2" i="14"/>
  <c r="Q3" i="14"/>
  <c r="N3" i="15" s="1"/>
  <c r="Q4" i="14"/>
  <c r="N4" i="15" s="1"/>
  <c r="Q5" i="14"/>
  <c r="N5" i="15" s="1"/>
  <c r="Q6" i="14"/>
  <c r="N6" i="15" s="1"/>
  <c r="Q7" i="14"/>
  <c r="N7" i="15" s="1"/>
  <c r="Q8" i="14"/>
  <c r="N8" i="15" s="1"/>
  <c r="Q9" i="14"/>
  <c r="N9" i="15" s="1"/>
  <c r="Q10" i="14"/>
  <c r="Q11" i="14"/>
  <c r="N11" i="15" s="1"/>
  <c r="Q12" i="14"/>
  <c r="N12" i="15" s="1"/>
  <c r="Q13" i="14"/>
  <c r="N13" i="15" s="1"/>
  <c r="Q14" i="14"/>
  <c r="N14" i="15" s="1"/>
  <c r="Q15" i="14"/>
  <c r="N15" i="15" s="1"/>
  <c r="Q16" i="14"/>
  <c r="N16" i="15" s="1"/>
  <c r="Q17" i="14"/>
  <c r="N17" i="15" s="1"/>
  <c r="Q18" i="14"/>
  <c r="Q19" i="14"/>
  <c r="N19" i="15" s="1"/>
  <c r="Q20" i="14"/>
  <c r="N20" i="15" s="1"/>
  <c r="Q21" i="14"/>
  <c r="N21" i="15" s="1"/>
  <c r="Q22" i="14"/>
  <c r="N22" i="15" s="1"/>
  <c r="Q23" i="14"/>
  <c r="N23" i="15" s="1"/>
  <c r="Q24" i="14"/>
  <c r="N24" i="15" s="1"/>
  <c r="Q25" i="14"/>
  <c r="N25" i="15" s="1"/>
  <c r="Q26" i="14"/>
  <c r="Q27" i="14"/>
  <c r="N27" i="15" s="1"/>
  <c r="Q28" i="14"/>
  <c r="N28" i="15" s="1"/>
  <c r="Q29" i="14"/>
  <c r="N29" i="15" s="1"/>
  <c r="Q30" i="14"/>
  <c r="N30" i="15" s="1"/>
  <c r="Q31" i="14"/>
  <c r="N31" i="15" s="1"/>
  <c r="Q32" i="14"/>
  <c r="N32" i="15" s="1"/>
  <c r="Q33" i="14"/>
  <c r="N33" i="15" s="1"/>
  <c r="Q34" i="14"/>
  <c r="Q35" i="14"/>
  <c r="N35" i="15" s="1"/>
  <c r="Q36" i="14"/>
  <c r="N36" i="15" s="1"/>
  <c r="Q37" i="14"/>
  <c r="N37" i="15" s="1"/>
  <c r="Q38" i="14"/>
  <c r="N38" i="15" s="1"/>
  <c r="Q39" i="14"/>
  <c r="N39" i="15" s="1"/>
  <c r="Q40" i="14"/>
  <c r="N40" i="15" s="1"/>
  <c r="Q41" i="14"/>
  <c r="N41" i="15" s="1"/>
  <c r="Q42" i="14"/>
  <c r="Q43" i="14"/>
  <c r="N43" i="15" s="1"/>
  <c r="Q44" i="14"/>
  <c r="N44" i="15" s="1"/>
  <c r="Q45" i="14"/>
  <c r="N45" i="15" s="1"/>
  <c r="Q46" i="14"/>
  <c r="N46" i="15" s="1"/>
  <c r="Q47" i="14"/>
  <c r="N47" i="15" s="1"/>
  <c r="Q48" i="14"/>
  <c r="N48" i="15" s="1"/>
  <c r="Q49" i="14"/>
  <c r="N49" i="15" s="1"/>
  <c r="Q50" i="14"/>
  <c r="N50" i="15" s="1"/>
  <c r="Q51" i="14"/>
  <c r="N51" i="15" s="1"/>
  <c r="Q52" i="14"/>
  <c r="Q53" i="14"/>
  <c r="N53" i="15" s="1"/>
  <c r="Q54" i="14"/>
  <c r="N54" i="15" s="1"/>
  <c r="Q55" i="14"/>
  <c r="N55" i="15" s="1"/>
  <c r="Q56" i="14"/>
  <c r="N56" i="15" s="1"/>
  <c r="Q57" i="14"/>
  <c r="Q58" i="14"/>
  <c r="N58" i="15" s="1"/>
  <c r="Q59" i="14"/>
  <c r="N59" i="15" s="1"/>
  <c r="Q60" i="14"/>
  <c r="N60" i="15" s="1"/>
  <c r="Q61" i="14"/>
  <c r="N61" i="15" s="1"/>
  <c r="Q62" i="14"/>
  <c r="N62" i="15" s="1"/>
  <c r="Q63" i="14"/>
  <c r="N63" i="15" s="1"/>
  <c r="Q64" i="14"/>
  <c r="N64" i="15" s="1"/>
  <c r="Q65" i="14"/>
  <c r="Q66" i="14"/>
  <c r="N66" i="15" s="1"/>
  <c r="Q67" i="14"/>
  <c r="N67" i="15" s="1"/>
  <c r="Q68" i="14"/>
  <c r="N68" i="15" s="1"/>
  <c r="Q69" i="14"/>
  <c r="N69" i="15" s="1"/>
  <c r="Q70" i="14"/>
  <c r="N70" i="15" s="1"/>
  <c r="Q71" i="14"/>
  <c r="N71" i="15" s="1"/>
  <c r="Q72" i="14"/>
  <c r="N72" i="15" s="1"/>
  <c r="Q73" i="14"/>
  <c r="Q74" i="14"/>
  <c r="N74" i="15" s="1"/>
  <c r="Q75" i="14"/>
  <c r="N75" i="15" s="1"/>
  <c r="Q76" i="14"/>
  <c r="N76" i="15" s="1"/>
  <c r="Q77" i="14"/>
  <c r="N77" i="15" s="1"/>
  <c r="Q78" i="14"/>
  <c r="N78" i="15" s="1"/>
  <c r="Q79" i="14"/>
  <c r="N79" i="15" s="1"/>
  <c r="Q80" i="14"/>
  <c r="N80" i="15" s="1"/>
  <c r="Q81" i="14"/>
  <c r="Q82" i="14"/>
  <c r="N82" i="15" s="1"/>
  <c r="Q83" i="14"/>
  <c r="N83" i="15" s="1"/>
  <c r="Q84" i="14"/>
  <c r="N84" i="15" s="1"/>
  <c r="Q85" i="14"/>
  <c r="N85" i="15" s="1"/>
  <c r="Q86" i="14"/>
  <c r="N86" i="15" s="1"/>
  <c r="Q87" i="14"/>
  <c r="N87" i="15" s="1"/>
  <c r="Q88" i="14"/>
  <c r="N88" i="15" s="1"/>
  <c r="Q89" i="14"/>
  <c r="Q90" i="14"/>
  <c r="N90" i="15" s="1"/>
  <c r="Q91" i="14"/>
  <c r="N91" i="15" s="1"/>
  <c r="Q92" i="14"/>
  <c r="N92" i="15" s="1"/>
  <c r="Q93" i="14"/>
  <c r="N93" i="15" s="1"/>
  <c r="Q94" i="14"/>
  <c r="N94" i="15" s="1"/>
  <c r="Q95" i="14"/>
  <c r="N95" i="15" s="1"/>
  <c r="Q96" i="14"/>
  <c r="N96" i="15" s="1"/>
  <c r="Q97" i="14"/>
  <c r="Q98" i="14"/>
  <c r="N98" i="15" s="1"/>
  <c r="Q99" i="14"/>
  <c r="N99" i="15" s="1"/>
  <c r="Q100" i="14"/>
  <c r="N100" i="15" s="1"/>
  <c r="Q101" i="14"/>
  <c r="N101" i="15" s="1"/>
  <c r="Q102" i="14"/>
  <c r="N102" i="15" s="1"/>
  <c r="Q103" i="14"/>
  <c r="N103" i="15" s="1"/>
  <c r="Q104" i="14"/>
  <c r="N104" i="15" s="1"/>
  <c r="Q105" i="14"/>
  <c r="Q106" i="14"/>
  <c r="N106" i="15" s="1"/>
  <c r="Q107" i="14"/>
  <c r="N107" i="15" s="1"/>
  <c r="Q108" i="14"/>
  <c r="N108" i="15" s="1"/>
  <c r="Q109" i="14"/>
  <c r="N109" i="15" s="1"/>
  <c r="Q110" i="14"/>
  <c r="N110" i="15" s="1"/>
  <c r="Q111" i="14"/>
  <c r="N111" i="15" s="1"/>
  <c r="Q112" i="14"/>
  <c r="N112" i="15" s="1"/>
  <c r="Q113" i="14"/>
  <c r="Q114" i="14"/>
  <c r="Q115" i="14"/>
  <c r="N115" i="15" s="1"/>
  <c r="Q116" i="14"/>
  <c r="N116" i="15" s="1"/>
  <c r="Q117" i="14"/>
  <c r="N117" i="15" s="1"/>
  <c r="Q118" i="14"/>
  <c r="N118" i="15" s="1"/>
  <c r="Q119" i="14"/>
  <c r="N119" i="15" s="1"/>
  <c r="Q120" i="14"/>
  <c r="N120" i="15" s="1"/>
  <c r="Q121" i="14"/>
  <c r="Q122" i="14"/>
  <c r="Q123" i="14"/>
  <c r="N123" i="15" s="1"/>
  <c r="Q124" i="14"/>
  <c r="N124" i="15" s="1"/>
  <c r="Q125" i="14"/>
  <c r="N125" i="15" s="1"/>
  <c r="Q126" i="14"/>
  <c r="N126" i="15" s="1"/>
  <c r="Q127" i="14"/>
  <c r="N127" i="15" s="1"/>
  <c r="Q128" i="14"/>
  <c r="N128" i="15" s="1"/>
  <c r="Q129" i="14"/>
  <c r="Q130" i="14"/>
  <c r="Q131" i="14"/>
  <c r="N131" i="15" s="1"/>
  <c r="Q132" i="14"/>
  <c r="N132" i="15" s="1"/>
  <c r="Q133" i="14"/>
  <c r="N133" i="15" s="1"/>
  <c r="Q134" i="14"/>
  <c r="N134" i="15" s="1"/>
  <c r="Q135" i="14"/>
  <c r="N135" i="15" s="1"/>
  <c r="Q136" i="14"/>
  <c r="N136" i="15" s="1"/>
  <c r="Q137" i="14"/>
  <c r="Q138" i="14"/>
  <c r="Q139" i="14"/>
  <c r="N139" i="15" s="1"/>
  <c r="Q140" i="14"/>
  <c r="N140" i="15" s="1"/>
  <c r="Q141" i="14"/>
  <c r="N141" i="15" s="1"/>
  <c r="Q142" i="14"/>
  <c r="N142" i="15" s="1"/>
  <c r="Q143" i="14"/>
  <c r="N143" i="15" s="1"/>
  <c r="Q144" i="14"/>
  <c r="N144" i="15" s="1"/>
  <c r="Q145" i="14"/>
  <c r="Q146" i="14"/>
  <c r="Q147" i="14"/>
  <c r="N147" i="15" s="1"/>
  <c r="Q148" i="14"/>
  <c r="N148" i="15" s="1"/>
  <c r="Q149" i="14"/>
  <c r="N149" i="15" s="1"/>
  <c r="Q150" i="14"/>
  <c r="N150" i="15" s="1"/>
  <c r="Q151" i="14"/>
  <c r="N151" i="15" s="1"/>
  <c r="Q152" i="14"/>
  <c r="N152" i="15" s="1"/>
  <c r="Q153" i="14"/>
  <c r="Q154" i="14"/>
  <c r="Q155" i="14"/>
  <c r="N155" i="15" s="1"/>
  <c r="Q156" i="14"/>
  <c r="N156" i="15" s="1"/>
  <c r="Q157" i="14"/>
  <c r="N157" i="15" s="1"/>
  <c r="Q158" i="14"/>
  <c r="N158" i="15" s="1"/>
  <c r="Q159" i="14"/>
  <c r="N159" i="15" s="1"/>
  <c r="Q160" i="14"/>
  <c r="N160" i="15" s="1"/>
  <c r="Q161" i="14"/>
  <c r="Q162" i="14"/>
  <c r="Q163" i="14"/>
  <c r="N163" i="15" s="1"/>
  <c r="Q164" i="14"/>
  <c r="N164" i="15" s="1"/>
  <c r="Q165" i="14"/>
  <c r="N165" i="15" s="1"/>
  <c r="Q166" i="14"/>
  <c r="N166" i="15" s="1"/>
  <c r="Q167" i="14"/>
  <c r="N167" i="15" s="1"/>
  <c r="Q168" i="14"/>
  <c r="N168" i="15" s="1"/>
  <c r="Q169" i="14"/>
  <c r="Q170" i="14"/>
  <c r="Q171" i="14"/>
  <c r="N171" i="15" s="1"/>
  <c r="Q172" i="14"/>
  <c r="N172" i="15" s="1"/>
  <c r="Q173" i="14"/>
  <c r="N173" i="15" s="1"/>
  <c r="Q174" i="14"/>
  <c r="N174" i="15" s="1"/>
  <c r="Q175" i="14"/>
  <c r="N175" i="15" s="1"/>
  <c r="Q176" i="14"/>
  <c r="N176" i="15" s="1"/>
  <c r="Q177" i="14"/>
  <c r="Q178" i="14"/>
  <c r="Q179" i="14"/>
  <c r="N179" i="15" s="1"/>
  <c r="Q180" i="14"/>
  <c r="N180" i="15" s="1"/>
  <c r="Q181" i="14"/>
  <c r="N181" i="15" s="1"/>
  <c r="Q182" i="14"/>
  <c r="N182" i="15" s="1"/>
  <c r="Q183" i="14"/>
  <c r="N183" i="15" s="1"/>
  <c r="Q184" i="14"/>
  <c r="N184" i="15" s="1"/>
  <c r="Q185" i="14"/>
  <c r="Q186" i="14"/>
  <c r="Q187" i="14"/>
  <c r="N187" i="15" s="1"/>
  <c r="Q188" i="14"/>
  <c r="N188" i="15" s="1"/>
  <c r="Q189" i="14"/>
  <c r="N189" i="15" s="1"/>
  <c r="Q190" i="14"/>
  <c r="N190" i="15" s="1"/>
  <c r="Q191" i="14"/>
  <c r="N191" i="15" s="1"/>
  <c r="Q192" i="14"/>
  <c r="N192" i="15" s="1"/>
  <c r="Q193" i="14"/>
  <c r="Q194" i="14"/>
  <c r="Q195" i="14"/>
  <c r="N195" i="15" s="1"/>
  <c r="Q196" i="14"/>
  <c r="N196" i="15" s="1"/>
  <c r="Q197" i="14"/>
  <c r="N197" i="15" s="1"/>
  <c r="Q198" i="14"/>
  <c r="N198" i="15" s="1"/>
  <c r="Q199" i="14"/>
  <c r="N199" i="15" s="1"/>
  <c r="Q200" i="14"/>
  <c r="N200" i="15" s="1"/>
  <c r="Q201" i="14"/>
  <c r="Q202" i="14"/>
  <c r="Q203" i="14"/>
  <c r="N203" i="15" s="1"/>
  <c r="Q204" i="14"/>
  <c r="N204" i="15" s="1"/>
  <c r="Q205" i="14"/>
  <c r="N205" i="15" s="1"/>
  <c r="Q206" i="14"/>
  <c r="N206" i="15" s="1"/>
  <c r="Q207" i="14"/>
  <c r="N207" i="15" s="1"/>
  <c r="Q208" i="14"/>
  <c r="N208" i="15" s="1"/>
  <c r="Q209" i="14"/>
  <c r="Q210" i="14"/>
  <c r="Q211" i="14"/>
  <c r="N211" i="15" s="1"/>
  <c r="Q212" i="14"/>
  <c r="N212" i="15" s="1"/>
  <c r="Q213" i="14"/>
  <c r="N213" i="15" s="1"/>
  <c r="Q214" i="14"/>
  <c r="N214" i="15" s="1"/>
  <c r="Q215" i="14"/>
  <c r="N215" i="15" s="1"/>
  <c r="Q216" i="14"/>
  <c r="N216" i="15" s="1"/>
  <c r="Q217" i="14"/>
  <c r="Q218" i="14"/>
  <c r="Q219" i="14"/>
  <c r="N219" i="15" s="1"/>
  <c r="Q220" i="14"/>
  <c r="N220" i="15" s="1"/>
  <c r="Q221" i="14"/>
  <c r="N221" i="15" s="1"/>
  <c r="Q222" i="14"/>
  <c r="N222" i="15" s="1"/>
  <c r="Q223" i="14"/>
  <c r="N223" i="15" s="1"/>
  <c r="Q224" i="14"/>
  <c r="N224" i="15" s="1"/>
  <c r="Q225" i="14"/>
  <c r="Q226" i="14"/>
  <c r="Q227" i="14"/>
  <c r="N227" i="15" s="1"/>
  <c r="Q228" i="14"/>
  <c r="N228" i="15" s="1"/>
  <c r="Q229" i="14"/>
  <c r="N229" i="15" s="1"/>
  <c r="Q230" i="14"/>
  <c r="N230" i="15" s="1"/>
  <c r="Q231" i="14"/>
  <c r="N231" i="15" s="1"/>
  <c r="Q232" i="14"/>
  <c r="N232" i="15" s="1"/>
  <c r="Q233" i="14"/>
  <c r="Q234" i="14"/>
  <c r="Q235" i="14"/>
  <c r="N235" i="15" s="1"/>
  <c r="Q236" i="14"/>
  <c r="N236" i="15" s="1"/>
  <c r="Q237" i="14"/>
  <c r="N237" i="15" s="1"/>
  <c r="Q238" i="14"/>
  <c r="N238" i="15" s="1"/>
  <c r="Q239" i="14"/>
  <c r="N239" i="15" s="1"/>
  <c r="Q240" i="14"/>
  <c r="N240" i="15" s="1"/>
  <c r="Q241" i="14"/>
  <c r="Q242" i="14"/>
  <c r="Q243" i="14"/>
  <c r="N243" i="15" s="1"/>
  <c r="Q244" i="14"/>
  <c r="N244" i="15" s="1"/>
  <c r="Q245" i="14"/>
  <c r="N245" i="15" s="1"/>
  <c r="Q246" i="14"/>
  <c r="N246" i="15" s="1"/>
  <c r="Q247" i="14"/>
  <c r="N247" i="15" s="1"/>
  <c r="Q248" i="14"/>
  <c r="N248" i="15" s="1"/>
  <c r="Q249" i="14"/>
  <c r="Q250" i="14"/>
  <c r="Q251" i="14"/>
  <c r="N251" i="15" s="1"/>
  <c r="Q252" i="14"/>
  <c r="N252" i="15" s="1"/>
  <c r="Q253" i="14"/>
  <c r="N253" i="15" s="1"/>
  <c r="Q254" i="14"/>
  <c r="N254" i="15" s="1"/>
  <c r="Q255" i="14"/>
  <c r="N255" i="15" s="1"/>
  <c r="Q256" i="14"/>
  <c r="N256" i="15" s="1"/>
  <c r="Q257" i="14"/>
  <c r="Q258" i="14"/>
  <c r="Q259" i="14"/>
  <c r="N259" i="15" s="1"/>
  <c r="Q260" i="14"/>
  <c r="N260" i="15" s="1"/>
  <c r="Q261" i="14"/>
  <c r="N261" i="15" s="1"/>
  <c r="Q262" i="14"/>
  <c r="N262" i="15" s="1"/>
  <c r="Q263" i="14"/>
  <c r="N263" i="15" s="1"/>
  <c r="Q264" i="14"/>
  <c r="N264" i="15" s="1"/>
  <c r="Q265" i="14"/>
  <c r="Q266" i="14"/>
  <c r="Q267" i="14"/>
  <c r="N267" i="15" s="1"/>
  <c r="Q268" i="14"/>
  <c r="N268" i="15" s="1"/>
  <c r="Q269" i="14"/>
  <c r="N269" i="15" s="1"/>
  <c r="Q270" i="14"/>
  <c r="N270" i="15" s="1"/>
  <c r="Q271" i="14"/>
  <c r="N271" i="15" s="1"/>
  <c r="Q272" i="14"/>
  <c r="N272" i="15" s="1"/>
  <c r="Q273" i="14"/>
  <c r="Q274" i="14"/>
  <c r="Q275" i="14"/>
  <c r="N275" i="15" s="1"/>
  <c r="Q276" i="14"/>
  <c r="N276" i="15" s="1"/>
  <c r="Q277" i="14"/>
  <c r="N277" i="15" s="1"/>
  <c r="Q278" i="14"/>
  <c r="N278" i="15" s="1"/>
  <c r="Q279" i="14"/>
  <c r="N279" i="15" s="1"/>
  <c r="Q280" i="14"/>
  <c r="N280" i="15" s="1"/>
  <c r="Q281" i="14"/>
  <c r="Q282" i="14"/>
  <c r="N282" i="15" s="1"/>
  <c r="Q283" i="14"/>
  <c r="N283" i="15" s="1"/>
  <c r="Q284" i="14"/>
  <c r="N284" i="15" s="1"/>
  <c r="Q285" i="14"/>
  <c r="N285" i="15" s="1"/>
  <c r="Q286" i="14"/>
  <c r="N286" i="15" s="1"/>
  <c r="Q287" i="14"/>
  <c r="N287" i="15" s="1"/>
  <c r="Q288" i="14"/>
  <c r="N288" i="15" s="1"/>
  <c r="Q289" i="14"/>
  <c r="Q290" i="14"/>
  <c r="Q291" i="14"/>
  <c r="N291" i="15" s="1"/>
  <c r="Q292" i="14"/>
  <c r="N292" i="15" s="1"/>
  <c r="Q293" i="14"/>
  <c r="N293" i="15" s="1"/>
  <c r="Q294" i="14"/>
  <c r="N294" i="15" s="1"/>
  <c r="Q295" i="14"/>
  <c r="N295" i="15" s="1"/>
  <c r="Q296" i="14"/>
  <c r="N296" i="15" s="1"/>
  <c r="Q297" i="14"/>
  <c r="Q298" i="14"/>
  <c r="Q299" i="14"/>
  <c r="N299" i="15" s="1"/>
  <c r="Q300" i="14"/>
  <c r="N300" i="15" s="1"/>
  <c r="Q301" i="14"/>
  <c r="N301" i="15" s="1"/>
  <c r="Q302" i="14"/>
  <c r="N302" i="15" s="1"/>
  <c r="Q303" i="14"/>
  <c r="N303" i="15" s="1"/>
  <c r="Q304" i="14"/>
  <c r="N304" i="15" s="1"/>
  <c r="Q305" i="14"/>
  <c r="Q306" i="14"/>
  <c r="Q307" i="14"/>
  <c r="N307" i="15" s="1"/>
  <c r="Q308" i="14"/>
  <c r="N308" i="15" s="1"/>
  <c r="Q309" i="14"/>
  <c r="N309" i="15" s="1"/>
  <c r="Q310" i="14"/>
  <c r="N310" i="15" s="1"/>
  <c r="Q311" i="14"/>
  <c r="N311" i="15" s="1"/>
  <c r="Q312" i="14"/>
  <c r="N312" i="15" s="1"/>
  <c r="Q313" i="14"/>
  <c r="Q314" i="14"/>
  <c r="Q315" i="14"/>
  <c r="N315" i="15" s="1"/>
  <c r="Q316" i="14"/>
  <c r="N316" i="15" s="1"/>
  <c r="Q317" i="14"/>
  <c r="N317" i="15" s="1"/>
  <c r="Q318" i="14"/>
  <c r="N318" i="15" s="1"/>
  <c r="Q319" i="14"/>
  <c r="N319" i="15" s="1"/>
  <c r="Q320" i="14"/>
  <c r="N320" i="15" s="1"/>
  <c r="Q321" i="14"/>
  <c r="Q322" i="14"/>
  <c r="Q323" i="14"/>
  <c r="N323" i="15" s="1"/>
  <c r="Q324" i="14"/>
  <c r="N324" i="15" s="1"/>
  <c r="Q325" i="14"/>
  <c r="N325" i="15" s="1"/>
  <c r="Q326" i="14"/>
  <c r="N326" i="15" s="1"/>
  <c r="Q327" i="14"/>
  <c r="N327" i="15" s="1"/>
  <c r="Q328" i="14"/>
  <c r="N328" i="15" s="1"/>
  <c r="Q329" i="14"/>
  <c r="Q330" i="14"/>
  <c r="Q331" i="14"/>
  <c r="N331" i="15" s="1"/>
  <c r="Q332" i="14"/>
  <c r="N332" i="15" s="1"/>
  <c r="Q333" i="14"/>
  <c r="N333" i="15" s="1"/>
  <c r="Q334" i="14"/>
  <c r="N334" i="15" s="1"/>
  <c r="Q335" i="14"/>
  <c r="N335" i="15" s="1"/>
  <c r="Q336" i="14"/>
  <c r="N336" i="15" s="1"/>
  <c r="Q337" i="14"/>
  <c r="Q338" i="14"/>
  <c r="Q339" i="14"/>
  <c r="N339" i="15" s="1"/>
  <c r="Q340" i="14"/>
  <c r="N340" i="15" s="1"/>
  <c r="Q341" i="14"/>
  <c r="N341" i="15" s="1"/>
  <c r="Q342" i="14"/>
  <c r="N342" i="15" s="1"/>
  <c r="Q343" i="14"/>
  <c r="N343" i="15" s="1"/>
  <c r="Q344" i="14"/>
  <c r="N344" i="15" s="1"/>
  <c r="Q345" i="14"/>
  <c r="Q346" i="14"/>
  <c r="Q347" i="14"/>
  <c r="N347" i="15" s="1"/>
  <c r="Q348" i="14"/>
  <c r="N348" i="15" s="1"/>
  <c r="Q349" i="14"/>
  <c r="N349" i="15" s="1"/>
  <c r="Q350" i="14"/>
  <c r="N350" i="15" s="1"/>
  <c r="Q351" i="14"/>
  <c r="N351" i="15" s="1"/>
  <c r="I2" i="14"/>
  <c r="I3" i="14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1" i="14"/>
  <c r="I72" i="14"/>
  <c r="I73" i="14"/>
  <c r="I74" i="14"/>
  <c r="I75" i="14"/>
  <c r="I76" i="14"/>
  <c r="I77" i="14"/>
  <c r="I78" i="14"/>
  <c r="I79" i="14"/>
  <c r="I80" i="14"/>
  <c r="I81" i="14"/>
  <c r="I82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101" i="14"/>
  <c r="I102" i="14"/>
  <c r="I103" i="14"/>
  <c r="I104" i="14"/>
  <c r="I105" i="14"/>
  <c r="I106" i="14"/>
  <c r="I107" i="14"/>
  <c r="I108" i="14"/>
  <c r="I109" i="14"/>
  <c r="I110" i="14"/>
  <c r="I111" i="14"/>
  <c r="I112" i="14"/>
  <c r="I113" i="14"/>
  <c r="I114" i="14"/>
  <c r="I115" i="14"/>
  <c r="I116" i="14"/>
  <c r="I117" i="14"/>
  <c r="I118" i="14"/>
  <c r="I119" i="14"/>
  <c r="I120" i="14"/>
  <c r="I121" i="14"/>
  <c r="I122" i="14"/>
  <c r="I123" i="14"/>
  <c r="I124" i="14"/>
  <c r="I125" i="14"/>
  <c r="I126" i="14"/>
  <c r="I127" i="14"/>
  <c r="I128" i="14"/>
  <c r="I129" i="14"/>
  <c r="I130" i="14"/>
  <c r="I131" i="14"/>
  <c r="I132" i="14"/>
  <c r="I133" i="14"/>
  <c r="I134" i="14"/>
  <c r="I135" i="14"/>
  <c r="I136" i="14"/>
  <c r="I137" i="14"/>
  <c r="I138" i="14"/>
  <c r="I139" i="14"/>
  <c r="I140" i="14"/>
  <c r="I141" i="14"/>
  <c r="I142" i="14"/>
  <c r="I143" i="14"/>
  <c r="I144" i="14"/>
  <c r="I145" i="14"/>
  <c r="I146" i="14"/>
  <c r="I147" i="14"/>
  <c r="I148" i="14"/>
  <c r="I149" i="14"/>
  <c r="I150" i="14"/>
  <c r="I151" i="14"/>
  <c r="I152" i="14"/>
  <c r="I153" i="14"/>
  <c r="I154" i="14"/>
  <c r="I155" i="14"/>
  <c r="I156" i="14"/>
  <c r="I157" i="14"/>
  <c r="I158" i="14"/>
  <c r="I159" i="14"/>
  <c r="I160" i="14"/>
  <c r="I161" i="14"/>
  <c r="I162" i="14"/>
  <c r="I163" i="14"/>
  <c r="I164" i="14"/>
  <c r="I165" i="14"/>
  <c r="I166" i="14"/>
  <c r="I167" i="14"/>
  <c r="I168" i="14"/>
  <c r="I169" i="14"/>
  <c r="I170" i="14"/>
  <c r="I171" i="14"/>
  <c r="I172" i="14"/>
  <c r="I173" i="14"/>
  <c r="I174" i="14"/>
  <c r="I175" i="14"/>
  <c r="I176" i="14"/>
  <c r="I177" i="14"/>
  <c r="I178" i="14"/>
  <c r="I179" i="14"/>
  <c r="I180" i="14"/>
  <c r="I181" i="14"/>
  <c r="I182" i="14"/>
  <c r="I183" i="14"/>
  <c r="I184" i="14"/>
  <c r="I185" i="14"/>
  <c r="I186" i="14"/>
  <c r="I187" i="14"/>
  <c r="I188" i="14"/>
  <c r="I189" i="14"/>
  <c r="I190" i="14"/>
  <c r="I191" i="14"/>
  <c r="I192" i="14"/>
  <c r="I193" i="14"/>
  <c r="I194" i="14"/>
  <c r="I195" i="14"/>
  <c r="I196" i="14"/>
  <c r="I197" i="14"/>
  <c r="I198" i="14"/>
  <c r="I199" i="14"/>
  <c r="I200" i="14"/>
  <c r="I201" i="14"/>
  <c r="I202" i="14"/>
  <c r="I203" i="14"/>
  <c r="I204" i="14"/>
  <c r="I205" i="14"/>
  <c r="I206" i="14"/>
  <c r="I207" i="14"/>
  <c r="I208" i="14"/>
  <c r="I209" i="14"/>
  <c r="I210" i="14"/>
  <c r="I211" i="14"/>
  <c r="I212" i="14"/>
  <c r="I213" i="14"/>
  <c r="I214" i="14"/>
  <c r="I215" i="14"/>
  <c r="I216" i="14"/>
  <c r="I217" i="14"/>
  <c r="I218" i="14"/>
  <c r="I219" i="14"/>
  <c r="I220" i="14"/>
  <c r="I221" i="14"/>
  <c r="I222" i="14"/>
  <c r="I223" i="14"/>
  <c r="I224" i="14"/>
  <c r="I225" i="14"/>
  <c r="I226" i="14"/>
  <c r="I227" i="14"/>
  <c r="I228" i="14"/>
  <c r="I229" i="14"/>
  <c r="I230" i="14"/>
  <c r="I231" i="14"/>
  <c r="I232" i="14"/>
  <c r="I233" i="14"/>
  <c r="I234" i="14"/>
  <c r="I235" i="14"/>
  <c r="I236" i="14"/>
  <c r="I237" i="14"/>
  <c r="I238" i="14"/>
  <c r="I239" i="14"/>
  <c r="I240" i="14"/>
  <c r="I241" i="14"/>
  <c r="I242" i="14"/>
  <c r="I243" i="14"/>
  <c r="I244" i="14"/>
  <c r="I245" i="14"/>
  <c r="I246" i="14"/>
  <c r="I247" i="14"/>
  <c r="I248" i="14"/>
  <c r="I249" i="14"/>
  <c r="I250" i="14"/>
  <c r="I251" i="14"/>
  <c r="I252" i="14"/>
  <c r="I253" i="14"/>
  <c r="I254" i="14"/>
  <c r="I255" i="14"/>
  <c r="I256" i="14"/>
  <c r="I257" i="14"/>
  <c r="I258" i="14"/>
  <c r="I259" i="14"/>
  <c r="I260" i="14"/>
  <c r="I261" i="14"/>
  <c r="I262" i="14"/>
  <c r="I263" i="14"/>
  <c r="I264" i="14"/>
  <c r="I265" i="14"/>
  <c r="I266" i="14"/>
  <c r="I267" i="14"/>
  <c r="I268" i="14"/>
  <c r="I269" i="14"/>
  <c r="I270" i="14"/>
  <c r="I271" i="14"/>
  <c r="I272" i="14"/>
  <c r="I273" i="14"/>
  <c r="I274" i="14"/>
  <c r="I275" i="14"/>
  <c r="I276" i="14"/>
  <c r="I277" i="14"/>
  <c r="I278" i="14"/>
  <c r="I279" i="14"/>
  <c r="I280" i="14"/>
  <c r="I281" i="14"/>
  <c r="I282" i="14"/>
  <c r="I283" i="14"/>
  <c r="I284" i="14"/>
  <c r="I285" i="14"/>
  <c r="I286" i="14"/>
  <c r="I287" i="14"/>
  <c r="I288" i="14"/>
  <c r="I289" i="14"/>
  <c r="I290" i="14"/>
  <c r="I291" i="14"/>
  <c r="I292" i="14"/>
  <c r="I293" i="14"/>
  <c r="I294" i="14"/>
  <c r="I295" i="14"/>
  <c r="I296" i="14"/>
  <c r="I297" i="14"/>
  <c r="I298" i="14"/>
  <c r="I299" i="14"/>
  <c r="I300" i="14"/>
  <c r="I301" i="14"/>
  <c r="I302" i="14"/>
  <c r="I303" i="14"/>
  <c r="I304" i="14"/>
  <c r="I305" i="14"/>
  <c r="I306" i="14"/>
  <c r="I307" i="14"/>
  <c r="I308" i="14"/>
  <c r="I309" i="14"/>
  <c r="I310" i="14"/>
  <c r="I311" i="14"/>
  <c r="I312" i="14"/>
  <c r="I313" i="14"/>
  <c r="I314" i="14"/>
  <c r="I315" i="14"/>
  <c r="I316" i="14"/>
  <c r="I317" i="14"/>
  <c r="I318" i="14"/>
  <c r="I319" i="14"/>
  <c r="I320" i="14"/>
  <c r="I321" i="14"/>
  <c r="I322" i="14"/>
  <c r="I323" i="14"/>
  <c r="I324" i="14"/>
  <c r="I325" i="14"/>
  <c r="I326" i="14"/>
  <c r="I327" i="14"/>
  <c r="I328" i="14"/>
  <c r="I329" i="14"/>
  <c r="I330" i="14"/>
  <c r="I331" i="14"/>
  <c r="I332" i="14"/>
  <c r="I333" i="14"/>
  <c r="I334" i="14"/>
  <c r="I335" i="14"/>
  <c r="I336" i="14"/>
  <c r="I337" i="14"/>
  <c r="I338" i="14"/>
  <c r="I339" i="14"/>
  <c r="I340" i="14"/>
  <c r="I341" i="14"/>
  <c r="I342" i="14"/>
  <c r="I343" i="14"/>
  <c r="I344" i="14"/>
  <c r="I345" i="14"/>
  <c r="I346" i="14"/>
  <c r="I347" i="14"/>
  <c r="I348" i="14"/>
  <c r="I349" i="14"/>
  <c r="I350" i="14"/>
  <c r="I351" i="14"/>
  <c r="C3" i="20"/>
  <c r="D3" i="20" s="1"/>
  <c r="C4" i="20"/>
  <c r="D4" i="20" s="1"/>
  <c r="C5" i="20"/>
  <c r="D5" i="20" s="1"/>
  <c r="G164" i="14" s="1"/>
  <c r="F164" i="15" s="1"/>
  <c r="U164" i="15" s="1"/>
  <c r="C6" i="20"/>
  <c r="D6" i="20" s="1"/>
  <c r="G6" i="14" s="1"/>
  <c r="F6" i="15" s="1"/>
  <c r="U6" i="15" s="1"/>
  <c r="C7" i="20"/>
  <c r="D7" i="20" s="1"/>
  <c r="C8" i="20"/>
  <c r="D8" i="20" s="1"/>
  <c r="C9" i="20"/>
  <c r="D9" i="20" s="1"/>
  <c r="C10" i="20"/>
  <c r="D10" i="20" s="1"/>
  <c r="C11" i="20"/>
  <c r="D11" i="20" s="1"/>
  <c r="C12" i="20"/>
  <c r="D12" i="20" s="1"/>
  <c r="C13" i="20"/>
  <c r="D13" i="20" s="1"/>
  <c r="G85" i="14" s="1"/>
  <c r="F85" i="15" s="1"/>
  <c r="U85" i="15" s="1"/>
  <c r="C14" i="20"/>
  <c r="D14" i="20" s="1"/>
  <c r="G223" i="14" s="1"/>
  <c r="C15" i="20"/>
  <c r="D15" i="20" s="1"/>
  <c r="G20" i="14" s="1"/>
  <c r="F20" i="15" s="1"/>
  <c r="U20" i="15" s="1"/>
  <c r="C16" i="20"/>
  <c r="D16" i="20" s="1"/>
  <c r="C17" i="20"/>
  <c r="D17" i="20" s="1"/>
  <c r="C18" i="20"/>
  <c r="D18" i="20" s="1"/>
  <c r="C19" i="20"/>
  <c r="D19" i="20" s="1"/>
  <c r="C20" i="20"/>
  <c r="D20" i="20" s="1"/>
  <c r="C21" i="20"/>
  <c r="D21" i="20" s="1"/>
  <c r="G119" i="14" s="1"/>
  <c r="F119" i="15" s="1"/>
  <c r="U119" i="15" s="1"/>
  <c r="C22" i="20"/>
  <c r="D22" i="20" s="1"/>
  <c r="C23" i="20"/>
  <c r="D23" i="20" s="1"/>
  <c r="G213" i="14" s="1"/>
  <c r="F213" i="15" s="1"/>
  <c r="U213" i="15" s="1"/>
  <c r="C24" i="20"/>
  <c r="D24" i="20" s="1"/>
  <c r="C25" i="20"/>
  <c r="D25" i="20" s="1"/>
  <c r="C26" i="20"/>
  <c r="D26" i="20" s="1"/>
  <c r="C27" i="20"/>
  <c r="D27" i="20" s="1"/>
  <c r="C28" i="20"/>
  <c r="D28" i="20" s="1"/>
  <c r="G32" i="14" s="1"/>
  <c r="F32" i="15" s="1"/>
  <c r="U32" i="15" s="1"/>
  <c r="C29" i="20"/>
  <c r="D29" i="20" s="1"/>
  <c r="G253" i="14" s="1"/>
  <c r="F253" i="15" s="1"/>
  <c r="U253" i="15" s="1"/>
  <c r="C30" i="20"/>
  <c r="D30" i="20" s="1"/>
  <c r="C31" i="20"/>
  <c r="D31" i="20" s="1"/>
  <c r="G220" i="14" s="1"/>
  <c r="F220" i="15" s="1"/>
  <c r="U220" i="15" s="1"/>
  <c r="C32" i="20"/>
  <c r="D32" i="20" s="1"/>
  <c r="C33" i="20"/>
  <c r="D33" i="20" s="1"/>
  <c r="C34" i="20"/>
  <c r="D34" i="20" s="1"/>
  <c r="C35" i="20"/>
  <c r="D35" i="20" s="1"/>
  <c r="C36" i="20"/>
  <c r="D36" i="20" s="1"/>
  <c r="C37" i="20"/>
  <c r="D37" i="20" s="1"/>
  <c r="G44" i="14" s="1"/>
  <c r="F44" i="15" s="1"/>
  <c r="U44" i="15" s="1"/>
  <c r="C38" i="20"/>
  <c r="D38" i="20" s="1"/>
  <c r="C39" i="20"/>
  <c r="D39" i="20" s="1"/>
  <c r="G46" i="14" s="1"/>
  <c r="F46" i="15" s="1"/>
  <c r="U46" i="15" s="1"/>
  <c r="C40" i="20"/>
  <c r="D40" i="20" s="1"/>
  <c r="C41" i="20"/>
  <c r="D41" i="20" s="1"/>
  <c r="C42" i="20"/>
  <c r="D42" i="20" s="1"/>
  <c r="C43" i="20"/>
  <c r="D43" i="20" s="1"/>
  <c r="C44" i="20"/>
  <c r="D44" i="20" s="1"/>
  <c r="G53" i="14" s="1"/>
  <c r="F53" i="15" s="1"/>
  <c r="U53" i="15" s="1"/>
  <c r="C45" i="20"/>
  <c r="D45" i="20" s="1"/>
  <c r="G58" i="14" s="1"/>
  <c r="F58" i="15" s="1"/>
  <c r="U58" i="15" s="1"/>
  <c r="C46" i="20"/>
  <c r="D46" i="20" s="1"/>
  <c r="C47" i="20"/>
  <c r="D47" i="20" s="1"/>
  <c r="G62" i="14" s="1"/>
  <c r="F62" i="15" s="1"/>
  <c r="U62" i="15" s="1"/>
  <c r="C48" i="20"/>
  <c r="D48" i="20" s="1"/>
  <c r="C49" i="20"/>
  <c r="D49" i="20" s="1"/>
  <c r="C50" i="20"/>
  <c r="D50" i="20" s="1"/>
  <c r="C51" i="20"/>
  <c r="D51" i="20" s="1"/>
  <c r="C52" i="20"/>
  <c r="D52" i="20" s="1"/>
  <c r="C53" i="20"/>
  <c r="D53" i="20" s="1"/>
  <c r="G79" i="14" s="1"/>
  <c r="F79" i="15" s="1"/>
  <c r="U79" i="15" s="1"/>
  <c r="C54" i="20"/>
  <c r="D54" i="20" s="1"/>
  <c r="C55" i="20"/>
  <c r="D55" i="20" s="1"/>
  <c r="C56" i="20"/>
  <c r="D56" i="20" s="1"/>
  <c r="C57" i="20"/>
  <c r="D57" i="20" s="1"/>
  <c r="G100" i="14" s="1"/>
  <c r="C58" i="20"/>
  <c r="D58" i="20" s="1"/>
  <c r="C59" i="20"/>
  <c r="D59" i="20" s="1"/>
  <c r="G107" i="14" s="1"/>
  <c r="F107" i="15" s="1"/>
  <c r="U107" i="15" s="1"/>
  <c r="C60" i="20"/>
  <c r="D60" i="20" s="1"/>
  <c r="G108" i="14" s="1"/>
  <c r="F108" i="15" s="1"/>
  <c r="U108" i="15" s="1"/>
  <c r="C61" i="20"/>
  <c r="D61" i="20" s="1"/>
  <c r="G156" i="14" s="1"/>
  <c r="F156" i="15" s="1"/>
  <c r="U156" i="15" s="1"/>
  <c r="C62" i="20"/>
  <c r="D62" i="20" s="1"/>
  <c r="G114" i="14" s="1"/>
  <c r="F114" i="15" s="1"/>
  <c r="U114" i="15" s="1"/>
  <c r="C63" i="20"/>
  <c r="D63" i="20" s="1"/>
  <c r="C64" i="20"/>
  <c r="D64" i="20" s="1"/>
  <c r="C65" i="20"/>
  <c r="D65" i="20" s="1"/>
  <c r="C66" i="20"/>
  <c r="D66" i="20" s="1"/>
  <c r="C67" i="20"/>
  <c r="D67" i="20" s="1"/>
  <c r="C68" i="20"/>
  <c r="D68" i="20" s="1"/>
  <c r="G130" i="14" s="1"/>
  <c r="F130" i="15" s="1"/>
  <c r="U130" i="15" s="1"/>
  <c r="C69" i="20"/>
  <c r="D69" i="20" s="1"/>
  <c r="G133" i="14" s="1"/>
  <c r="F133" i="15" s="1"/>
  <c r="U133" i="15" s="1"/>
  <c r="C70" i="20"/>
  <c r="D70" i="20" s="1"/>
  <c r="C71" i="20"/>
  <c r="D71" i="20" s="1"/>
  <c r="C72" i="20"/>
  <c r="D72" i="20" s="1"/>
  <c r="C73" i="20"/>
  <c r="D73" i="20" s="1"/>
  <c r="C74" i="20"/>
  <c r="D74" i="20" s="1"/>
  <c r="G146" i="14" s="1"/>
  <c r="F146" i="15" s="1"/>
  <c r="U146" i="15" s="1"/>
  <c r="C75" i="20"/>
  <c r="D75" i="20" s="1"/>
  <c r="C76" i="20"/>
  <c r="D76" i="20" s="1"/>
  <c r="C77" i="20"/>
  <c r="D77" i="20" s="1"/>
  <c r="G163" i="14" s="1"/>
  <c r="F163" i="15" s="1"/>
  <c r="U163" i="15" s="1"/>
  <c r="C78" i="20"/>
  <c r="D78" i="20" s="1"/>
  <c r="C79" i="20"/>
  <c r="D79" i="20" s="1"/>
  <c r="G193" i="14" s="1"/>
  <c r="F193" i="15" s="1"/>
  <c r="U193" i="15" s="1"/>
  <c r="C80" i="20"/>
  <c r="D80" i="20" s="1"/>
  <c r="G197" i="14" s="1"/>
  <c r="F197" i="15" s="1"/>
  <c r="U197" i="15" s="1"/>
  <c r="C81" i="20"/>
  <c r="D81" i="20" s="1"/>
  <c r="C82" i="20"/>
  <c r="D82" i="20" s="1"/>
  <c r="C83" i="20"/>
  <c r="D83" i="20" s="1"/>
  <c r="C84" i="20"/>
  <c r="D84" i="20" s="1"/>
  <c r="C85" i="20"/>
  <c r="D85" i="20" s="1"/>
  <c r="G259" i="14" s="1"/>
  <c r="F259" i="15" s="1"/>
  <c r="U259" i="15" s="1"/>
  <c r="C86" i="20"/>
  <c r="D86" i="20" s="1"/>
  <c r="G212" i="14" s="1"/>
  <c r="F212" i="15" s="1"/>
  <c r="U212" i="15" s="1"/>
  <c r="C87" i="20"/>
  <c r="D87" i="20" s="1"/>
  <c r="G228" i="14" s="1"/>
  <c r="F228" i="15" s="1"/>
  <c r="U228" i="15" s="1"/>
  <c r="C88" i="20"/>
  <c r="D88" i="20" s="1"/>
  <c r="C89" i="20"/>
  <c r="D89" i="20" s="1"/>
  <c r="G238" i="14" s="1"/>
  <c r="F238" i="15" s="1"/>
  <c r="U238" i="15" s="1"/>
  <c r="C90" i="20"/>
  <c r="D90" i="20" s="1"/>
  <c r="C91" i="20"/>
  <c r="D91" i="20" s="1"/>
  <c r="G244" i="14" s="1"/>
  <c r="F244" i="15" s="1"/>
  <c r="U244" i="15" s="1"/>
  <c r="C92" i="20"/>
  <c r="D92" i="20" s="1"/>
  <c r="C93" i="20"/>
  <c r="D93" i="20" s="1"/>
  <c r="G308" i="14" s="1"/>
  <c r="F308" i="15" s="1"/>
  <c r="U308" i="15" s="1"/>
  <c r="C94" i="20"/>
  <c r="D94" i="20" s="1"/>
  <c r="C95" i="20"/>
  <c r="D95" i="20" s="1"/>
  <c r="C96" i="20"/>
  <c r="D96" i="20" s="1"/>
  <c r="C97" i="20"/>
  <c r="D97" i="20" s="1"/>
  <c r="C98" i="20"/>
  <c r="D98" i="20" s="1"/>
  <c r="C99" i="20"/>
  <c r="D99" i="20" s="1"/>
  <c r="C100" i="20"/>
  <c r="D100" i="20" s="1"/>
  <c r="C101" i="20"/>
  <c r="D101" i="20" s="1"/>
  <c r="G348" i="14" s="1"/>
  <c r="F348" i="15" s="1"/>
  <c r="U348" i="15" s="1"/>
  <c r="C102" i="20"/>
  <c r="D102" i="20" s="1"/>
  <c r="C103" i="20"/>
  <c r="D103" i="20" s="1"/>
  <c r="C104" i="20"/>
  <c r="D104" i="20" s="1"/>
  <c r="C105" i="20"/>
  <c r="D105" i="20" s="1"/>
  <c r="C106" i="20"/>
  <c r="D106" i="20" s="1"/>
  <c r="C107" i="20"/>
  <c r="D107" i="20" s="1"/>
  <c r="C2" i="20"/>
  <c r="D2" i="20" s="1"/>
  <c r="B3" i="20"/>
  <c r="B4" i="20"/>
  <c r="B5" i="20"/>
  <c r="B6" i="20"/>
  <c r="B7" i="20"/>
  <c r="B8" i="20"/>
  <c r="B9" i="20"/>
  <c r="B10" i="20"/>
  <c r="B11" i="20"/>
  <c r="B12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2" i="20"/>
  <c r="D2" i="14"/>
  <c r="B2" i="15" s="1"/>
  <c r="D3" i="14"/>
  <c r="B3" i="15" s="1"/>
  <c r="D4" i="14"/>
  <c r="D5" i="14"/>
  <c r="B5" i="15" s="1"/>
  <c r="D6" i="14"/>
  <c r="B6" i="15" s="1"/>
  <c r="D7" i="14"/>
  <c r="B7" i="15" s="1"/>
  <c r="D8" i="14"/>
  <c r="B8" i="15" s="1"/>
  <c r="D9" i="14"/>
  <c r="B9" i="15" s="1"/>
  <c r="D10" i="14"/>
  <c r="B10" i="15" s="1"/>
  <c r="D11" i="14"/>
  <c r="B11" i="15" s="1"/>
  <c r="D12" i="14"/>
  <c r="B12" i="15" s="1"/>
  <c r="D13" i="14"/>
  <c r="B13" i="15" s="1"/>
  <c r="D14" i="14"/>
  <c r="B14" i="15" s="1"/>
  <c r="D15" i="14"/>
  <c r="D16" i="14"/>
  <c r="B16" i="15" s="1"/>
  <c r="D17" i="14"/>
  <c r="B17" i="15" s="1"/>
  <c r="D18" i="14"/>
  <c r="B18" i="15" s="1"/>
  <c r="D19" i="14"/>
  <c r="B19" i="15" s="1"/>
  <c r="D20" i="14"/>
  <c r="B20" i="15" s="1"/>
  <c r="D21" i="14"/>
  <c r="B21" i="15" s="1"/>
  <c r="D22" i="14"/>
  <c r="B22" i="15" s="1"/>
  <c r="D23" i="14"/>
  <c r="D24" i="14"/>
  <c r="B24" i="15" s="1"/>
  <c r="D25" i="14"/>
  <c r="D26" i="14"/>
  <c r="D27" i="14"/>
  <c r="B27" i="15" s="1"/>
  <c r="D28" i="14"/>
  <c r="B28" i="15" s="1"/>
  <c r="D29" i="14"/>
  <c r="B29" i="15" s="1"/>
  <c r="D30" i="14"/>
  <c r="B30" i="15" s="1"/>
  <c r="D31" i="14"/>
  <c r="D32" i="14"/>
  <c r="B32" i="15" s="1"/>
  <c r="D33" i="14"/>
  <c r="D34" i="14"/>
  <c r="D35" i="14"/>
  <c r="B35" i="15" s="1"/>
  <c r="D36" i="14"/>
  <c r="B36" i="15" s="1"/>
  <c r="D37" i="14"/>
  <c r="B37" i="15" s="1"/>
  <c r="D38" i="14"/>
  <c r="B38" i="15" s="1"/>
  <c r="D39" i="14"/>
  <c r="B39" i="15" s="1"/>
  <c r="D40" i="14"/>
  <c r="B40" i="15" s="1"/>
  <c r="D41" i="14"/>
  <c r="B41" i="15" s="1"/>
  <c r="D42" i="14"/>
  <c r="B42" i="15" s="1"/>
  <c r="D43" i="14"/>
  <c r="B43" i="15" s="1"/>
  <c r="D44" i="14"/>
  <c r="B44" i="15" s="1"/>
  <c r="D45" i="14"/>
  <c r="B45" i="15" s="1"/>
  <c r="D46" i="14"/>
  <c r="B46" i="15" s="1"/>
  <c r="D47" i="14"/>
  <c r="D48" i="14"/>
  <c r="B48" i="15" s="1"/>
  <c r="D49" i="14"/>
  <c r="B49" i="15" s="1"/>
  <c r="D50" i="14"/>
  <c r="B50" i="15" s="1"/>
  <c r="D51" i="14"/>
  <c r="B51" i="15" s="1"/>
  <c r="D52" i="14"/>
  <c r="B52" i="15" s="1"/>
  <c r="D53" i="14"/>
  <c r="B53" i="15" s="1"/>
  <c r="D54" i="14"/>
  <c r="B54" i="15" s="1"/>
  <c r="D55" i="14"/>
  <c r="D56" i="14"/>
  <c r="B56" i="15" s="1"/>
  <c r="D57" i="14"/>
  <c r="D58" i="14"/>
  <c r="D59" i="14"/>
  <c r="B59" i="15" s="1"/>
  <c r="D60" i="14"/>
  <c r="B60" i="15" s="1"/>
  <c r="D61" i="14"/>
  <c r="B61" i="15" s="1"/>
  <c r="D62" i="14"/>
  <c r="B62" i="15" s="1"/>
  <c r="D63" i="14"/>
  <c r="D64" i="14"/>
  <c r="B64" i="15" s="1"/>
  <c r="D65" i="14"/>
  <c r="D66" i="14"/>
  <c r="D67" i="14"/>
  <c r="B67" i="15" s="1"/>
  <c r="D68" i="14"/>
  <c r="D69" i="14"/>
  <c r="B69" i="15" s="1"/>
  <c r="D70" i="14"/>
  <c r="B70" i="15" s="1"/>
  <c r="D71" i="14"/>
  <c r="B71" i="15" s="1"/>
  <c r="D72" i="14"/>
  <c r="B72" i="15" s="1"/>
  <c r="D73" i="14"/>
  <c r="B73" i="15" s="1"/>
  <c r="D74" i="14"/>
  <c r="B74" i="15" s="1"/>
  <c r="D75" i="14"/>
  <c r="B75" i="15" s="1"/>
  <c r="D76" i="14"/>
  <c r="B76" i="15" s="1"/>
  <c r="D77" i="14"/>
  <c r="B77" i="15" s="1"/>
  <c r="D78" i="14"/>
  <c r="B78" i="15" s="1"/>
  <c r="D79" i="14"/>
  <c r="D80" i="14"/>
  <c r="B80" i="15" s="1"/>
  <c r="D81" i="14"/>
  <c r="B81" i="15" s="1"/>
  <c r="D82" i="14"/>
  <c r="D83" i="14"/>
  <c r="B83" i="15" s="1"/>
  <c r="D84" i="14"/>
  <c r="B84" i="15" s="1"/>
  <c r="D85" i="14"/>
  <c r="B85" i="15" s="1"/>
  <c r="D86" i="14"/>
  <c r="B86" i="15" s="1"/>
  <c r="D87" i="14"/>
  <c r="D88" i="14"/>
  <c r="B88" i="15" s="1"/>
  <c r="D89" i="14"/>
  <c r="D90" i="14"/>
  <c r="D91" i="14"/>
  <c r="B91" i="15" s="1"/>
  <c r="D92" i="14"/>
  <c r="B92" i="15" s="1"/>
  <c r="D93" i="14"/>
  <c r="B93" i="15" s="1"/>
  <c r="D94" i="14"/>
  <c r="B94" i="15" s="1"/>
  <c r="D95" i="14"/>
  <c r="D96" i="14"/>
  <c r="B96" i="15" s="1"/>
  <c r="D97" i="14"/>
  <c r="D98" i="14"/>
  <c r="D99" i="14"/>
  <c r="B99" i="15" s="1"/>
  <c r="D100" i="14"/>
  <c r="D101" i="14"/>
  <c r="B101" i="15" s="1"/>
  <c r="D102" i="14"/>
  <c r="B102" i="15" s="1"/>
  <c r="D103" i="14"/>
  <c r="B103" i="15" s="1"/>
  <c r="D104" i="14"/>
  <c r="B104" i="15" s="1"/>
  <c r="D105" i="14"/>
  <c r="B105" i="15" s="1"/>
  <c r="D106" i="14"/>
  <c r="B106" i="15" s="1"/>
  <c r="D107" i="14"/>
  <c r="B107" i="15" s="1"/>
  <c r="D108" i="14"/>
  <c r="B108" i="15" s="1"/>
  <c r="D109" i="14"/>
  <c r="B109" i="15" s="1"/>
  <c r="D110" i="14"/>
  <c r="B110" i="15" s="1"/>
  <c r="D111" i="14"/>
  <c r="D112" i="14"/>
  <c r="B112" i="15" s="1"/>
  <c r="D113" i="14"/>
  <c r="B113" i="15" s="1"/>
  <c r="D114" i="14"/>
  <c r="D115" i="14"/>
  <c r="B115" i="15" s="1"/>
  <c r="D116" i="14"/>
  <c r="B116" i="15" s="1"/>
  <c r="D117" i="14"/>
  <c r="B117" i="15" s="1"/>
  <c r="D118" i="14"/>
  <c r="B118" i="15" s="1"/>
  <c r="D119" i="14"/>
  <c r="D120" i="14"/>
  <c r="B120" i="15" s="1"/>
  <c r="D121" i="14"/>
  <c r="D122" i="14"/>
  <c r="D123" i="14"/>
  <c r="B123" i="15" s="1"/>
  <c r="D124" i="14"/>
  <c r="B124" i="15" s="1"/>
  <c r="D125" i="14"/>
  <c r="B125" i="15" s="1"/>
  <c r="D126" i="14"/>
  <c r="B126" i="15" s="1"/>
  <c r="D127" i="14"/>
  <c r="D128" i="14"/>
  <c r="B128" i="15" s="1"/>
  <c r="D129" i="14"/>
  <c r="D130" i="14"/>
  <c r="D131" i="14"/>
  <c r="B131" i="15" s="1"/>
  <c r="D132" i="14"/>
  <c r="D133" i="14"/>
  <c r="B133" i="15" s="1"/>
  <c r="D134" i="14"/>
  <c r="B134" i="15" s="1"/>
  <c r="D135" i="14"/>
  <c r="B135" i="15" s="1"/>
  <c r="D136" i="14"/>
  <c r="B136" i="15" s="1"/>
  <c r="D137" i="14"/>
  <c r="B137" i="15" s="1"/>
  <c r="D138" i="14"/>
  <c r="B138" i="15" s="1"/>
  <c r="D139" i="14"/>
  <c r="B139" i="15" s="1"/>
  <c r="D140" i="14"/>
  <c r="B140" i="15" s="1"/>
  <c r="D141" i="14"/>
  <c r="B141" i="15" s="1"/>
  <c r="D142" i="14"/>
  <c r="B142" i="15" s="1"/>
  <c r="D143" i="14"/>
  <c r="D144" i="14"/>
  <c r="B144" i="15" s="1"/>
  <c r="D145" i="14"/>
  <c r="B145" i="15" s="1"/>
  <c r="D146" i="14"/>
  <c r="B146" i="15" s="1"/>
  <c r="D147" i="14"/>
  <c r="B147" i="15" s="1"/>
  <c r="D148" i="14"/>
  <c r="B148" i="15" s="1"/>
  <c r="D149" i="14"/>
  <c r="B149" i="15" s="1"/>
  <c r="D150" i="14"/>
  <c r="B150" i="15" s="1"/>
  <c r="D151" i="14"/>
  <c r="D152" i="14"/>
  <c r="B152" i="15" s="1"/>
  <c r="D153" i="14"/>
  <c r="D154" i="14"/>
  <c r="D155" i="14"/>
  <c r="B155" i="15" s="1"/>
  <c r="D156" i="14"/>
  <c r="B156" i="15" s="1"/>
  <c r="D157" i="14"/>
  <c r="B157" i="15" s="1"/>
  <c r="D158" i="14"/>
  <c r="B158" i="15" s="1"/>
  <c r="D159" i="14"/>
  <c r="D160" i="14"/>
  <c r="B160" i="15" s="1"/>
  <c r="D161" i="14"/>
  <c r="D162" i="14"/>
  <c r="B162" i="15" s="1"/>
  <c r="D163" i="14"/>
  <c r="B163" i="15" s="1"/>
  <c r="D164" i="14"/>
  <c r="B164" i="15" s="1"/>
  <c r="D165" i="14"/>
  <c r="B165" i="15" s="1"/>
  <c r="D166" i="14"/>
  <c r="B166" i="15" s="1"/>
  <c r="D167" i="14"/>
  <c r="B167" i="15" s="1"/>
  <c r="D168" i="14"/>
  <c r="B168" i="15" s="1"/>
  <c r="D169" i="14"/>
  <c r="B169" i="15" s="1"/>
  <c r="D170" i="14"/>
  <c r="B170" i="15" s="1"/>
  <c r="D171" i="14"/>
  <c r="B171" i="15" s="1"/>
  <c r="D172" i="14"/>
  <c r="B172" i="15" s="1"/>
  <c r="D173" i="14"/>
  <c r="B173" i="15" s="1"/>
  <c r="D174" i="14"/>
  <c r="B174" i="15" s="1"/>
  <c r="D175" i="14"/>
  <c r="D176" i="14"/>
  <c r="B176" i="15" s="1"/>
  <c r="D177" i="14"/>
  <c r="B177" i="15" s="1"/>
  <c r="D178" i="14"/>
  <c r="B178" i="15" s="1"/>
  <c r="D179" i="14"/>
  <c r="B179" i="15" s="1"/>
  <c r="D180" i="14"/>
  <c r="B180" i="15" s="1"/>
  <c r="D181" i="14"/>
  <c r="B181" i="15" s="1"/>
  <c r="D182" i="14"/>
  <c r="B182" i="15" s="1"/>
  <c r="D183" i="14"/>
  <c r="D184" i="14"/>
  <c r="B184" i="15" s="1"/>
  <c r="D185" i="14"/>
  <c r="D186" i="14"/>
  <c r="D187" i="14"/>
  <c r="B187" i="15" s="1"/>
  <c r="D188" i="14"/>
  <c r="B188" i="15" s="1"/>
  <c r="D189" i="14"/>
  <c r="B189" i="15" s="1"/>
  <c r="D190" i="14"/>
  <c r="B190" i="15" s="1"/>
  <c r="D191" i="14"/>
  <c r="D192" i="14"/>
  <c r="B192" i="15" s="1"/>
  <c r="D193" i="14"/>
  <c r="D194" i="14"/>
  <c r="D195" i="14"/>
  <c r="B195" i="15" s="1"/>
  <c r="D196" i="14"/>
  <c r="D197" i="14"/>
  <c r="B197" i="15" s="1"/>
  <c r="D198" i="14"/>
  <c r="B198" i="15" s="1"/>
  <c r="D199" i="14"/>
  <c r="B199" i="15" s="1"/>
  <c r="D200" i="14"/>
  <c r="B200" i="15" s="1"/>
  <c r="D201" i="14"/>
  <c r="B201" i="15" s="1"/>
  <c r="D202" i="14"/>
  <c r="B202" i="15" s="1"/>
  <c r="D203" i="14"/>
  <c r="B203" i="15" s="1"/>
  <c r="D204" i="14"/>
  <c r="B204" i="15" s="1"/>
  <c r="D205" i="14"/>
  <c r="B205" i="15" s="1"/>
  <c r="D206" i="14"/>
  <c r="B206" i="15" s="1"/>
  <c r="D207" i="14"/>
  <c r="D208" i="14"/>
  <c r="B208" i="15" s="1"/>
  <c r="D209" i="14"/>
  <c r="B209" i="15" s="1"/>
  <c r="D210" i="14"/>
  <c r="B210" i="15" s="1"/>
  <c r="D211" i="14"/>
  <c r="B211" i="15" s="1"/>
  <c r="D212" i="14"/>
  <c r="B212" i="15" s="1"/>
  <c r="D213" i="14"/>
  <c r="B213" i="15" s="1"/>
  <c r="D214" i="14"/>
  <c r="B214" i="15" s="1"/>
  <c r="D215" i="14"/>
  <c r="D216" i="14"/>
  <c r="B216" i="15" s="1"/>
  <c r="D217" i="14"/>
  <c r="D218" i="14"/>
  <c r="D219" i="14"/>
  <c r="B219" i="15" s="1"/>
  <c r="D220" i="14"/>
  <c r="B220" i="15" s="1"/>
  <c r="D221" i="14"/>
  <c r="B221" i="15" s="1"/>
  <c r="D222" i="14"/>
  <c r="B222" i="15" s="1"/>
  <c r="D223" i="14"/>
  <c r="D224" i="14"/>
  <c r="B224" i="15" s="1"/>
  <c r="D225" i="14"/>
  <c r="D226" i="14"/>
  <c r="D227" i="14"/>
  <c r="B227" i="15" s="1"/>
  <c r="D228" i="14"/>
  <c r="D229" i="14"/>
  <c r="B229" i="15" s="1"/>
  <c r="D230" i="14"/>
  <c r="B230" i="15" s="1"/>
  <c r="D231" i="14"/>
  <c r="B231" i="15" s="1"/>
  <c r="D232" i="14"/>
  <c r="B232" i="15" s="1"/>
  <c r="D233" i="14"/>
  <c r="B233" i="15" s="1"/>
  <c r="D234" i="14"/>
  <c r="B234" i="15" s="1"/>
  <c r="D235" i="14"/>
  <c r="B235" i="15" s="1"/>
  <c r="D236" i="14"/>
  <c r="B236" i="15" s="1"/>
  <c r="D237" i="14"/>
  <c r="B237" i="15" s="1"/>
  <c r="D238" i="14"/>
  <c r="B238" i="15" s="1"/>
  <c r="D239" i="14"/>
  <c r="D240" i="14"/>
  <c r="B240" i="15" s="1"/>
  <c r="D241" i="14"/>
  <c r="B241" i="15" s="1"/>
  <c r="D242" i="14"/>
  <c r="D243" i="14"/>
  <c r="B243" i="15" s="1"/>
  <c r="D244" i="14"/>
  <c r="B244" i="15" s="1"/>
  <c r="D245" i="14"/>
  <c r="B245" i="15" s="1"/>
  <c r="D246" i="14"/>
  <c r="B246" i="15" s="1"/>
  <c r="D247" i="14"/>
  <c r="D248" i="14"/>
  <c r="B248" i="15" s="1"/>
  <c r="D249" i="14"/>
  <c r="D250" i="14"/>
  <c r="D251" i="14"/>
  <c r="B251" i="15" s="1"/>
  <c r="D252" i="14"/>
  <c r="B252" i="15" s="1"/>
  <c r="D253" i="14"/>
  <c r="B253" i="15" s="1"/>
  <c r="D254" i="14"/>
  <c r="B254" i="15" s="1"/>
  <c r="D255" i="14"/>
  <c r="M255" i="14" s="1"/>
  <c r="J255" i="15" s="1"/>
  <c r="D256" i="14"/>
  <c r="B256" i="15" s="1"/>
  <c r="D257" i="14"/>
  <c r="D258" i="14"/>
  <c r="M258" i="14" s="1"/>
  <c r="J258" i="15" s="1"/>
  <c r="D259" i="14"/>
  <c r="B259" i="15" s="1"/>
  <c r="D260" i="14"/>
  <c r="D261" i="14"/>
  <c r="B261" i="15" s="1"/>
  <c r="D262" i="14"/>
  <c r="B262" i="15" s="1"/>
  <c r="D263" i="14"/>
  <c r="B263" i="15" s="1"/>
  <c r="D264" i="14"/>
  <c r="B264" i="15" s="1"/>
  <c r="D265" i="14"/>
  <c r="B265" i="15" s="1"/>
  <c r="D266" i="14"/>
  <c r="B266" i="15" s="1"/>
  <c r="D267" i="14"/>
  <c r="B267" i="15" s="1"/>
  <c r="D268" i="14"/>
  <c r="B268" i="15" s="1"/>
  <c r="D269" i="14"/>
  <c r="B269" i="15" s="1"/>
  <c r="D270" i="14"/>
  <c r="B270" i="15" s="1"/>
  <c r="D271" i="14"/>
  <c r="D272" i="14"/>
  <c r="B272" i="15" s="1"/>
  <c r="D273" i="14"/>
  <c r="B273" i="15" s="1"/>
  <c r="D274" i="14"/>
  <c r="M274" i="14" s="1"/>
  <c r="J274" i="15" s="1"/>
  <c r="D275" i="14"/>
  <c r="B275" i="15" s="1"/>
  <c r="D276" i="14"/>
  <c r="B276" i="15" s="1"/>
  <c r="D277" i="14"/>
  <c r="B277" i="15" s="1"/>
  <c r="D278" i="14"/>
  <c r="B278" i="15" s="1"/>
  <c r="D279" i="14"/>
  <c r="D280" i="14"/>
  <c r="B280" i="15" s="1"/>
  <c r="D281" i="14"/>
  <c r="D282" i="14"/>
  <c r="M282" i="14" s="1"/>
  <c r="J282" i="15" s="1"/>
  <c r="D283" i="14"/>
  <c r="B283" i="15" s="1"/>
  <c r="D284" i="14"/>
  <c r="B284" i="15" s="1"/>
  <c r="D285" i="14"/>
  <c r="B285" i="15" s="1"/>
  <c r="D286" i="14"/>
  <c r="B286" i="15" s="1"/>
  <c r="D287" i="14"/>
  <c r="D288" i="14"/>
  <c r="B288" i="15" s="1"/>
  <c r="D289" i="14"/>
  <c r="D290" i="14"/>
  <c r="M290" i="14" s="1"/>
  <c r="J290" i="15" s="1"/>
  <c r="D291" i="14"/>
  <c r="B291" i="15" s="1"/>
  <c r="D292" i="14"/>
  <c r="B292" i="15" s="1"/>
  <c r="D293" i="14"/>
  <c r="B293" i="15" s="1"/>
  <c r="D294" i="14"/>
  <c r="B294" i="15" s="1"/>
  <c r="D295" i="14"/>
  <c r="B295" i="15" s="1"/>
  <c r="D296" i="14"/>
  <c r="B296" i="15" s="1"/>
  <c r="D297" i="14"/>
  <c r="D298" i="14"/>
  <c r="B298" i="15" s="1"/>
  <c r="D299" i="14"/>
  <c r="B299" i="15" s="1"/>
  <c r="D300" i="14"/>
  <c r="B300" i="15" s="1"/>
  <c r="D301" i="14"/>
  <c r="B301" i="15" s="1"/>
  <c r="D302" i="14"/>
  <c r="B302" i="15" s="1"/>
  <c r="D303" i="14"/>
  <c r="M303" i="14" s="1"/>
  <c r="J303" i="15" s="1"/>
  <c r="D304" i="14"/>
  <c r="B304" i="15" s="1"/>
  <c r="D305" i="14"/>
  <c r="D306" i="14"/>
  <c r="B306" i="15" s="1"/>
  <c r="D307" i="14"/>
  <c r="B307" i="15" s="1"/>
  <c r="D308" i="14"/>
  <c r="B308" i="15" s="1"/>
  <c r="D309" i="14"/>
  <c r="B309" i="15" s="1"/>
  <c r="D310" i="14"/>
  <c r="B310" i="15" s="1"/>
  <c r="D311" i="14"/>
  <c r="D312" i="14"/>
  <c r="B312" i="15" s="1"/>
  <c r="D313" i="14"/>
  <c r="D314" i="14"/>
  <c r="M314" i="14" s="1"/>
  <c r="J314" i="15" s="1"/>
  <c r="D316" i="14"/>
  <c r="B316" i="15" s="1"/>
  <c r="D317" i="14"/>
  <c r="B317" i="15" s="1"/>
  <c r="D318" i="14"/>
  <c r="B318" i="15" s="1"/>
  <c r="D319" i="14"/>
  <c r="D320" i="14"/>
  <c r="B320" i="15" s="1"/>
  <c r="D321" i="14"/>
  <c r="D322" i="14"/>
  <c r="D323" i="14"/>
  <c r="B323" i="15" s="1"/>
  <c r="D324" i="14"/>
  <c r="D325" i="14"/>
  <c r="B325" i="15" s="1"/>
  <c r="D326" i="14"/>
  <c r="B326" i="15" s="1"/>
  <c r="D327" i="14"/>
  <c r="B327" i="15" s="1"/>
  <c r="D328" i="14"/>
  <c r="B328" i="15" s="1"/>
  <c r="D329" i="14"/>
  <c r="D330" i="14"/>
  <c r="D331" i="14"/>
  <c r="B331" i="15" s="1"/>
  <c r="D332" i="14"/>
  <c r="B332" i="15" s="1"/>
  <c r="D333" i="14"/>
  <c r="D334" i="14"/>
  <c r="D335" i="14"/>
  <c r="H335" i="14" s="1"/>
  <c r="D336" i="14"/>
  <c r="B336" i="15" s="1"/>
  <c r="D337" i="14"/>
  <c r="B337" i="15" s="1"/>
  <c r="D338" i="14"/>
  <c r="D339" i="14"/>
  <c r="B339" i="15" s="1"/>
  <c r="D340" i="14"/>
  <c r="B340" i="15" s="1"/>
  <c r="D341" i="14"/>
  <c r="B341" i="15" s="1"/>
  <c r="D342" i="14"/>
  <c r="D343" i="14"/>
  <c r="D344" i="14"/>
  <c r="B344" i="15" s="1"/>
  <c r="D345" i="14"/>
  <c r="B345" i="15" s="1"/>
  <c r="D346" i="14"/>
  <c r="H346" i="14" s="1"/>
  <c r="D347" i="14"/>
  <c r="B347" i="15" s="1"/>
  <c r="D348" i="14"/>
  <c r="B348" i="15" s="1"/>
  <c r="D349" i="14"/>
  <c r="D350" i="14"/>
  <c r="D351" i="14"/>
  <c r="B2" i="26" l="1"/>
  <c r="B8" i="21"/>
  <c r="B16" i="21"/>
  <c r="B24" i="21"/>
  <c r="B32" i="21"/>
  <c r="B40" i="21"/>
  <c r="B48" i="21"/>
  <c r="B56" i="21"/>
  <c r="B64" i="21"/>
  <c r="B72" i="21"/>
  <c r="B80" i="21"/>
  <c r="B88" i="21"/>
  <c r="B96" i="21"/>
  <c r="B104" i="21"/>
  <c r="B112" i="21"/>
  <c r="B120" i="21"/>
  <c r="B128" i="21"/>
  <c r="B136" i="21"/>
  <c r="B144" i="21"/>
  <c r="B152" i="21"/>
  <c r="B160" i="21"/>
  <c r="B168" i="21"/>
  <c r="B176" i="21"/>
  <c r="B184" i="21"/>
  <c r="B192" i="21"/>
  <c r="B200" i="21"/>
  <c r="B208" i="21"/>
  <c r="B216" i="21"/>
  <c r="B224" i="21"/>
  <c r="B232" i="21"/>
  <c r="B240" i="21"/>
  <c r="B248" i="21"/>
  <c r="B256" i="21"/>
  <c r="B264" i="21"/>
  <c r="B272" i="21"/>
  <c r="B280" i="21"/>
  <c r="B288" i="21"/>
  <c r="B296" i="21"/>
  <c r="B304" i="21"/>
  <c r="B312" i="21"/>
  <c r="B320" i="21"/>
  <c r="B328" i="21"/>
  <c r="B239" i="21"/>
  <c r="B9" i="21"/>
  <c r="B17" i="21"/>
  <c r="B25" i="21"/>
  <c r="B33" i="21"/>
  <c r="B41" i="21"/>
  <c r="B49" i="21"/>
  <c r="B57" i="21"/>
  <c r="B65" i="21"/>
  <c r="B73" i="21"/>
  <c r="B81" i="21"/>
  <c r="B89" i="21"/>
  <c r="B97" i="21"/>
  <c r="B105" i="21"/>
  <c r="B113" i="21"/>
  <c r="B121" i="21"/>
  <c r="B129" i="21"/>
  <c r="B137" i="21"/>
  <c r="B145" i="21"/>
  <c r="B153" i="21"/>
  <c r="B161" i="21"/>
  <c r="B169" i="21"/>
  <c r="B177" i="21"/>
  <c r="B185" i="21"/>
  <c r="B193" i="21"/>
  <c r="B201" i="21"/>
  <c r="B209" i="21"/>
  <c r="B217" i="21"/>
  <c r="B225" i="21"/>
  <c r="B233" i="21"/>
  <c r="B241" i="21"/>
  <c r="B249" i="21"/>
  <c r="B257" i="21"/>
  <c r="B265" i="21"/>
  <c r="B273" i="21"/>
  <c r="B281" i="21"/>
  <c r="B289" i="21"/>
  <c r="B297" i="21"/>
  <c r="B305" i="21"/>
  <c r="B313" i="21"/>
  <c r="B321" i="21"/>
  <c r="B329" i="21"/>
  <c r="B71" i="21"/>
  <c r="B119" i="21"/>
  <c r="B159" i="21"/>
  <c r="B191" i="21"/>
  <c r="B223" i="21"/>
  <c r="B263" i="21"/>
  <c r="B287" i="21"/>
  <c r="B319" i="21"/>
  <c r="B2" i="21"/>
  <c r="B10" i="21"/>
  <c r="B18" i="21"/>
  <c r="B26" i="21"/>
  <c r="B34" i="21"/>
  <c r="B42" i="21"/>
  <c r="B50" i="21"/>
  <c r="B58" i="21"/>
  <c r="B66" i="21"/>
  <c r="B74" i="21"/>
  <c r="B82" i="21"/>
  <c r="B90" i="21"/>
  <c r="B98" i="21"/>
  <c r="B106" i="21"/>
  <c r="B114" i="21"/>
  <c r="B122" i="21"/>
  <c r="B130" i="21"/>
  <c r="B138" i="21"/>
  <c r="B146" i="21"/>
  <c r="B154" i="21"/>
  <c r="B162" i="21"/>
  <c r="B170" i="21"/>
  <c r="B178" i="21"/>
  <c r="B186" i="21"/>
  <c r="B194" i="21"/>
  <c r="B202" i="21"/>
  <c r="B210" i="21"/>
  <c r="B218" i="21"/>
  <c r="B226" i="21"/>
  <c r="B234" i="21"/>
  <c r="B242" i="21"/>
  <c r="B250" i="21"/>
  <c r="B258" i="21"/>
  <c r="B266" i="21"/>
  <c r="B274" i="21"/>
  <c r="B282" i="21"/>
  <c r="B290" i="21"/>
  <c r="B298" i="21"/>
  <c r="B306" i="21"/>
  <c r="B314" i="21"/>
  <c r="B322" i="21"/>
  <c r="B330" i="21"/>
  <c r="B127" i="21"/>
  <c r="B3" i="21"/>
  <c r="B11" i="21"/>
  <c r="B19" i="21"/>
  <c r="B27" i="21"/>
  <c r="B35" i="21"/>
  <c r="B43" i="21"/>
  <c r="B51" i="21"/>
  <c r="B59" i="21"/>
  <c r="B67" i="21"/>
  <c r="B75" i="21"/>
  <c r="B83" i="21"/>
  <c r="B91" i="21"/>
  <c r="B99" i="21"/>
  <c r="B107" i="21"/>
  <c r="B115" i="21"/>
  <c r="B123" i="21"/>
  <c r="B131" i="21"/>
  <c r="B139" i="21"/>
  <c r="B147" i="21"/>
  <c r="B155" i="21"/>
  <c r="B163" i="21"/>
  <c r="B171" i="21"/>
  <c r="B179" i="21"/>
  <c r="B187" i="21"/>
  <c r="B195" i="21"/>
  <c r="B203" i="21"/>
  <c r="B211" i="21"/>
  <c r="B219" i="21"/>
  <c r="B227" i="21"/>
  <c r="B235" i="21"/>
  <c r="B243" i="21"/>
  <c r="B251" i="21"/>
  <c r="B259" i="21"/>
  <c r="B267" i="21"/>
  <c r="B275" i="21"/>
  <c r="B283" i="21"/>
  <c r="B291" i="21"/>
  <c r="B299" i="21"/>
  <c r="B307" i="21"/>
  <c r="B315" i="21"/>
  <c r="B323" i="21"/>
  <c r="B331" i="21"/>
  <c r="B63" i="21"/>
  <c r="B79" i="21"/>
  <c r="B103" i="21"/>
  <c r="B143" i="21"/>
  <c r="B175" i="21"/>
  <c r="B207" i="21"/>
  <c r="B255" i="21"/>
  <c r="B295" i="21"/>
  <c r="B327" i="21"/>
  <c r="B4" i="21"/>
  <c r="B12" i="21"/>
  <c r="B20" i="21"/>
  <c r="B28" i="21"/>
  <c r="B36" i="21"/>
  <c r="B44" i="21"/>
  <c r="B52" i="21"/>
  <c r="B60" i="21"/>
  <c r="B68" i="21"/>
  <c r="B76" i="21"/>
  <c r="B84" i="21"/>
  <c r="B92" i="21"/>
  <c r="B100" i="21"/>
  <c r="B108" i="21"/>
  <c r="B116" i="21"/>
  <c r="B124" i="21"/>
  <c r="B132" i="21"/>
  <c r="B140" i="21"/>
  <c r="B148" i="21"/>
  <c r="B156" i="21"/>
  <c r="B164" i="21"/>
  <c r="B172" i="21"/>
  <c r="B180" i="21"/>
  <c r="B188" i="21"/>
  <c r="B196" i="21"/>
  <c r="B204" i="21"/>
  <c r="B212" i="21"/>
  <c r="B220" i="21"/>
  <c r="B228" i="21"/>
  <c r="B236" i="21"/>
  <c r="B244" i="21"/>
  <c r="B252" i="21"/>
  <c r="B260" i="21"/>
  <c r="B268" i="21"/>
  <c r="B276" i="21"/>
  <c r="B284" i="21"/>
  <c r="B292" i="21"/>
  <c r="B300" i="21"/>
  <c r="B308" i="21"/>
  <c r="B316" i="21"/>
  <c r="B324" i="21"/>
  <c r="B47" i="21"/>
  <c r="B87" i="21"/>
  <c r="B111" i="21"/>
  <c r="B151" i="21"/>
  <c r="B183" i="21"/>
  <c r="B231" i="21"/>
  <c r="B271" i="21"/>
  <c r="B303" i="21"/>
  <c r="B5" i="21"/>
  <c r="B13" i="21"/>
  <c r="B21" i="21"/>
  <c r="B29" i="21"/>
  <c r="B37" i="21"/>
  <c r="B45" i="21"/>
  <c r="B53" i="21"/>
  <c r="B61" i="21"/>
  <c r="B69" i="21"/>
  <c r="B77" i="21"/>
  <c r="B85" i="21"/>
  <c r="B93" i="21"/>
  <c r="B101" i="21"/>
  <c r="B109" i="21"/>
  <c r="B117" i="21"/>
  <c r="B125" i="21"/>
  <c r="B133" i="21"/>
  <c r="B141" i="21"/>
  <c r="B149" i="21"/>
  <c r="B157" i="21"/>
  <c r="B165" i="21"/>
  <c r="B173" i="21"/>
  <c r="B181" i="21"/>
  <c r="B189" i="21"/>
  <c r="B197" i="21"/>
  <c r="B205" i="21"/>
  <c r="B213" i="21"/>
  <c r="B221" i="21"/>
  <c r="B229" i="21"/>
  <c r="B237" i="21"/>
  <c r="B245" i="21"/>
  <c r="B253" i="21"/>
  <c r="B261" i="21"/>
  <c r="B269" i="21"/>
  <c r="B277" i="21"/>
  <c r="B285" i="21"/>
  <c r="B293" i="21"/>
  <c r="B301" i="21"/>
  <c r="B309" i="21"/>
  <c r="B317" i="21"/>
  <c r="B325" i="21"/>
  <c r="B55" i="21"/>
  <c r="B95" i="21"/>
  <c r="B135" i="21"/>
  <c r="B167" i="21"/>
  <c r="B199" i="21"/>
  <c r="B215" i="21"/>
  <c r="B247" i="21"/>
  <c r="B279" i="21"/>
  <c r="B311" i="21"/>
  <c r="B6" i="21"/>
  <c r="B14" i="21"/>
  <c r="B22" i="21"/>
  <c r="B30" i="21"/>
  <c r="B38" i="21"/>
  <c r="B46" i="21"/>
  <c r="B54" i="21"/>
  <c r="B62" i="21"/>
  <c r="B70" i="21"/>
  <c r="B78" i="21"/>
  <c r="B86" i="21"/>
  <c r="B94" i="21"/>
  <c r="B102" i="21"/>
  <c r="B110" i="21"/>
  <c r="B118" i="21"/>
  <c r="B126" i="21"/>
  <c r="B134" i="21"/>
  <c r="B142" i="21"/>
  <c r="B150" i="21"/>
  <c r="B158" i="21"/>
  <c r="B166" i="21"/>
  <c r="B174" i="21"/>
  <c r="B182" i="21"/>
  <c r="B190" i="21"/>
  <c r="B198" i="21"/>
  <c r="B206" i="21"/>
  <c r="B214" i="21"/>
  <c r="B222" i="21"/>
  <c r="B230" i="21"/>
  <c r="B238" i="21"/>
  <c r="B246" i="21"/>
  <c r="B254" i="21"/>
  <c r="B262" i="21"/>
  <c r="B270" i="21"/>
  <c r="B278" i="21"/>
  <c r="B286" i="21"/>
  <c r="B294" i="21"/>
  <c r="B302" i="21"/>
  <c r="B310" i="21"/>
  <c r="B318" i="21"/>
  <c r="B326" i="21"/>
  <c r="B7" i="21"/>
  <c r="B15" i="21"/>
  <c r="B23" i="21"/>
  <c r="B31" i="21"/>
  <c r="B39" i="21"/>
  <c r="R133" i="14"/>
  <c r="O133" i="15" s="1"/>
  <c r="B314" i="15"/>
  <c r="B282" i="15"/>
  <c r="N321" i="15"/>
  <c r="S321" i="15" s="1"/>
  <c r="N273" i="15"/>
  <c r="S273" i="15" s="1"/>
  <c r="N225" i="15"/>
  <c r="S225" i="15" s="1"/>
  <c r="N161" i="15"/>
  <c r="S161" i="15" s="1"/>
  <c r="N97" i="15"/>
  <c r="S97" i="15" s="1"/>
  <c r="M311" i="14"/>
  <c r="J311" i="15" s="1"/>
  <c r="B311" i="15"/>
  <c r="M279" i="14"/>
  <c r="J279" i="15" s="1"/>
  <c r="B279" i="15"/>
  <c r="M223" i="14"/>
  <c r="J223" i="15" s="1"/>
  <c r="B223" i="15"/>
  <c r="N337" i="15"/>
  <c r="S337" i="15" s="1"/>
  <c r="N289" i="15"/>
  <c r="S289" i="15" s="1"/>
  <c r="N233" i="15"/>
  <c r="S233" i="15" s="1"/>
  <c r="N193" i="15"/>
  <c r="S193" i="15" s="1"/>
  <c r="N137" i="15"/>
  <c r="S137" i="15" s="1"/>
  <c r="N89" i="15"/>
  <c r="S89" i="15" s="1"/>
  <c r="N57" i="15"/>
  <c r="S57" i="15" s="1"/>
  <c r="M287" i="14"/>
  <c r="J287" i="15" s="1"/>
  <c r="B287" i="15"/>
  <c r="M247" i="14"/>
  <c r="J247" i="15" s="1"/>
  <c r="B247" i="15"/>
  <c r="N305" i="15"/>
  <c r="S305" i="15" s="1"/>
  <c r="N257" i="15"/>
  <c r="S257" i="15" s="1"/>
  <c r="N217" i="15"/>
  <c r="S217" i="15" s="1"/>
  <c r="N169" i="15"/>
  <c r="S169" i="15" s="1"/>
  <c r="N129" i="15"/>
  <c r="S129" i="15" s="1"/>
  <c r="N81" i="15"/>
  <c r="S81" i="15" s="1"/>
  <c r="H343" i="14"/>
  <c r="B343" i="15"/>
  <c r="B334" i="15"/>
  <c r="N345" i="15"/>
  <c r="S345" i="15" s="1"/>
  <c r="N297" i="15"/>
  <c r="S297" i="15" s="1"/>
  <c r="N249" i="15"/>
  <c r="S249" i="15" s="1"/>
  <c r="N201" i="15"/>
  <c r="S201" i="15" s="1"/>
  <c r="N177" i="15"/>
  <c r="S177" i="15" s="1"/>
  <c r="N121" i="15"/>
  <c r="S121" i="15" s="1"/>
  <c r="N73" i="15"/>
  <c r="S73" i="15" s="1"/>
  <c r="H351" i="14"/>
  <c r="B351" i="15"/>
  <c r="M319" i="14"/>
  <c r="J319" i="15" s="1"/>
  <c r="B319" i="15"/>
  <c r="B350" i="15"/>
  <c r="B346" i="15"/>
  <c r="B303" i="15"/>
  <c r="B255" i="15"/>
  <c r="N329" i="15"/>
  <c r="N281" i="15"/>
  <c r="S281" i="15" s="1"/>
  <c r="N241" i="15"/>
  <c r="S241" i="15" s="1"/>
  <c r="N185" i="15"/>
  <c r="S185" i="15" s="1"/>
  <c r="N145" i="15"/>
  <c r="S145" i="15" s="1"/>
  <c r="N113" i="15"/>
  <c r="S113" i="15" s="1"/>
  <c r="N65" i="15"/>
  <c r="S65" i="15" s="1"/>
  <c r="M271" i="14"/>
  <c r="J271" i="15" s="1"/>
  <c r="B271" i="15"/>
  <c r="M215" i="14"/>
  <c r="J215" i="15" s="1"/>
  <c r="B215" i="15"/>
  <c r="N313" i="15"/>
  <c r="S313" i="15" s="1"/>
  <c r="N265" i="15"/>
  <c r="S265" i="15" s="1"/>
  <c r="N209" i="15"/>
  <c r="S209" i="15" s="1"/>
  <c r="N153" i="15"/>
  <c r="S153" i="15" s="1"/>
  <c r="N105" i="15"/>
  <c r="S105" i="15" s="1"/>
  <c r="B342" i="15"/>
  <c r="H338" i="14"/>
  <c r="B338" i="15"/>
  <c r="H330" i="14"/>
  <c r="B330" i="15"/>
  <c r="M322" i="14"/>
  <c r="J322" i="15" s="1"/>
  <c r="B322" i="15"/>
  <c r="M313" i="14"/>
  <c r="J313" i="15" s="1"/>
  <c r="B313" i="15"/>
  <c r="M305" i="14"/>
  <c r="J305" i="15" s="1"/>
  <c r="B305" i="15"/>
  <c r="M297" i="14"/>
  <c r="J297" i="15" s="1"/>
  <c r="B297" i="15"/>
  <c r="B289" i="15"/>
  <c r="B281" i="15"/>
  <c r="B257" i="15"/>
  <c r="B335" i="15"/>
  <c r="M239" i="14"/>
  <c r="J239" i="15" s="1"/>
  <c r="B239" i="15"/>
  <c r="M329" i="14"/>
  <c r="J329" i="15" s="1"/>
  <c r="B329" i="15"/>
  <c r="M321" i="14"/>
  <c r="J321" i="15" s="1"/>
  <c r="B321" i="15"/>
  <c r="N346" i="15"/>
  <c r="S346" i="15" s="1"/>
  <c r="N338" i="15"/>
  <c r="S338" i="15" s="1"/>
  <c r="N330" i="15"/>
  <c r="S330" i="15" s="1"/>
  <c r="N322" i="15"/>
  <c r="S322" i="15" s="1"/>
  <c r="N314" i="15"/>
  <c r="S314" i="15" s="1"/>
  <c r="N306" i="15"/>
  <c r="S306" i="15" s="1"/>
  <c r="N298" i="15"/>
  <c r="S298" i="15" s="1"/>
  <c r="N290" i="15"/>
  <c r="S290" i="15" s="1"/>
  <c r="N274" i="15"/>
  <c r="S274" i="15" s="1"/>
  <c r="N266" i="15"/>
  <c r="S266" i="15" s="1"/>
  <c r="N258" i="15"/>
  <c r="S258" i="15" s="1"/>
  <c r="R258" i="14"/>
  <c r="O258" i="15" s="1"/>
  <c r="N250" i="15"/>
  <c r="S250" i="15" s="1"/>
  <c r="N242" i="15"/>
  <c r="S242" i="15" s="1"/>
  <c r="N234" i="15"/>
  <c r="S234" i="15" s="1"/>
  <c r="N226" i="15"/>
  <c r="S226" i="15" s="1"/>
  <c r="N218" i="15"/>
  <c r="S218" i="15" s="1"/>
  <c r="N210" i="15"/>
  <c r="S210" i="15" s="1"/>
  <c r="N202" i="15"/>
  <c r="S202" i="15" s="1"/>
  <c r="N194" i="15"/>
  <c r="S194" i="15" s="1"/>
  <c r="N186" i="15"/>
  <c r="S186" i="15" s="1"/>
  <c r="N178" i="15"/>
  <c r="S178" i="15" s="1"/>
  <c r="N170" i="15"/>
  <c r="S170" i="15" s="1"/>
  <c r="N162" i="15"/>
  <c r="S162" i="15" s="1"/>
  <c r="N154" i="15"/>
  <c r="S154" i="15" s="1"/>
  <c r="N146" i="15"/>
  <c r="S146" i="15" s="1"/>
  <c r="N138" i="15"/>
  <c r="S138" i="15" s="1"/>
  <c r="N130" i="15"/>
  <c r="S130" i="15" s="1"/>
  <c r="N122" i="15"/>
  <c r="S122" i="15" s="1"/>
  <c r="N114" i="15"/>
  <c r="S114" i="15" s="1"/>
  <c r="N42" i="15"/>
  <c r="S42" i="15" s="1"/>
  <c r="N34" i="15"/>
  <c r="S34" i="15" s="1"/>
  <c r="N26" i="15"/>
  <c r="S26" i="15" s="1"/>
  <c r="N18" i="15"/>
  <c r="S18" i="15" s="1"/>
  <c r="N10" i="15"/>
  <c r="S10" i="15" s="1"/>
  <c r="N2" i="15"/>
  <c r="S2" i="15" s="1"/>
  <c r="P326" i="15"/>
  <c r="P318" i="15"/>
  <c r="P310" i="15"/>
  <c r="P302" i="15"/>
  <c r="P294" i="15"/>
  <c r="P286" i="15"/>
  <c r="P278" i="15"/>
  <c r="P270" i="15"/>
  <c r="P262" i="15"/>
  <c r="P254" i="15"/>
  <c r="P246" i="15"/>
  <c r="P238" i="15"/>
  <c r="P230" i="15"/>
  <c r="P222" i="15"/>
  <c r="P214" i="15"/>
  <c r="P206" i="15"/>
  <c r="P198" i="15"/>
  <c r="P190" i="15"/>
  <c r="P182" i="15"/>
  <c r="P174" i="15"/>
  <c r="P166" i="15"/>
  <c r="P158" i="15"/>
  <c r="P142" i="15"/>
  <c r="P134" i="15"/>
  <c r="P126" i="15"/>
  <c r="P118" i="15"/>
  <c r="P110" i="15"/>
  <c r="P102" i="15"/>
  <c r="P94" i="15"/>
  <c r="P86" i="15"/>
  <c r="P78" i="15"/>
  <c r="P70" i="15"/>
  <c r="P62" i="15"/>
  <c r="P54" i="15"/>
  <c r="P46" i="15"/>
  <c r="P38" i="15"/>
  <c r="P30" i="15"/>
  <c r="P22" i="15"/>
  <c r="P14" i="15"/>
  <c r="P6" i="15"/>
  <c r="B260" i="15"/>
  <c r="B132" i="15"/>
  <c r="B100" i="15"/>
  <c r="B68" i="15"/>
  <c r="B4" i="15"/>
  <c r="M162" i="14"/>
  <c r="J162" i="15" s="1"/>
  <c r="R334" i="14"/>
  <c r="O334" i="15" s="1"/>
  <c r="P341" i="15"/>
  <c r="P325" i="15"/>
  <c r="P317" i="15"/>
  <c r="P309" i="15"/>
  <c r="P301" i="15"/>
  <c r="P293" i="15"/>
  <c r="P285" i="15"/>
  <c r="P277" i="15"/>
  <c r="P269" i="15"/>
  <c r="P261" i="15"/>
  <c r="P253" i="15"/>
  <c r="P245" i="15"/>
  <c r="P237" i="15"/>
  <c r="P229" i="15"/>
  <c r="P221" i="15"/>
  <c r="P213" i="15"/>
  <c r="P205" i="15"/>
  <c r="P197" i="15"/>
  <c r="P189" i="15"/>
  <c r="P181" i="15"/>
  <c r="P173" i="15"/>
  <c r="P165" i="15"/>
  <c r="P157" i="15"/>
  <c r="P149" i="15"/>
  <c r="P141" i="15"/>
  <c r="P133" i="15"/>
  <c r="P125" i="15"/>
  <c r="P117" i="15"/>
  <c r="P109" i="15"/>
  <c r="P101" i="15"/>
  <c r="P93" i="15"/>
  <c r="P85" i="15"/>
  <c r="P77" i="15"/>
  <c r="P69" i="15"/>
  <c r="P61" i="15"/>
  <c r="P53" i="15"/>
  <c r="P45" i="15"/>
  <c r="P37" i="15"/>
  <c r="P29" i="15"/>
  <c r="P21" i="15"/>
  <c r="P13" i="15"/>
  <c r="P5" i="15"/>
  <c r="B196" i="15"/>
  <c r="B324" i="15"/>
  <c r="P348" i="15"/>
  <c r="P340" i="15"/>
  <c r="P332" i="15"/>
  <c r="P316" i="15"/>
  <c r="P308" i="15"/>
  <c r="P300" i="15"/>
  <c r="P292" i="15"/>
  <c r="P284" i="15"/>
  <c r="P276" i="15"/>
  <c r="P268" i="15"/>
  <c r="B333" i="15"/>
  <c r="B290" i="15"/>
  <c r="B249" i="15"/>
  <c r="B228" i="15"/>
  <c r="M250" i="14"/>
  <c r="J250" i="15" s="1"/>
  <c r="B250" i="15"/>
  <c r="M242" i="14"/>
  <c r="J242" i="15" s="1"/>
  <c r="B242" i="15"/>
  <c r="M226" i="14"/>
  <c r="J226" i="15" s="1"/>
  <c r="B226" i="15"/>
  <c r="M218" i="14"/>
  <c r="J218" i="15" s="1"/>
  <c r="B218" i="15"/>
  <c r="M194" i="14"/>
  <c r="J194" i="15" s="1"/>
  <c r="B194" i="15"/>
  <c r="M186" i="14"/>
  <c r="J186" i="15" s="1"/>
  <c r="B186" i="15"/>
  <c r="M154" i="14"/>
  <c r="J154" i="15" s="1"/>
  <c r="B154" i="15"/>
  <c r="M130" i="14"/>
  <c r="J130" i="15" s="1"/>
  <c r="B130" i="15"/>
  <c r="M122" i="14"/>
  <c r="J122" i="15" s="1"/>
  <c r="B122" i="15"/>
  <c r="M114" i="14"/>
  <c r="J114" i="15" s="1"/>
  <c r="B114" i="15"/>
  <c r="M98" i="14"/>
  <c r="J98" i="15" s="1"/>
  <c r="B98" i="15"/>
  <c r="M90" i="14"/>
  <c r="J90" i="15" s="1"/>
  <c r="B90" i="15"/>
  <c r="M82" i="14"/>
  <c r="J82" i="15" s="1"/>
  <c r="B82" i="15"/>
  <c r="M66" i="14"/>
  <c r="J66" i="15" s="1"/>
  <c r="B66" i="15"/>
  <c r="M58" i="14"/>
  <c r="J58" i="15" s="1"/>
  <c r="B58" i="15"/>
  <c r="M34" i="14"/>
  <c r="J34" i="15" s="1"/>
  <c r="B34" i="15"/>
  <c r="M26" i="14"/>
  <c r="J26" i="15" s="1"/>
  <c r="B26" i="15"/>
  <c r="P347" i="15"/>
  <c r="P339" i="15"/>
  <c r="P331" i="15"/>
  <c r="P323" i="15"/>
  <c r="P307" i="15"/>
  <c r="P299" i="15"/>
  <c r="P291" i="15"/>
  <c r="P283" i="15"/>
  <c r="P275" i="15"/>
  <c r="P267" i="15"/>
  <c r="P259" i="15"/>
  <c r="P251" i="15"/>
  <c r="P243" i="15"/>
  <c r="P235" i="15"/>
  <c r="P227" i="15"/>
  <c r="P219" i="15"/>
  <c r="P211" i="15"/>
  <c r="P203" i="15"/>
  <c r="P195" i="15"/>
  <c r="P187" i="15"/>
  <c r="P179" i="15"/>
  <c r="P171" i="15"/>
  <c r="P163" i="15"/>
  <c r="P155" i="15"/>
  <c r="P147" i="15"/>
  <c r="P139" i="15"/>
  <c r="P131" i="15"/>
  <c r="P123" i="15"/>
  <c r="P115" i="15"/>
  <c r="P107" i="15"/>
  <c r="P99" i="15"/>
  <c r="P91" i="15"/>
  <c r="P83" i="15"/>
  <c r="P75" i="15"/>
  <c r="P67" i="15"/>
  <c r="P59" i="15"/>
  <c r="P51" i="15"/>
  <c r="P43" i="15"/>
  <c r="P35" i="15"/>
  <c r="P27" i="15"/>
  <c r="P19" i="15"/>
  <c r="P11" i="15"/>
  <c r="P3" i="15"/>
  <c r="B225" i="15"/>
  <c r="B217" i="15"/>
  <c r="B193" i="15"/>
  <c r="B185" i="15"/>
  <c r="B161" i="15"/>
  <c r="B153" i="15"/>
  <c r="B129" i="15"/>
  <c r="B121" i="15"/>
  <c r="B97" i="15"/>
  <c r="B89" i="15"/>
  <c r="B65" i="15"/>
  <c r="B57" i="15"/>
  <c r="B33" i="15"/>
  <c r="B25" i="15"/>
  <c r="P306" i="15"/>
  <c r="P298" i="15"/>
  <c r="P266" i="15"/>
  <c r="P234" i="15"/>
  <c r="P210" i="15"/>
  <c r="P202" i="15"/>
  <c r="P178" i="15"/>
  <c r="P170" i="15"/>
  <c r="P162" i="15"/>
  <c r="P146" i="15"/>
  <c r="P138" i="15"/>
  <c r="P106" i="15"/>
  <c r="P74" i="15"/>
  <c r="P42" i="15"/>
  <c r="P18" i="15"/>
  <c r="P10" i="15"/>
  <c r="B274" i="15"/>
  <c r="N52" i="15"/>
  <c r="S52" i="15" s="1"/>
  <c r="P345" i="15"/>
  <c r="P337" i="15"/>
  <c r="P273" i="15"/>
  <c r="P265" i="15"/>
  <c r="P241" i="15"/>
  <c r="P233" i="15"/>
  <c r="P209" i="15"/>
  <c r="P201" i="15"/>
  <c r="P177" i="15"/>
  <c r="P169" i="15"/>
  <c r="P145" i="15"/>
  <c r="P137" i="15"/>
  <c r="P113" i="15"/>
  <c r="P105" i="15"/>
  <c r="P81" i="15"/>
  <c r="P73" i="15"/>
  <c r="P49" i="15"/>
  <c r="P41" i="15"/>
  <c r="P17" i="15"/>
  <c r="P9" i="15"/>
  <c r="M207" i="14"/>
  <c r="J207" i="15" s="1"/>
  <c r="B207" i="15"/>
  <c r="M191" i="14"/>
  <c r="J191" i="15" s="1"/>
  <c r="B191" i="15"/>
  <c r="B183" i="15"/>
  <c r="M175" i="14"/>
  <c r="J175" i="15" s="1"/>
  <c r="B175" i="15"/>
  <c r="M159" i="14"/>
  <c r="J159" i="15" s="1"/>
  <c r="B159" i="15"/>
  <c r="M151" i="14"/>
  <c r="J151" i="15" s="1"/>
  <c r="B151" i="15"/>
  <c r="M143" i="14"/>
  <c r="J143" i="15" s="1"/>
  <c r="B143" i="15"/>
  <c r="M127" i="14"/>
  <c r="J127" i="15" s="1"/>
  <c r="B127" i="15"/>
  <c r="M119" i="14"/>
  <c r="J119" i="15" s="1"/>
  <c r="B119" i="15"/>
  <c r="M111" i="14"/>
  <c r="J111" i="15" s="1"/>
  <c r="B111" i="15"/>
  <c r="M95" i="14"/>
  <c r="J95" i="15" s="1"/>
  <c r="B95" i="15"/>
  <c r="M87" i="14"/>
  <c r="J87" i="15" s="1"/>
  <c r="B87" i="15"/>
  <c r="M79" i="14"/>
  <c r="J79" i="15" s="1"/>
  <c r="B79" i="15"/>
  <c r="M63" i="14"/>
  <c r="J63" i="15" s="1"/>
  <c r="B63" i="15"/>
  <c r="M55" i="14"/>
  <c r="J55" i="15" s="1"/>
  <c r="B55" i="15"/>
  <c r="M47" i="14"/>
  <c r="J47" i="15" s="1"/>
  <c r="B47" i="15"/>
  <c r="M31" i="14"/>
  <c r="J31" i="15" s="1"/>
  <c r="B31" i="15"/>
  <c r="M23" i="14"/>
  <c r="J23" i="15" s="1"/>
  <c r="B23" i="15"/>
  <c r="M15" i="14"/>
  <c r="J15" i="15" s="1"/>
  <c r="B15" i="15"/>
  <c r="P344" i="15"/>
  <c r="P336" i="15"/>
  <c r="P328" i="15"/>
  <c r="P320" i="15"/>
  <c r="P312" i="15"/>
  <c r="P304" i="15"/>
  <c r="P296" i="15"/>
  <c r="P288" i="15"/>
  <c r="P280" i="15"/>
  <c r="P272" i="15"/>
  <c r="P264" i="15"/>
  <c r="P256" i="15"/>
  <c r="P248" i="15"/>
  <c r="P240" i="15"/>
  <c r="P232" i="15"/>
  <c r="P224" i="15"/>
  <c r="P216" i="15"/>
  <c r="P208" i="15"/>
  <c r="P200" i="15"/>
  <c r="P192" i="15"/>
  <c r="P184" i="15"/>
  <c r="P176" i="15"/>
  <c r="P168" i="15"/>
  <c r="P160" i="15"/>
  <c r="P152" i="15"/>
  <c r="P144" i="15"/>
  <c r="P136" i="15"/>
  <c r="P128" i="15"/>
  <c r="P120" i="15"/>
  <c r="P112" i="15"/>
  <c r="P104" i="15"/>
  <c r="P96" i="15"/>
  <c r="P88" i="15"/>
  <c r="P80" i="15"/>
  <c r="P72" i="15"/>
  <c r="P64" i="15"/>
  <c r="P56" i="15"/>
  <c r="P48" i="15"/>
  <c r="P40" i="15"/>
  <c r="P32" i="15"/>
  <c r="P24" i="15"/>
  <c r="P16" i="15"/>
  <c r="P8" i="15"/>
  <c r="B349" i="15"/>
  <c r="B258" i="15"/>
  <c r="R351" i="15"/>
  <c r="S351" i="15"/>
  <c r="R343" i="15"/>
  <c r="S343" i="15"/>
  <c r="R335" i="15"/>
  <c r="S335" i="15"/>
  <c r="R327" i="15"/>
  <c r="S327" i="15"/>
  <c r="R319" i="15"/>
  <c r="S319" i="15"/>
  <c r="R311" i="15"/>
  <c r="S311" i="15"/>
  <c r="R303" i="15"/>
  <c r="S303" i="15"/>
  <c r="R295" i="15"/>
  <c r="S295" i="15"/>
  <c r="R287" i="15"/>
  <c r="S287" i="15"/>
  <c r="R279" i="15"/>
  <c r="S279" i="15"/>
  <c r="R271" i="15"/>
  <c r="S271" i="15"/>
  <c r="R263" i="15"/>
  <c r="S263" i="15"/>
  <c r="R255" i="15"/>
  <c r="S255" i="15"/>
  <c r="R247" i="15"/>
  <c r="S247" i="15"/>
  <c r="R239" i="15"/>
  <c r="S239" i="15"/>
  <c r="R231" i="15"/>
  <c r="S231" i="15"/>
  <c r="S223" i="15"/>
  <c r="R223" i="15"/>
  <c r="S215" i="15"/>
  <c r="R215" i="15"/>
  <c r="S207" i="15"/>
  <c r="R207" i="15"/>
  <c r="S199" i="15"/>
  <c r="R199" i="15"/>
  <c r="S191" i="15"/>
  <c r="R191" i="15"/>
  <c r="S183" i="15"/>
  <c r="R183" i="15"/>
  <c r="S175" i="15"/>
  <c r="R175" i="15"/>
  <c r="S167" i="15"/>
  <c r="R167" i="15"/>
  <c r="S159" i="15"/>
  <c r="R159" i="15"/>
  <c r="S151" i="15"/>
  <c r="R151" i="15"/>
  <c r="S143" i="15"/>
  <c r="R143" i="15"/>
  <c r="S135" i="15"/>
  <c r="R135" i="15"/>
  <c r="S126" i="15"/>
  <c r="R126" i="15"/>
  <c r="S118" i="15"/>
  <c r="R118" i="15"/>
  <c r="S110" i="15"/>
  <c r="R110" i="15"/>
  <c r="S102" i="15"/>
  <c r="R102" i="15"/>
  <c r="S94" i="15"/>
  <c r="R94" i="15"/>
  <c r="S86" i="15"/>
  <c r="R86" i="15"/>
  <c r="S78" i="15"/>
  <c r="R78" i="15"/>
  <c r="S70" i="15"/>
  <c r="R70" i="15"/>
  <c r="S62" i="15"/>
  <c r="R62" i="15"/>
  <c r="S54" i="15"/>
  <c r="R54" i="15"/>
  <c r="S46" i="15"/>
  <c r="R46" i="15"/>
  <c r="S38" i="15"/>
  <c r="R38" i="15"/>
  <c r="S30" i="15"/>
  <c r="R30" i="15"/>
  <c r="S22" i="15"/>
  <c r="R22" i="15"/>
  <c r="S14" i="15"/>
  <c r="R14" i="15"/>
  <c r="S6" i="15"/>
  <c r="R6" i="15"/>
  <c r="P327" i="15"/>
  <c r="P295" i="15"/>
  <c r="P263" i="15"/>
  <c r="P231" i="15"/>
  <c r="P199" i="15"/>
  <c r="P167" i="15"/>
  <c r="P135" i="15"/>
  <c r="P103" i="15"/>
  <c r="P71" i="15"/>
  <c r="P39" i="15"/>
  <c r="P7" i="15"/>
  <c r="S348" i="15"/>
  <c r="R348" i="15"/>
  <c r="S340" i="15"/>
  <c r="R340" i="15"/>
  <c r="S332" i="15"/>
  <c r="R332" i="15"/>
  <c r="S324" i="15"/>
  <c r="R324" i="15"/>
  <c r="S316" i="15"/>
  <c r="R316" i="15"/>
  <c r="S308" i="15"/>
  <c r="R308" i="15"/>
  <c r="S300" i="15"/>
  <c r="R300" i="15"/>
  <c r="S292" i="15"/>
  <c r="R292" i="15"/>
  <c r="S284" i="15"/>
  <c r="R284" i="15"/>
  <c r="S276" i="15"/>
  <c r="R276" i="15"/>
  <c r="S268" i="15"/>
  <c r="R268" i="15"/>
  <c r="S260" i="15"/>
  <c r="R260" i="15"/>
  <c r="S252" i="15"/>
  <c r="R252" i="15"/>
  <c r="S244" i="15"/>
  <c r="R244" i="15"/>
  <c r="S236" i="15"/>
  <c r="R236" i="15"/>
  <c r="S228" i="15"/>
  <c r="R228" i="15"/>
  <c r="S220" i="15"/>
  <c r="R220" i="15"/>
  <c r="S212" i="15"/>
  <c r="R212" i="15"/>
  <c r="S204" i="15"/>
  <c r="R204" i="15"/>
  <c r="S196" i="15"/>
  <c r="R196" i="15"/>
  <c r="S188" i="15"/>
  <c r="R188" i="15"/>
  <c r="S180" i="15"/>
  <c r="R180" i="15"/>
  <c r="S172" i="15"/>
  <c r="R172" i="15"/>
  <c r="S164" i="15"/>
  <c r="R164" i="15"/>
  <c r="S156" i="15"/>
  <c r="R156" i="15"/>
  <c r="S148" i="15"/>
  <c r="R148" i="15"/>
  <c r="S140" i="15"/>
  <c r="R140" i="15"/>
  <c r="S131" i="15"/>
  <c r="R131" i="15"/>
  <c r="S123" i="15"/>
  <c r="R123" i="15"/>
  <c r="S115" i="15"/>
  <c r="R115" i="15"/>
  <c r="S107" i="15"/>
  <c r="R107" i="15"/>
  <c r="S99" i="15"/>
  <c r="R99" i="15"/>
  <c r="S91" i="15"/>
  <c r="R91" i="15"/>
  <c r="S83" i="15"/>
  <c r="R83" i="15"/>
  <c r="S75" i="15"/>
  <c r="R75" i="15"/>
  <c r="S67" i="15"/>
  <c r="R67" i="15"/>
  <c r="S59" i="15"/>
  <c r="R59" i="15"/>
  <c r="S51" i="15"/>
  <c r="R51" i="15"/>
  <c r="S43" i="15"/>
  <c r="R43" i="15"/>
  <c r="S35" i="15"/>
  <c r="R35" i="15"/>
  <c r="S27" i="15"/>
  <c r="R27" i="15"/>
  <c r="S19" i="15"/>
  <c r="R19" i="15"/>
  <c r="S11" i="15"/>
  <c r="R11" i="15"/>
  <c r="S3" i="15"/>
  <c r="R3" i="15"/>
  <c r="P252" i="15"/>
  <c r="P244" i="15"/>
  <c r="P236" i="15"/>
  <c r="P220" i="15"/>
  <c r="P212" i="15"/>
  <c r="P204" i="15"/>
  <c r="P188" i="15"/>
  <c r="P180" i="15"/>
  <c r="P172" i="15"/>
  <c r="P164" i="15"/>
  <c r="P156" i="15"/>
  <c r="P148" i="15"/>
  <c r="P140" i="15"/>
  <c r="P124" i="15"/>
  <c r="P116" i="15"/>
  <c r="P92" i="15"/>
  <c r="P84" i="15"/>
  <c r="P76" i="15"/>
  <c r="P60" i="15"/>
  <c r="P52" i="15"/>
  <c r="P44" i="15"/>
  <c r="P36" i="15"/>
  <c r="P28" i="15"/>
  <c r="P20" i="15"/>
  <c r="P12" i="15"/>
  <c r="R350" i="15"/>
  <c r="S350" i="15"/>
  <c r="R342" i="15"/>
  <c r="S342" i="15"/>
  <c r="R334" i="15"/>
  <c r="S334" i="15"/>
  <c r="R326" i="15"/>
  <c r="S326" i="15"/>
  <c r="R318" i="15"/>
  <c r="S318" i="15"/>
  <c r="R310" i="15"/>
  <c r="S310" i="15"/>
  <c r="R302" i="15"/>
  <c r="S302" i="15"/>
  <c r="R294" i="15"/>
  <c r="S294" i="15"/>
  <c r="R286" i="15"/>
  <c r="S286" i="15"/>
  <c r="R278" i="15"/>
  <c r="S278" i="15"/>
  <c r="R270" i="15"/>
  <c r="S270" i="15"/>
  <c r="R262" i="15"/>
  <c r="S262" i="15"/>
  <c r="R254" i="15"/>
  <c r="S254" i="15"/>
  <c r="R246" i="15"/>
  <c r="S246" i="15"/>
  <c r="R238" i="15"/>
  <c r="S238" i="15"/>
  <c r="R230" i="15"/>
  <c r="S230" i="15"/>
  <c r="R222" i="15"/>
  <c r="S222" i="15"/>
  <c r="R214" i="15"/>
  <c r="S214" i="15"/>
  <c r="R206" i="15"/>
  <c r="S206" i="15"/>
  <c r="R198" i="15"/>
  <c r="S198" i="15"/>
  <c r="R190" i="15"/>
  <c r="S190" i="15"/>
  <c r="R182" i="15"/>
  <c r="S182" i="15"/>
  <c r="R174" i="15"/>
  <c r="S174" i="15"/>
  <c r="R166" i="15"/>
  <c r="S166" i="15"/>
  <c r="R158" i="15"/>
  <c r="S158" i="15"/>
  <c r="R150" i="15"/>
  <c r="S150" i="15"/>
  <c r="R142" i="15"/>
  <c r="S142" i="15"/>
  <c r="R134" i="15"/>
  <c r="S134" i="15"/>
  <c r="S125" i="15"/>
  <c r="R125" i="15"/>
  <c r="S117" i="15"/>
  <c r="R117" i="15"/>
  <c r="S109" i="15"/>
  <c r="R109" i="15"/>
  <c r="S101" i="15"/>
  <c r="R101" i="15"/>
  <c r="S93" i="15"/>
  <c r="R93" i="15"/>
  <c r="S85" i="15"/>
  <c r="R85" i="15"/>
  <c r="S77" i="15"/>
  <c r="R77" i="15"/>
  <c r="S69" i="15"/>
  <c r="R69" i="15"/>
  <c r="S61" i="15"/>
  <c r="R61" i="15"/>
  <c r="S53" i="15"/>
  <c r="R53" i="15"/>
  <c r="S45" i="15"/>
  <c r="R45" i="15"/>
  <c r="S37" i="15"/>
  <c r="R37" i="15"/>
  <c r="S29" i="15"/>
  <c r="R29" i="15"/>
  <c r="S21" i="15"/>
  <c r="R21" i="15"/>
  <c r="S13" i="15"/>
  <c r="R13" i="15"/>
  <c r="S5" i="15"/>
  <c r="R5" i="15"/>
  <c r="P50" i="15"/>
  <c r="S349" i="15"/>
  <c r="R349" i="15"/>
  <c r="S341" i="15"/>
  <c r="R341" i="15"/>
  <c r="S333" i="15"/>
  <c r="R333" i="15"/>
  <c r="S325" i="15"/>
  <c r="R325" i="15"/>
  <c r="S317" i="15"/>
  <c r="R317" i="15"/>
  <c r="S309" i="15"/>
  <c r="R309" i="15"/>
  <c r="S301" i="15"/>
  <c r="R301" i="15"/>
  <c r="S293" i="15"/>
  <c r="R293" i="15"/>
  <c r="S285" i="15"/>
  <c r="R285" i="15"/>
  <c r="S277" i="15"/>
  <c r="R277" i="15"/>
  <c r="S269" i="15"/>
  <c r="R269" i="15"/>
  <c r="S261" i="15"/>
  <c r="R261" i="15"/>
  <c r="S253" i="15"/>
  <c r="R253" i="15"/>
  <c r="S245" i="15"/>
  <c r="R245" i="15"/>
  <c r="S237" i="15"/>
  <c r="R237" i="15"/>
  <c r="S229" i="15"/>
  <c r="R229" i="15"/>
  <c r="S221" i="15"/>
  <c r="R221" i="15"/>
  <c r="S213" i="15"/>
  <c r="R213" i="15"/>
  <c r="S205" i="15"/>
  <c r="R205" i="15"/>
  <c r="S197" i="15"/>
  <c r="R197" i="15"/>
  <c r="S189" i="15"/>
  <c r="R189" i="15"/>
  <c r="S181" i="15"/>
  <c r="R181" i="15"/>
  <c r="S173" i="15"/>
  <c r="R173" i="15"/>
  <c r="S165" i="15"/>
  <c r="R165" i="15"/>
  <c r="S157" i="15"/>
  <c r="R157" i="15"/>
  <c r="S149" i="15"/>
  <c r="R149" i="15"/>
  <c r="S141" i="15"/>
  <c r="R141" i="15"/>
  <c r="S132" i="15"/>
  <c r="R132" i="15"/>
  <c r="S124" i="15"/>
  <c r="R124" i="15"/>
  <c r="S116" i="15"/>
  <c r="R116" i="15"/>
  <c r="S100" i="15"/>
  <c r="R100" i="15"/>
  <c r="S92" i="15"/>
  <c r="R92" i="15"/>
  <c r="S84" i="15"/>
  <c r="R84" i="15"/>
  <c r="S76" i="15"/>
  <c r="R76" i="15"/>
  <c r="S68" i="15"/>
  <c r="R68" i="15"/>
  <c r="S60" i="15"/>
  <c r="R60" i="15"/>
  <c r="R52" i="15"/>
  <c r="S44" i="15"/>
  <c r="R44" i="15"/>
  <c r="S36" i="15"/>
  <c r="R36" i="15"/>
  <c r="S28" i="15"/>
  <c r="R28" i="15"/>
  <c r="S20" i="15"/>
  <c r="R20" i="15"/>
  <c r="S12" i="15"/>
  <c r="R12" i="15"/>
  <c r="S4" i="15"/>
  <c r="R4" i="15"/>
  <c r="S347" i="15"/>
  <c r="R347" i="15"/>
  <c r="S339" i="15"/>
  <c r="R339" i="15"/>
  <c r="S331" i="15"/>
  <c r="R331" i="15"/>
  <c r="S323" i="15"/>
  <c r="R323" i="15"/>
  <c r="S315" i="15"/>
  <c r="R315" i="15"/>
  <c r="S307" i="15"/>
  <c r="R307" i="15"/>
  <c r="S299" i="15"/>
  <c r="R299" i="15"/>
  <c r="S291" i="15"/>
  <c r="R291" i="15"/>
  <c r="S283" i="15"/>
  <c r="R283" i="15"/>
  <c r="S275" i="15"/>
  <c r="R275" i="15"/>
  <c r="S267" i="15"/>
  <c r="R267" i="15"/>
  <c r="S259" i="15"/>
  <c r="R259" i="15"/>
  <c r="S251" i="15"/>
  <c r="R251" i="15"/>
  <c r="S243" i="15"/>
  <c r="R243" i="15"/>
  <c r="S235" i="15"/>
  <c r="R235" i="15"/>
  <c r="S227" i="15"/>
  <c r="R227" i="15"/>
  <c r="S219" i="15"/>
  <c r="R219" i="15"/>
  <c r="R211" i="15"/>
  <c r="S211" i="15"/>
  <c r="S203" i="15"/>
  <c r="R203" i="15"/>
  <c r="S195" i="15"/>
  <c r="R195" i="15"/>
  <c r="S187" i="15"/>
  <c r="R187" i="15"/>
  <c r="S179" i="15"/>
  <c r="R179" i="15"/>
  <c r="S171" i="15"/>
  <c r="R171" i="15"/>
  <c r="S163" i="15"/>
  <c r="R163" i="15"/>
  <c r="S155" i="15"/>
  <c r="R155" i="15"/>
  <c r="S147" i="15"/>
  <c r="R147" i="15"/>
  <c r="S139" i="15"/>
  <c r="R139" i="15"/>
  <c r="R130" i="15"/>
  <c r="R122" i="15"/>
  <c r="R114" i="15"/>
  <c r="S106" i="15"/>
  <c r="R106" i="15"/>
  <c r="S98" i="15"/>
  <c r="R98" i="15"/>
  <c r="S90" i="15"/>
  <c r="R90" i="15"/>
  <c r="S82" i="15"/>
  <c r="R82" i="15"/>
  <c r="S74" i="15"/>
  <c r="R74" i="15"/>
  <c r="S66" i="15"/>
  <c r="R66" i="15"/>
  <c r="S58" i="15"/>
  <c r="R58" i="15"/>
  <c r="S50" i="15"/>
  <c r="R50" i="15"/>
  <c r="R42" i="15"/>
  <c r="R34" i="15"/>
  <c r="R26" i="15"/>
  <c r="R18" i="15"/>
  <c r="R10" i="15"/>
  <c r="R346" i="15"/>
  <c r="R338" i="15"/>
  <c r="R330" i="15"/>
  <c r="R322" i="15"/>
  <c r="R314" i="15"/>
  <c r="R306" i="15"/>
  <c r="R298" i="15"/>
  <c r="R290" i="15"/>
  <c r="R282" i="15"/>
  <c r="S282" i="15"/>
  <c r="R274" i="15"/>
  <c r="R266" i="15"/>
  <c r="R258" i="15"/>
  <c r="R250" i="15"/>
  <c r="R242" i="15"/>
  <c r="R234" i="15"/>
  <c r="R226" i="15"/>
  <c r="R218" i="15"/>
  <c r="R210" i="15"/>
  <c r="R202" i="15"/>
  <c r="R194" i="15"/>
  <c r="R186" i="15"/>
  <c r="R178" i="15"/>
  <c r="R170" i="15"/>
  <c r="R162" i="15"/>
  <c r="R154" i="15"/>
  <c r="R146" i="15"/>
  <c r="R138" i="15"/>
  <c r="R129" i="15"/>
  <c r="R121" i="15"/>
  <c r="R113" i="15"/>
  <c r="R105" i="15"/>
  <c r="R97" i="15"/>
  <c r="R89" i="15"/>
  <c r="R81" i="15"/>
  <c r="R73" i="15"/>
  <c r="R65" i="15"/>
  <c r="R57" i="15"/>
  <c r="S49" i="15"/>
  <c r="R49" i="15"/>
  <c r="S41" i="15"/>
  <c r="R41" i="15"/>
  <c r="S33" i="15"/>
  <c r="R33" i="15"/>
  <c r="S25" i="15"/>
  <c r="R25" i="15"/>
  <c r="S17" i="15"/>
  <c r="R17" i="15"/>
  <c r="S9" i="15"/>
  <c r="R9" i="15"/>
  <c r="R345" i="15"/>
  <c r="R337" i="15"/>
  <c r="R329" i="15"/>
  <c r="S329" i="15"/>
  <c r="R321" i="15"/>
  <c r="R313" i="15"/>
  <c r="R305" i="15"/>
  <c r="R297" i="15"/>
  <c r="R289" i="15"/>
  <c r="R281" i="15"/>
  <c r="R273" i="15"/>
  <c r="R265" i="15"/>
  <c r="R257" i="15"/>
  <c r="R249" i="15"/>
  <c r="R241" i="15"/>
  <c r="R233" i="15"/>
  <c r="R225" i="15"/>
  <c r="R217" i="15"/>
  <c r="R209" i="15"/>
  <c r="R201" i="15"/>
  <c r="R193" i="15"/>
  <c r="R185" i="15"/>
  <c r="R177" i="15"/>
  <c r="R169" i="15"/>
  <c r="R161" i="15"/>
  <c r="R153" i="15"/>
  <c r="R145" i="15"/>
  <c r="R137" i="15"/>
  <c r="S128" i="15"/>
  <c r="R128" i="15"/>
  <c r="S120" i="15"/>
  <c r="R120" i="15"/>
  <c r="S112" i="15"/>
  <c r="R112" i="15"/>
  <c r="S104" i="15"/>
  <c r="R104" i="15"/>
  <c r="S96" i="15"/>
  <c r="R96" i="15"/>
  <c r="S88" i="15"/>
  <c r="R88" i="15"/>
  <c r="S80" i="15"/>
  <c r="R80" i="15"/>
  <c r="S72" i="15"/>
  <c r="R72" i="15"/>
  <c r="S64" i="15"/>
  <c r="R64" i="15"/>
  <c r="S56" i="15"/>
  <c r="R56" i="15"/>
  <c r="S48" i="15"/>
  <c r="R48" i="15"/>
  <c r="S40" i="15"/>
  <c r="R40" i="15"/>
  <c r="S32" i="15"/>
  <c r="R32" i="15"/>
  <c r="S24" i="15"/>
  <c r="R24" i="15"/>
  <c r="S16" i="15"/>
  <c r="R16" i="15"/>
  <c r="S8" i="15"/>
  <c r="R8" i="15"/>
  <c r="R2" i="15"/>
  <c r="R344" i="15"/>
  <c r="S344" i="15"/>
  <c r="R336" i="15"/>
  <c r="S336" i="15"/>
  <c r="R328" i="15"/>
  <c r="S328" i="15"/>
  <c r="R320" i="15"/>
  <c r="S320" i="15"/>
  <c r="R312" i="15"/>
  <c r="S312" i="15"/>
  <c r="R304" i="15"/>
  <c r="S304" i="15"/>
  <c r="R296" i="15"/>
  <c r="S296" i="15"/>
  <c r="R288" i="15"/>
  <c r="S288" i="15"/>
  <c r="R280" i="15"/>
  <c r="S280" i="15"/>
  <c r="R272" i="15"/>
  <c r="S272" i="15"/>
  <c r="R264" i="15"/>
  <c r="S264" i="15"/>
  <c r="R256" i="15"/>
  <c r="S256" i="15"/>
  <c r="R248" i="15"/>
  <c r="S248" i="15"/>
  <c r="R240" i="15"/>
  <c r="S240" i="15"/>
  <c r="R232" i="15"/>
  <c r="S232" i="15"/>
  <c r="S224" i="15"/>
  <c r="R224" i="15"/>
  <c r="S216" i="15"/>
  <c r="R216" i="15"/>
  <c r="S208" i="15"/>
  <c r="R208" i="15"/>
  <c r="S200" i="15"/>
  <c r="R200" i="15"/>
  <c r="S192" i="15"/>
  <c r="R192" i="15"/>
  <c r="S184" i="15"/>
  <c r="R184" i="15"/>
  <c r="S176" i="15"/>
  <c r="R176" i="15"/>
  <c r="S168" i="15"/>
  <c r="R168" i="15"/>
  <c r="S160" i="15"/>
  <c r="R160" i="15"/>
  <c r="S152" i="15"/>
  <c r="R152" i="15"/>
  <c r="S144" i="15"/>
  <c r="R144" i="15"/>
  <c r="S136" i="15"/>
  <c r="R136" i="15"/>
  <c r="S127" i="15"/>
  <c r="R127" i="15"/>
  <c r="S119" i="15"/>
  <c r="R119" i="15"/>
  <c r="S111" i="15"/>
  <c r="R111" i="15"/>
  <c r="S103" i="15"/>
  <c r="R103" i="15"/>
  <c r="S95" i="15"/>
  <c r="R95" i="15"/>
  <c r="S87" i="15"/>
  <c r="R87" i="15"/>
  <c r="S79" i="15"/>
  <c r="R79" i="15"/>
  <c r="S71" i="15"/>
  <c r="R71" i="15"/>
  <c r="S63" i="15"/>
  <c r="R63" i="15"/>
  <c r="S55" i="15"/>
  <c r="R55" i="15"/>
  <c r="S47" i="15"/>
  <c r="R47" i="15"/>
  <c r="S39" i="15"/>
  <c r="R39" i="15"/>
  <c r="S31" i="15"/>
  <c r="R31" i="15"/>
  <c r="S23" i="15"/>
  <c r="R23" i="15"/>
  <c r="S15" i="15"/>
  <c r="R15" i="15"/>
  <c r="S7" i="15"/>
  <c r="R7" i="15"/>
  <c r="P2" i="15"/>
  <c r="P315" i="15"/>
  <c r="G124" i="14"/>
  <c r="F124" i="15" s="1"/>
  <c r="U124" i="15" s="1"/>
  <c r="S133" i="15"/>
  <c r="V4" i="15"/>
  <c r="V291" i="15"/>
  <c r="V259" i="15"/>
  <c r="V195" i="15"/>
  <c r="V131" i="15"/>
  <c r="V123" i="15"/>
  <c r="V115" i="15"/>
  <c r="V107" i="15"/>
  <c r="V99" i="15"/>
  <c r="V35" i="15"/>
  <c r="V27" i="15"/>
  <c r="V19" i="15"/>
  <c r="V11" i="15"/>
  <c r="V3" i="15"/>
  <c r="V339" i="15"/>
  <c r="V275" i="15"/>
  <c r="V211" i="15"/>
  <c r="V147" i="15"/>
  <c r="V43" i="15"/>
  <c r="V346" i="15"/>
  <c r="V338" i="15"/>
  <c r="V330" i="15"/>
  <c r="V322" i="15"/>
  <c r="V314" i="15"/>
  <c r="V306" i="15"/>
  <c r="V298" i="15"/>
  <c r="V290" i="15"/>
  <c r="V282" i="15"/>
  <c r="V274" i="15"/>
  <c r="V266" i="15"/>
  <c r="V258" i="15"/>
  <c r="V250" i="15"/>
  <c r="V242" i="15"/>
  <c r="V234" i="15"/>
  <c r="V226" i="15"/>
  <c r="V218" i="15"/>
  <c r="V210" i="15"/>
  <c r="V202" i="15"/>
  <c r="V194" i="15"/>
  <c r="V186" i="15"/>
  <c r="V178" i="15"/>
  <c r="V170" i="15"/>
  <c r="V162" i="15"/>
  <c r="V154" i="15"/>
  <c r="V146" i="15"/>
  <c r="V138" i="15"/>
  <c r="V130" i="15"/>
  <c r="V122" i="15"/>
  <c r="V114" i="15"/>
  <c r="V106" i="15"/>
  <c r="V98" i="15"/>
  <c r="V90" i="15"/>
  <c r="V82" i="15"/>
  <c r="V74" i="15"/>
  <c r="V66" i="15"/>
  <c r="V58" i="15"/>
  <c r="V50" i="15"/>
  <c r="V42" i="15"/>
  <c r="V34" i="15"/>
  <c r="V26" i="15"/>
  <c r="V18" i="15"/>
  <c r="V10" i="15"/>
  <c r="V2" i="15"/>
  <c r="V347" i="15"/>
  <c r="V283" i="15"/>
  <c r="V219" i="15"/>
  <c r="V155" i="15"/>
  <c r="V75" i="15"/>
  <c r="V345" i="15"/>
  <c r="V337" i="15"/>
  <c r="V329" i="15"/>
  <c r="V321" i="15"/>
  <c r="V313" i="15"/>
  <c r="V305" i="15"/>
  <c r="V297" i="15"/>
  <c r="V289" i="15"/>
  <c r="V281" i="15"/>
  <c r="V273" i="15"/>
  <c r="V265" i="15"/>
  <c r="V257" i="15"/>
  <c r="V249" i="15"/>
  <c r="V241" i="15"/>
  <c r="V233" i="15"/>
  <c r="V225" i="15"/>
  <c r="V217" i="15"/>
  <c r="V209" i="15"/>
  <c r="V201" i="15"/>
  <c r="V193" i="15"/>
  <c r="V185" i="15"/>
  <c r="V177" i="15"/>
  <c r="V169" i="15"/>
  <c r="V161" i="15"/>
  <c r="V153" i="15"/>
  <c r="V145" i="15"/>
  <c r="V137" i="15"/>
  <c r="V129" i="15"/>
  <c r="V121" i="15"/>
  <c r="V113" i="15"/>
  <c r="V105" i="15"/>
  <c r="V97" i="15"/>
  <c r="V89" i="15"/>
  <c r="V81" i="15"/>
  <c r="V73" i="15"/>
  <c r="V65" i="15"/>
  <c r="V57" i="15"/>
  <c r="V49" i="15"/>
  <c r="V41" i="15"/>
  <c r="V33" i="15"/>
  <c r="V25" i="15"/>
  <c r="V17" i="15"/>
  <c r="V9" i="15"/>
  <c r="V323" i="15"/>
  <c r="V243" i="15"/>
  <c r="V179" i="15"/>
  <c r="V67" i="15"/>
  <c r="V344" i="15"/>
  <c r="V336" i="15"/>
  <c r="V328" i="15"/>
  <c r="V320" i="15"/>
  <c r="V312" i="15"/>
  <c r="V304" i="15"/>
  <c r="V296" i="15"/>
  <c r="V288" i="15"/>
  <c r="V280" i="15"/>
  <c r="V272" i="15"/>
  <c r="V264" i="15"/>
  <c r="V256" i="15"/>
  <c r="V248" i="15"/>
  <c r="V240" i="15"/>
  <c r="V232" i="15"/>
  <c r="V224" i="15"/>
  <c r="V216" i="15"/>
  <c r="V208" i="15"/>
  <c r="V200" i="15"/>
  <c r="V192" i="15"/>
  <c r="V184" i="15"/>
  <c r="V176" i="15"/>
  <c r="V168" i="15"/>
  <c r="V160" i="15"/>
  <c r="V152" i="15"/>
  <c r="V144" i="15"/>
  <c r="V136" i="15"/>
  <c r="V128" i="15"/>
  <c r="V120" i="15"/>
  <c r="V112" i="15"/>
  <c r="V104" i="15"/>
  <c r="V96" i="15"/>
  <c r="V88" i="15"/>
  <c r="V80" i="15"/>
  <c r="V72" i="15"/>
  <c r="V64" i="15"/>
  <c r="V56" i="15"/>
  <c r="V48" i="15"/>
  <c r="V40" i="15"/>
  <c r="V32" i="15"/>
  <c r="V24" i="15"/>
  <c r="V16" i="15"/>
  <c r="V8" i="15"/>
  <c r="V307" i="15"/>
  <c r="V251" i="15"/>
  <c r="V187" i="15"/>
  <c r="V59" i="15"/>
  <c r="V351" i="15"/>
  <c r="V343" i="15"/>
  <c r="V335" i="15"/>
  <c r="V327" i="15"/>
  <c r="V319" i="15"/>
  <c r="V311" i="15"/>
  <c r="V303" i="15"/>
  <c r="V295" i="15"/>
  <c r="V287" i="15"/>
  <c r="V279" i="15"/>
  <c r="V271" i="15"/>
  <c r="V263" i="15"/>
  <c r="V255" i="15"/>
  <c r="V247" i="15"/>
  <c r="V239" i="15"/>
  <c r="V231" i="15"/>
  <c r="V223" i="15"/>
  <c r="V215" i="15"/>
  <c r="V207" i="15"/>
  <c r="V199" i="15"/>
  <c r="V191" i="15"/>
  <c r="V183" i="15"/>
  <c r="V175" i="15"/>
  <c r="V167" i="15"/>
  <c r="V159" i="15"/>
  <c r="V151" i="15"/>
  <c r="V143" i="15"/>
  <c r="V135" i="15"/>
  <c r="V127" i="15"/>
  <c r="V119" i="15"/>
  <c r="V111" i="15"/>
  <c r="V103" i="15"/>
  <c r="V95" i="15"/>
  <c r="V87" i="15"/>
  <c r="V79" i="15"/>
  <c r="V71" i="15"/>
  <c r="V63" i="15"/>
  <c r="V55" i="15"/>
  <c r="V47" i="15"/>
  <c r="V39" i="15"/>
  <c r="V31" i="15"/>
  <c r="V23" i="15"/>
  <c r="V15" i="15"/>
  <c r="V7" i="15"/>
  <c r="V299" i="15"/>
  <c r="V227" i="15"/>
  <c r="V163" i="15"/>
  <c r="V83" i="15"/>
  <c r="V350" i="15"/>
  <c r="V342" i="15"/>
  <c r="V334" i="15"/>
  <c r="V326" i="15"/>
  <c r="V318" i="15"/>
  <c r="V310" i="15"/>
  <c r="V302" i="15"/>
  <c r="V294" i="15"/>
  <c r="V286" i="15"/>
  <c r="V278" i="15"/>
  <c r="V270" i="15"/>
  <c r="V262" i="15"/>
  <c r="V254" i="15"/>
  <c r="V246" i="15"/>
  <c r="V238" i="15"/>
  <c r="V230" i="15"/>
  <c r="V222" i="15"/>
  <c r="V214" i="15"/>
  <c r="V206" i="15"/>
  <c r="V198" i="15"/>
  <c r="V190" i="15"/>
  <c r="V182" i="15"/>
  <c r="V174" i="15"/>
  <c r="V166" i="15"/>
  <c r="V158" i="15"/>
  <c r="V150" i="15"/>
  <c r="V142" i="15"/>
  <c r="V134" i="15"/>
  <c r="V126" i="15"/>
  <c r="V118" i="15"/>
  <c r="V110" i="15"/>
  <c r="V102" i="15"/>
  <c r="V94" i="15"/>
  <c r="V86" i="15"/>
  <c r="V78" i="15"/>
  <c r="V70" i="15"/>
  <c r="V62" i="15"/>
  <c r="V54" i="15"/>
  <c r="V46" i="15"/>
  <c r="V38" i="15"/>
  <c r="V30" i="15"/>
  <c r="V22" i="15"/>
  <c r="V14" i="15"/>
  <c r="V6" i="15"/>
  <c r="V331" i="15"/>
  <c r="V267" i="15"/>
  <c r="V203" i="15"/>
  <c r="V139" i="15"/>
  <c r="V51" i="15"/>
  <c r="P150" i="15"/>
  <c r="V349" i="15"/>
  <c r="V341" i="15"/>
  <c r="V333" i="15"/>
  <c r="V325" i="15"/>
  <c r="V317" i="15"/>
  <c r="V309" i="15"/>
  <c r="V301" i="15"/>
  <c r="V293" i="15"/>
  <c r="V285" i="15"/>
  <c r="V277" i="15"/>
  <c r="V269" i="15"/>
  <c r="V261" i="15"/>
  <c r="V253" i="15"/>
  <c r="V245" i="15"/>
  <c r="V237" i="15"/>
  <c r="V229" i="15"/>
  <c r="V221" i="15"/>
  <c r="V213" i="15"/>
  <c r="V205" i="15"/>
  <c r="V197" i="15"/>
  <c r="V189" i="15"/>
  <c r="V181" i="15"/>
  <c r="V173" i="15"/>
  <c r="V165" i="15"/>
  <c r="V157" i="15"/>
  <c r="V149" i="15"/>
  <c r="V141" i="15"/>
  <c r="V133" i="15"/>
  <c r="V125" i="15"/>
  <c r="V117" i="15"/>
  <c r="V109" i="15"/>
  <c r="V101" i="15"/>
  <c r="V93" i="15"/>
  <c r="V85" i="15"/>
  <c r="V77" i="15"/>
  <c r="V69" i="15"/>
  <c r="V61" i="15"/>
  <c r="V53" i="15"/>
  <c r="V45" i="15"/>
  <c r="V37" i="15"/>
  <c r="V29" i="15"/>
  <c r="V21" i="15"/>
  <c r="V13" i="15"/>
  <c r="V5" i="15"/>
  <c r="V315" i="15"/>
  <c r="V235" i="15"/>
  <c r="V171" i="15"/>
  <c r="V91" i="15"/>
  <c r="V348" i="15"/>
  <c r="V340" i="15"/>
  <c r="V332" i="15"/>
  <c r="V324" i="15"/>
  <c r="V316" i="15"/>
  <c r="V308" i="15"/>
  <c r="V300" i="15"/>
  <c r="V292" i="15"/>
  <c r="V284" i="15"/>
  <c r="V276" i="15"/>
  <c r="V268" i="15"/>
  <c r="V260" i="15"/>
  <c r="V252" i="15"/>
  <c r="V244" i="15"/>
  <c r="V236" i="15"/>
  <c r="V228" i="15"/>
  <c r="V220" i="15"/>
  <c r="V212" i="15"/>
  <c r="V204" i="15"/>
  <c r="V196" i="15"/>
  <c r="V188" i="15"/>
  <c r="V180" i="15"/>
  <c r="V172" i="15"/>
  <c r="V164" i="15"/>
  <c r="V156" i="15"/>
  <c r="V148" i="15"/>
  <c r="V140" i="15"/>
  <c r="V132" i="15"/>
  <c r="V124" i="15"/>
  <c r="V116" i="15"/>
  <c r="V108" i="15"/>
  <c r="V100" i="15"/>
  <c r="V92" i="15"/>
  <c r="V84" i="15"/>
  <c r="V76" i="15"/>
  <c r="V68" i="15"/>
  <c r="V60" i="15"/>
  <c r="V52" i="15"/>
  <c r="V44" i="15"/>
  <c r="V36" i="15"/>
  <c r="V28" i="15"/>
  <c r="V20" i="15"/>
  <c r="V12" i="15"/>
  <c r="S108" i="15"/>
  <c r="P108" i="15"/>
  <c r="H183" i="14"/>
  <c r="H341" i="14"/>
  <c r="M341" i="14"/>
  <c r="J341" i="15" s="1"/>
  <c r="H301" i="14"/>
  <c r="M301" i="14"/>
  <c r="J301" i="15" s="1"/>
  <c r="H245" i="14"/>
  <c r="M245" i="14"/>
  <c r="J245" i="15" s="1"/>
  <c r="H213" i="14"/>
  <c r="M213" i="14"/>
  <c r="J213" i="15" s="1"/>
  <c r="H157" i="14"/>
  <c r="M157" i="14"/>
  <c r="J157" i="15" s="1"/>
  <c r="H117" i="14"/>
  <c r="M117" i="14"/>
  <c r="J117" i="15" s="1"/>
  <c r="H69" i="14"/>
  <c r="M69" i="14"/>
  <c r="J69" i="15" s="1"/>
  <c r="H348" i="14"/>
  <c r="M348" i="14"/>
  <c r="J348" i="15" s="1"/>
  <c r="H332" i="14"/>
  <c r="M332" i="14"/>
  <c r="J332" i="15" s="1"/>
  <c r="H316" i="14"/>
  <c r="M316" i="14"/>
  <c r="J316" i="15" s="1"/>
  <c r="H300" i="14"/>
  <c r="M300" i="14"/>
  <c r="J300" i="15" s="1"/>
  <c r="H284" i="14"/>
  <c r="M284" i="14"/>
  <c r="J284" i="15" s="1"/>
  <c r="H268" i="14"/>
  <c r="M268" i="14"/>
  <c r="J268" i="15" s="1"/>
  <c r="H252" i="14"/>
  <c r="M252" i="14"/>
  <c r="J252" i="15" s="1"/>
  <c r="H236" i="14"/>
  <c r="M236" i="14"/>
  <c r="J236" i="15" s="1"/>
  <c r="H220" i="14"/>
  <c r="M220" i="14"/>
  <c r="J220" i="15" s="1"/>
  <c r="H196" i="14"/>
  <c r="M196" i="14"/>
  <c r="J196" i="15" s="1"/>
  <c r="H180" i="14"/>
  <c r="M180" i="14"/>
  <c r="J180" i="15" s="1"/>
  <c r="H164" i="14"/>
  <c r="M164" i="14"/>
  <c r="J164" i="15" s="1"/>
  <c r="H148" i="14"/>
  <c r="M148" i="14"/>
  <c r="J148" i="15" s="1"/>
  <c r="H124" i="14"/>
  <c r="M124" i="14"/>
  <c r="J124" i="15" s="1"/>
  <c r="H108" i="14"/>
  <c r="M108" i="14"/>
  <c r="J108" i="15" s="1"/>
  <c r="H92" i="14"/>
  <c r="M92" i="14"/>
  <c r="J92" i="15" s="1"/>
  <c r="H76" i="14"/>
  <c r="M76" i="14"/>
  <c r="J76" i="15" s="1"/>
  <c r="H60" i="14"/>
  <c r="M60" i="14"/>
  <c r="J60" i="15" s="1"/>
  <c r="H52" i="14"/>
  <c r="M52" i="14"/>
  <c r="J52" i="15" s="1"/>
  <c r="H36" i="14"/>
  <c r="M36" i="14"/>
  <c r="J36" i="15" s="1"/>
  <c r="H28" i="14"/>
  <c r="M28" i="14"/>
  <c r="J28" i="15" s="1"/>
  <c r="H20" i="14"/>
  <c r="M20" i="14"/>
  <c r="J20" i="15" s="1"/>
  <c r="H12" i="14"/>
  <c r="M12" i="14"/>
  <c r="J12" i="15" s="1"/>
  <c r="H4" i="14"/>
  <c r="M4" i="14"/>
  <c r="J4" i="15" s="1"/>
  <c r="M351" i="14"/>
  <c r="J351" i="15" s="1"/>
  <c r="H325" i="14"/>
  <c r="M325" i="14"/>
  <c r="J325" i="15" s="1"/>
  <c r="H269" i="14"/>
  <c r="M269" i="14"/>
  <c r="J269" i="15" s="1"/>
  <c r="H181" i="14"/>
  <c r="M181" i="14"/>
  <c r="J181" i="15" s="1"/>
  <c r="H340" i="14"/>
  <c r="M340" i="14"/>
  <c r="J340" i="15" s="1"/>
  <c r="H324" i="14"/>
  <c r="M324" i="14"/>
  <c r="J324" i="15" s="1"/>
  <c r="H308" i="14"/>
  <c r="M308" i="14"/>
  <c r="J308" i="15" s="1"/>
  <c r="H292" i="14"/>
  <c r="M292" i="14"/>
  <c r="J292" i="15" s="1"/>
  <c r="H276" i="14"/>
  <c r="M276" i="14"/>
  <c r="J276" i="15" s="1"/>
  <c r="H260" i="14"/>
  <c r="M260" i="14"/>
  <c r="J260" i="15" s="1"/>
  <c r="H244" i="14"/>
  <c r="M244" i="14"/>
  <c r="J244" i="15" s="1"/>
  <c r="H228" i="14"/>
  <c r="M228" i="14"/>
  <c r="J228" i="15" s="1"/>
  <c r="H212" i="14"/>
  <c r="M212" i="14"/>
  <c r="J212" i="15" s="1"/>
  <c r="H204" i="14"/>
  <c r="M204" i="14"/>
  <c r="J204" i="15" s="1"/>
  <c r="H188" i="14"/>
  <c r="M188" i="14"/>
  <c r="J188" i="15" s="1"/>
  <c r="H172" i="14"/>
  <c r="M172" i="14"/>
  <c r="J172" i="15" s="1"/>
  <c r="H156" i="14"/>
  <c r="M156" i="14"/>
  <c r="J156" i="15" s="1"/>
  <c r="H140" i="14"/>
  <c r="M140" i="14"/>
  <c r="J140" i="15" s="1"/>
  <c r="H132" i="14"/>
  <c r="M132" i="14"/>
  <c r="J132" i="15" s="1"/>
  <c r="H116" i="14"/>
  <c r="M116" i="14"/>
  <c r="J116" i="15" s="1"/>
  <c r="H100" i="14"/>
  <c r="M100" i="14"/>
  <c r="J100" i="15" s="1"/>
  <c r="H84" i="14"/>
  <c r="M84" i="14"/>
  <c r="J84" i="15" s="1"/>
  <c r="H68" i="14"/>
  <c r="M68" i="14"/>
  <c r="J68" i="15" s="1"/>
  <c r="H44" i="14"/>
  <c r="M44" i="14"/>
  <c r="J44" i="15" s="1"/>
  <c r="H347" i="14"/>
  <c r="M347" i="14"/>
  <c r="J347" i="15" s="1"/>
  <c r="H339" i="14"/>
  <c r="M339" i="14"/>
  <c r="J339" i="15" s="1"/>
  <c r="H331" i="14"/>
  <c r="M331" i="14"/>
  <c r="J331" i="15" s="1"/>
  <c r="H323" i="14"/>
  <c r="M323" i="14"/>
  <c r="J323" i="15" s="1"/>
  <c r="H315" i="14"/>
  <c r="M315" i="14"/>
  <c r="J315" i="15" s="1"/>
  <c r="H307" i="14"/>
  <c r="M307" i="14"/>
  <c r="J307" i="15" s="1"/>
  <c r="H299" i="14"/>
  <c r="M299" i="14"/>
  <c r="J299" i="15" s="1"/>
  <c r="H291" i="14"/>
  <c r="M291" i="14"/>
  <c r="J291" i="15" s="1"/>
  <c r="H283" i="14"/>
  <c r="M283" i="14"/>
  <c r="J283" i="15" s="1"/>
  <c r="H275" i="14"/>
  <c r="M275" i="14"/>
  <c r="J275" i="15" s="1"/>
  <c r="H267" i="14"/>
  <c r="M267" i="14"/>
  <c r="J267" i="15" s="1"/>
  <c r="H259" i="14"/>
  <c r="M259" i="14"/>
  <c r="J259" i="15" s="1"/>
  <c r="H251" i="14"/>
  <c r="M251" i="14"/>
  <c r="J251" i="15" s="1"/>
  <c r="H243" i="14"/>
  <c r="M243" i="14"/>
  <c r="J243" i="15" s="1"/>
  <c r="H235" i="14"/>
  <c r="M235" i="14"/>
  <c r="J235" i="15" s="1"/>
  <c r="H227" i="14"/>
  <c r="M227" i="14"/>
  <c r="J227" i="15" s="1"/>
  <c r="H219" i="14"/>
  <c r="M219" i="14"/>
  <c r="J219" i="15" s="1"/>
  <c r="H211" i="14"/>
  <c r="M211" i="14"/>
  <c r="J211" i="15" s="1"/>
  <c r="H203" i="14"/>
  <c r="M203" i="14"/>
  <c r="J203" i="15" s="1"/>
  <c r="H195" i="14"/>
  <c r="M195" i="14"/>
  <c r="J195" i="15" s="1"/>
  <c r="H187" i="14"/>
  <c r="M187" i="14"/>
  <c r="J187" i="15" s="1"/>
  <c r="H179" i="14"/>
  <c r="M179" i="14"/>
  <c r="J179" i="15" s="1"/>
  <c r="H171" i="14"/>
  <c r="M171" i="14"/>
  <c r="J171" i="15" s="1"/>
  <c r="H163" i="14"/>
  <c r="M163" i="14"/>
  <c r="J163" i="15" s="1"/>
  <c r="H155" i="14"/>
  <c r="M155" i="14"/>
  <c r="J155" i="15" s="1"/>
  <c r="H147" i="14"/>
  <c r="M147" i="14"/>
  <c r="J147" i="15" s="1"/>
  <c r="H139" i="14"/>
  <c r="M139" i="14"/>
  <c r="J139" i="15" s="1"/>
  <c r="H131" i="14"/>
  <c r="M131" i="14"/>
  <c r="J131" i="15" s="1"/>
  <c r="H123" i="14"/>
  <c r="M123" i="14"/>
  <c r="J123" i="15" s="1"/>
  <c r="H115" i="14"/>
  <c r="M115" i="14"/>
  <c r="J115" i="15" s="1"/>
  <c r="H107" i="14"/>
  <c r="M107" i="14"/>
  <c r="J107" i="15" s="1"/>
  <c r="H99" i="14"/>
  <c r="M99" i="14"/>
  <c r="J99" i="15" s="1"/>
  <c r="H91" i="14"/>
  <c r="M91" i="14"/>
  <c r="J91" i="15" s="1"/>
  <c r="H83" i="14"/>
  <c r="M83" i="14"/>
  <c r="J83" i="15" s="1"/>
  <c r="H75" i="14"/>
  <c r="M75" i="14"/>
  <c r="J75" i="15" s="1"/>
  <c r="H67" i="14"/>
  <c r="M67" i="14"/>
  <c r="J67" i="15" s="1"/>
  <c r="H59" i="14"/>
  <c r="M59" i="14"/>
  <c r="J59" i="15" s="1"/>
  <c r="H51" i="14"/>
  <c r="M51" i="14"/>
  <c r="J51" i="15" s="1"/>
  <c r="H43" i="14"/>
  <c r="M43" i="14"/>
  <c r="J43" i="15" s="1"/>
  <c r="H35" i="14"/>
  <c r="M35" i="14"/>
  <c r="J35" i="15" s="1"/>
  <c r="H27" i="14"/>
  <c r="M27" i="14"/>
  <c r="J27" i="15" s="1"/>
  <c r="H19" i="14"/>
  <c r="M19" i="14"/>
  <c r="J19" i="15" s="1"/>
  <c r="H11" i="14"/>
  <c r="M11" i="14"/>
  <c r="J11" i="15" s="1"/>
  <c r="H3" i="14"/>
  <c r="M3" i="14"/>
  <c r="J3" i="15" s="1"/>
  <c r="M346" i="14"/>
  <c r="J346" i="15" s="1"/>
  <c r="H333" i="14"/>
  <c r="M333" i="14"/>
  <c r="J333" i="15" s="1"/>
  <c r="H277" i="14"/>
  <c r="M277" i="14"/>
  <c r="J277" i="15" s="1"/>
  <c r="H237" i="14"/>
  <c r="M237" i="14"/>
  <c r="J237" i="15" s="1"/>
  <c r="H197" i="14"/>
  <c r="M197" i="14"/>
  <c r="J197" i="15" s="1"/>
  <c r="H149" i="14"/>
  <c r="M149" i="14"/>
  <c r="J149" i="15" s="1"/>
  <c r="H101" i="14"/>
  <c r="M101" i="14"/>
  <c r="J101" i="15" s="1"/>
  <c r="H314" i="14"/>
  <c r="H290" i="14"/>
  <c r="H266" i="14"/>
  <c r="H250" i="14"/>
  <c r="H226" i="14"/>
  <c r="H202" i="14"/>
  <c r="H178" i="14"/>
  <c r="H154" i="14"/>
  <c r="H130" i="14"/>
  <c r="H106" i="14"/>
  <c r="H90" i="14"/>
  <c r="H66" i="14"/>
  <c r="H58" i="14"/>
  <c r="H42" i="14"/>
  <c r="H34" i="14"/>
  <c r="H26" i="14"/>
  <c r="H18" i="14"/>
  <c r="H10" i="14"/>
  <c r="H2" i="14"/>
  <c r="M2" i="14"/>
  <c r="J2" i="15" s="1"/>
  <c r="H309" i="14"/>
  <c r="M309" i="14"/>
  <c r="J309" i="15" s="1"/>
  <c r="H261" i="14"/>
  <c r="M261" i="14"/>
  <c r="J261" i="15" s="1"/>
  <c r="H221" i="14"/>
  <c r="M221" i="14"/>
  <c r="J221" i="15" s="1"/>
  <c r="H173" i="14"/>
  <c r="M173" i="14"/>
  <c r="J173" i="15" s="1"/>
  <c r="H133" i="14"/>
  <c r="M133" i="14"/>
  <c r="J133" i="15" s="1"/>
  <c r="H85" i="14"/>
  <c r="M85" i="14"/>
  <c r="J85" i="15" s="1"/>
  <c r="H45" i="14"/>
  <c r="M45" i="14"/>
  <c r="J45" i="15" s="1"/>
  <c r="H306" i="14"/>
  <c r="H282" i="14"/>
  <c r="H258" i="14"/>
  <c r="H234" i="14"/>
  <c r="H210" i="14"/>
  <c r="H186" i="14"/>
  <c r="H162" i="14"/>
  <c r="H146" i="14"/>
  <c r="H122" i="14"/>
  <c r="H98" i="14"/>
  <c r="H74" i="14"/>
  <c r="H50" i="14"/>
  <c r="M343" i="14"/>
  <c r="J343" i="15" s="1"/>
  <c r="M183" i="14"/>
  <c r="J183" i="15" s="1"/>
  <c r="J345" i="14"/>
  <c r="M345" i="14"/>
  <c r="J345" i="15" s="1"/>
  <c r="J337" i="14"/>
  <c r="M337" i="14"/>
  <c r="J337" i="15" s="1"/>
  <c r="H289" i="14"/>
  <c r="M289" i="14"/>
  <c r="J289" i="15" s="1"/>
  <c r="H281" i="14"/>
  <c r="M281" i="14"/>
  <c r="J281" i="15" s="1"/>
  <c r="H273" i="14"/>
  <c r="M273" i="14"/>
  <c r="J273" i="15" s="1"/>
  <c r="H265" i="14"/>
  <c r="M265" i="14"/>
  <c r="J265" i="15" s="1"/>
  <c r="H257" i="14"/>
  <c r="M257" i="14"/>
  <c r="J257" i="15" s="1"/>
  <c r="H249" i="14"/>
  <c r="M249" i="14"/>
  <c r="J249" i="15" s="1"/>
  <c r="H241" i="14"/>
  <c r="M241" i="14"/>
  <c r="J241" i="15" s="1"/>
  <c r="H233" i="14"/>
  <c r="M233" i="14"/>
  <c r="J233" i="15" s="1"/>
  <c r="H225" i="14"/>
  <c r="M225" i="14"/>
  <c r="J225" i="15" s="1"/>
  <c r="H217" i="14"/>
  <c r="M217" i="14"/>
  <c r="J217" i="15" s="1"/>
  <c r="H209" i="14"/>
  <c r="M209" i="14"/>
  <c r="J209" i="15" s="1"/>
  <c r="H201" i="14"/>
  <c r="M201" i="14"/>
  <c r="J201" i="15" s="1"/>
  <c r="H193" i="14"/>
  <c r="M193" i="14"/>
  <c r="J193" i="15" s="1"/>
  <c r="H185" i="14"/>
  <c r="M185" i="14"/>
  <c r="J185" i="15" s="1"/>
  <c r="H177" i="14"/>
  <c r="M177" i="14"/>
  <c r="J177" i="15" s="1"/>
  <c r="H169" i="14"/>
  <c r="M169" i="14"/>
  <c r="J169" i="15" s="1"/>
  <c r="H161" i="14"/>
  <c r="M161" i="14"/>
  <c r="J161" i="15" s="1"/>
  <c r="H153" i="14"/>
  <c r="M153" i="14"/>
  <c r="J153" i="15" s="1"/>
  <c r="H145" i="14"/>
  <c r="M145" i="14"/>
  <c r="J145" i="15" s="1"/>
  <c r="H137" i="14"/>
  <c r="M137" i="14"/>
  <c r="J137" i="15" s="1"/>
  <c r="H129" i="14"/>
  <c r="M129" i="14"/>
  <c r="J129" i="15" s="1"/>
  <c r="H121" i="14"/>
  <c r="M121" i="14"/>
  <c r="J121" i="15" s="1"/>
  <c r="H113" i="14"/>
  <c r="M113" i="14"/>
  <c r="J113" i="15" s="1"/>
  <c r="H105" i="14"/>
  <c r="M105" i="14"/>
  <c r="J105" i="15" s="1"/>
  <c r="H97" i="14"/>
  <c r="M97" i="14"/>
  <c r="J97" i="15" s="1"/>
  <c r="H89" i="14"/>
  <c r="M89" i="14"/>
  <c r="J89" i="15" s="1"/>
  <c r="H81" i="14"/>
  <c r="M81" i="14"/>
  <c r="J81" i="15" s="1"/>
  <c r="H73" i="14"/>
  <c r="M73" i="14"/>
  <c r="J73" i="15" s="1"/>
  <c r="H65" i="14"/>
  <c r="M65" i="14"/>
  <c r="J65" i="15" s="1"/>
  <c r="H57" i="14"/>
  <c r="M57" i="14"/>
  <c r="J57" i="15" s="1"/>
  <c r="H49" i="14"/>
  <c r="M49" i="14"/>
  <c r="J49" i="15" s="1"/>
  <c r="H41" i="14"/>
  <c r="M41" i="14"/>
  <c r="J41" i="15" s="1"/>
  <c r="H33" i="14"/>
  <c r="M33" i="14"/>
  <c r="J33" i="15" s="1"/>
  <c r="H25" i="14"/>
  <c r="M25" i="14"/>
  <c r="J25" i="15" s="1"/>
  <c r="H17" i="14"/>
  <c r="M17" i="14"/>
  <c r="J17" i="15" s="1"/>
  <c r="H9" i="14"/>
  <c r="M9" i="14"/>
  <c r="J9" i="15" s="1"/>
  <c r="M338" i="14"/>
  <c r="J338" i="15" s="1"/>
  <c r="M306" i="14"/>
  <c r="J306" i="15" s="1"/>
  <c r="M210" i="14"/>
  <c r="J210" i="15" s="1"/>
  <c r="M178" i="14"/>
  <c r="J178" i="15" s="1"/>
  <c r="M146" i="14"/>
  <c r="J146" i="15" s="1"/>
  <c r="M50" i="14"/>
  <c r="J50" i="15" s="1"/>
  <c r="M18" i="14"/>
  <c r="J18" i="15" s="1"/>
  <c r="H349" i="14"/>
  <c r="M349" i="14"/>
  <c r="J349" i="15" s="1"/>
  <c r="H293" i="14"/>
  <c r="M293" i="14"/>
  <c r="J293" i="15" s="1"/>
  <c r="H253" i="14"/>
  <c r="M253" i="14"/>
  <c r="J253" i="15" s="1"/>
  <c r="H205" i="14"/>
  <c r="M205" i="14"/>
  <c r="J205" i="15" s="1"/>
  <c r="H165" i="14"/>
  <c r="M165" i="14"/>
  <c r="J165" i="15" s="1"/>
  <c r="H125" i="14"/>
  <c r="M125" i="14"/>
  <c r="J125" i="15" s="1"/>
  <c r="H93" i="14"/>
  <c r="M93" i="14"/>
  <c r="J93" i="15" s="1"/>
  <c r="H61" i="14"/>
  <c r="M61" i="14"/>
  <c r="J61" i="15" s="1"/>
  <c r="H37" i="14"/>
  <c r="M37" i="14"/>
  <c r="J37" i="15" s="1"/>
  <c r="H21" i="14"/>
  <c r="M21" i="14"/>
  <c r="J21" i="15" s="1"/>
  <c r="H13" i="14"/>
  <c r="M13" i="14"/>
  <c r="J13" i="15" s="1"/>
  <c r="H322" i="14"/>
  <c r="H298" i="14"/>
  <c r="H274" i="14"/>
  <c r="H242" i="14"/>
  <c r="H218" i="14"/>
  <c r="H194" i="14"/>
  <c r="H170" i="14"/>
  <c r="H138" i="14"/>
  <c r="H114" i="14"/>
  <c r="H82" i="14"/>
  <c r="H344" i="14"/>
  <c r="M344" i="14"/>
  <c r="J344" i="15" s="1"/>
  <c r="H336" i="14"/>
  <c r="M336" i="14"/>
  <c r="J336" i="15" s="1"/>
  <c r="H328" i="14"/>
  <c r="M328" i="14"/>
  <c r="J328" i="15" s="1"/>
  <c r="H320" i="14"/>
  <c r="M320" i="14"/>
  <c r="J320" i="15" s="1"/>
  <c r="H312" i="14"/>
  <c r="M312" i="14"/>
  <c r="J312" i="15" s="1"/>
  <c r="H304" i="14"/>
  <c r="M304" i="14"/>
  <c r="J304" i="15" s="1"/>
  <c r="H296" i="14"/>
  <c r="M296" i="14"/>
  <c r="J296" i="15" s="1"/>
  <c r="H288" i="14"/>
  <c r="M288" i="14"/>
  <c r="J288" i="15" s="1"/>
  <c r="H280" i="14"/>
  <c r="M280" i="14"/>
  <c r="J280" i="15" s="1"/>
  <c r="H272" i="14"/>
  <c r="M272" i="14"/>
  <c r="J272" i="15" s="1"/>
  <c r="H264" i="14"/>
  <c r="M264" i="14"/>
  <c r="J264" i="15" s="1"/>
  <c r="H256" i="14"/>
  <c r="M256" i="14"/>
  <c r="J256" i="15" s="1"/>
  <c r="H248" i="14"/>
  <c r="M248" i="14"/>
  <c r="J248" i="15" s="1"/>
  <c r="H240" i="14"/>
  <c r="M240" i="14"/>
  <c r="J240" i="15" s="1"/>
  <c r="H232" i="14"/>
  <c r="M232" i="14"/>
  <c r="J232" i="15" s="1"/>
  <c r="H224" i="14"/>
  <c r="M224" i="14"/>
  <c r="J224" i="15" s="1"/>
  <c r="H216" i="14"/>
  <c r="M216" i="14"/>
  <c r="J216" i="15" s="1"/>
  <c r="H208" i="14"/>
  <c r="M208" i="14"/>
  <c r="J208" i="15" s="1"/>
  <c r="H200" i="14"/>
  <c r="M200" i="14"/>
  <c r="J200" i="15" s="1"/>
  <c r="H192" i="14"/>
  <c r="M192" i="14"/>
  <c r="J192" i="15" s="1"/>
  <c r="H184" i="14"/>
  <c r="M184" i="14"/>
  <c r="J184" i="15" s="1"/>
  <c r="H176" i="14"/>
  <c r="M176" i="14"/>
  <c r="J176" i="15" s="1"/>
  <c r="H168" i="14"/>
  <c r="M168" i="14"/>
  <c r="J168" i="15" s="1"/>
  <c r="H160" i="14"/>
  <c r="M160" i="14"/>
  <c r="J160" i="15" s="1"/>
  <c r="H152" i="14"/>
  <c r="M152" i="14"/>
  <c r="J152" i="15" s="1"/>
  <c r="H144" i="14"/>
  <c r="M144" i="14"/>
  <c r="J144" i="15" s="1"/>
  <c r="H136" i="14"/>
  <c r="M136" i="14"/>
  <c r="J136" i="15" s="1"/>
  <c r="H128" i="14"/>
  <c r="M128" i="14"/>
  <c r="J128" i="15" s="1"/>
  <c r="H120" i="14"/>
  <c r="M120" i="14"/>
  <c r="J120" i="15" s="1"/>
  <c r="H112" i="14"/>
  <c r="M112" i="14"/>
  <c r="J112" i="15" s="1"/>
  <c r="H104" i="14"/>
  <c r="M104" i="14"/>
  <c r="J104" i="15" s="1"/>
  <c r="H96" i="14"/>
  <c r="M96" i="14"/>
  <c r="J96" i="15" s="1"/>
  <c r="H88" i="14"/>
  <c r="M88" i="14"/>
  <c r="J88" i="15" s="1"/>
  <c r="H80" i="14"/>
  <c r="M80" i="14"/>
  <c r="J80" i="15" s="1"/>
  <c r="H72" i="14"/>
  <c r="M72" i="14"/>
  <c r="J72" i="15" s="1"/>
  <c r="H64" i="14"/>
  <c r="M64" i="14"/>
  <c r="J64" i="15" s="1"/>
  <c r="H56" i="14"/>
  <c r="M56" i="14"/>
  <c r="J56" i="15" s="1"/>
  <c r="H48" i="14"/>
  <c r="M48" i="14"/>
  <c r="J48" i="15" s="1"/>
  <c r="H40" i="14"/>
  <c r="M40" i="14"/>
  <c r="J40" i="15" s="1"/>
  <c r="H32" i="14"/>
  <c r="M32" i="14"/>
  <c r="J32" i="15" s="1"/>
  <c r="H24" i="14"/>
  <c r="M24" i="14"/>
  <c r="J24" i="15" s="1"/>
  <c r="H16" i="14"/>
  <c r="M16" i="14"/>
  <c r="J16" i="15" s="1"/>
  <c r="H8" i="14"/>
  <c r="M8" i="14"/>
  <c r="J8" i="15" s="1"/>
  <c r="M335" i="14"/>
  <c r="J335" i="15" s="1"/>
  <c r="H317" i="14"/>
  <c r="M317" i="14"/>
  <c r="J317" i="15" s="1"/>
  <c r="H285" i="14"/>
  <c r="M285" i="14"/>
  <c r="J285" i="15" s="1"/>
  <c r="H229" i="14"/>
  <c r="M229" i="14"/>
  <c r="J229" i="15" s="1"/>
  <c r="H189" i="14"/>
  <c r="M189" i="14"/>
  <c r="J189" i="15" s="1"/>
  <c r="H141" i="14"/>
  <c r="M141" i="14"/>
  <c r="J141" i="15" s="1"/>
  <c r="H109" i="14"/>
  <c r="M109" i="14"/>
  <c r="J109" i="15" s="1"/>
  <c r="H77" i="14"/>
  <c r="M77" i="14"/>
  <c r="J77" i="15" s="1"/>
  <c r="H53" i="14"/>
  <c r="M53" i="14"/>
  <c r="J53" i="15" s="1"/>
  <c r="H29" i="14"/>
  <c r="M29" i="14"/>
  <c r="J29" i="15" s="1"/>
  <c r="H5" i="14"/>
  <c r="M5" i="14"/>
  <c r="J5" i="15" s="1"/>
  <c r="H327" i="14"/>
  <c r="H319" i="14"/>
  <c r="H311" i="14"/>
  <c r="H303" i="14"/>
  <c r="H295" i="14"/>
  <c r="H287" i="14"/>
  <c r="H279" i="14"/>
  <c r="H271" i="14"/>
  <c r="H263" i="14"/>
  <c r="H255" i="14"/>
  <c r="H247" i="14"/>
  <c r="H239" i="14"/>
  <c r="H231" i="14"/>
  <c r="H223" i="14"/>
  <c r="H215" i="14"/>
  <c r="H207" i="14"/>
  <c r="H199" i="14"/>
  <c r="H191" i="14"/>
  <c r="H175" i="14"/>
  <c r="H167" i="14"/>
  <c r="H159" i="14"/>
  <c r="H151" i="14"/>
  <c r="H143" i="14"/>
  <c r="H135" i="14"/>
  <c r="H127" i="14"/>
  <c r="H119" i="14"/>
  <c r="H111" i="14"/>
  <c r="H103" i="14"/>
  <c r="H95" i="14"/>
  <c r="H87" i="14"/>
  <c r="H79" i="14"/>
  <c r="H71" i="14"/>
  <c r="H63" i="14"/>
  <c r="H55" i="14"/>
  <c r="H47" i="14"/>
  <c r="H39" i="14"/>
  <c r="H31" i="14"/>
  <c r="H23" i="14"/>
  <c r="H15" i="14"/>
  <c r="H7" i="14"/>
  <c r="M330" i="14"/>
  <c r="J330" i="15" s="1"/>
  <c r="M298" i="14"/>
  <c r="J298" i="15" s="1"/>
  <c r="M266" i="14"/>
  <c r="J266" i="15" s="1"/>
  <c r="M234" i="14"/>
  <c r="J234" i="15" s="1"/>
  <c r="M202" i="14"/>
  <c r="J202" i="15" s="1"/>
  <c r="M170" i="14"/>
  <c r="J170" i="15" s="1"/>
  <c r="M138" i="14"/>
  <c r="J138" i="15" s="1"/>
  <c r="M106" i="14"/>
  <c r="J106" i="15" s="1"/>
  <c r="M74" i="14"/>
  <c r="J74" i="15" s="1"/>
  <c r="M42" i="14"/>
  <c r="J42" i="15" s="1"/>
  <c r="M10" i="14"/>
  <c r="J10" i="15" s="1"/>
  <c r="H350" i="14"/>
  <c r="M350" i="14"/>
  <c r="J350" i="15" s="1"/>
  <c r="H342" i="14"/>
  <c r="M342" i="14"/>
  <c r="J342" i="15" s="1"/>
  <c r="H334" i="14"/>
  <c r="M334" i="14"/>
  <c r="J334" i="15" s="1"/>
  <c r="H326" i="14"/>
  <c r="M326" i="14"/>
  <c r="J326" i="15" s="1"/>
  <c r="H318" i="14"/>
  <c r="M318" i="14"/>
  <c r="J318" i="15" s="1"/>
  <c r="H310" i="14"/>
  <c r="M310" i="14"/>
  <c r="J310" i="15" s="1"/>
  <c r="H302" i="14"/>
  <c r="M302" i="14"/>
  <c r="J302" i="15" s="1"/>
  <c r="H294" i="14"/>
  <c r="M294" i="14"/>
  <c r="J294" i="15" s="1"/>
  <c r="H286" i="14"/>
  <c r="M286" i="14"/>
  <c r="J286" i="15" s="1"/>
  <c r="H278" i="14"/>
  <c r="M278" i="14"/>
  <c r="J278" i="15" s="1"/>
  <c r="H270" i="14"/>
  <c r="M270" i="14"/>
  <c r="J270" i="15" s="1"/>
  <c r="H262" i="14"/>
  <c r="M262" i="14"/>
  <c r="J262" i="15" s="1"/>
  <c r="H254" i="14"/>
  <c r="M254" i="14"/>
  <c r="J254" i="15" s="1"/>
  <c r="H246" i="14"/>
  <c r="M246" i="14"/>
  <c r="J246" i="15" s="1"/>
  <c r="H238" i="14"/>
  <c r="M238" i="14"/>
  <c r="J238" i="15" s="1"/>
  <c r="H230" i="14"/>
  <c r="M230" i="14"/>
  <c r="J230" i="15" s="1"/>
  <c r="H222" i="14"/>
  <c r="M222" i="14"/>
  <c r="J222" i="15" s="1"/>
  <c r="H214" i="14"/>
  <c r="M214" i="14"/>
  <c r="J214" i="15" s="1"/>
  <c r="H206" i="14"/>
  <c r="M206" i="14"/>
  <c r="J206" i="15" s="1"/>
  <c r="H198" i="14"/>
  <c r="M198" i="14"/>
  <c r="J198" i="15" s="1"/>
  <c r="H190" i="14"/>
  <c r="M190" i="14"/>
  <c r="J190" i="15" s="1"/>
  <c r="H182" i="14"/>
  <c r="M182" i="14"/>
  <c r="J182" i="15" s="1"/>
  <c r="H174" i="14"/>
  <c r="M174" i="14"/>
  <c r="J174" i="15" s="1"/>
  <c r="H166" i="14"/>
  <c r="M166" i="14"/>
  <c r="J166" i="15" s="1"/>
  <c r="H158" i="14"/>
  <c r="M158" i="14"/>
  <c r="J158" i="15" s="1"/>
  <c r="H150" i="14"/>
  <c r="M150" i="14"/>
  <c r="J150" i="15" s="1"/>
  <c r="H142" i="14"/>
  <c r="M142" i="14"/>
  <c r="J142" i="15" s="1"/>
  <c r="H134" i="14"/>
  <c r="M134" i="14"/>
  <c r="J134" i="15" s="1"/>
  <c r="H126" i="14"/>
  <c r="M126" i="14"/>
  <c r="J126" i="15" s="1"/>
  <c r="H118" i="14"/>
  <c r="M118" i="14"/>
  <c r="J118" i="15" s="1"/>
  <c r="H110" i="14"/>
  <c r="M110" i="14"/>
  <c r="J110" i="15" s="1"/>
  <c r="H102" i="14"/>
  <c r="M102" i="14"/>
  <c r="J102" i="15" s="1"/>
  <c r="H94" i="14"/>
  <c r="M94" i="14"/>
  <c r="J94" i="15" s="1"/>
  <c r="H86" i="14"/>
  <c r="M86" i="14"/>
  <c r="J86" i="15" s="1"/>
  <c r="H78" i="14"/>
  <c r="M78" i="14"/>
  <c r="J78" i="15" s="1"/>
  <c r="H70" i="14"/>
  <c r="M70" i="14"/>
  <c r="J70" i="15" s="1"/>
  <c r="H62" i="14"/>
  <c r="M62" i="14"/>
  <c r="J62" i="15" s="1"/>
  <c r="H54" i="14"/>
  <c r="M54" i="14"/>
  <c r="J54" i="15" s="1"/>
  <c r="H46" i="14"/>
  <c r="M46" i="14"/>
  <c r="J46" i="15" s="1"/>
  <c r="H38" i="14"/>
  <c r="M38" i="14"/>
  <c r="J38" i="15" s="1"/>
  <c r="H30" i="14"/>
  <c r="M30" i="14"/>
  <c r="J30" i="15" s="1"/>
  <c r="H22" i="14"/>
  <c r="M22" i="14"/>
  <c r="J22" i="15" s="1"/>
  <c r="H14" i="14"/>
  <c r="M14" i="14"/>
  <c r="J14" i="15" s="1"/>
  <c r="H6" i="14"/>
  <c r="M6" i="14"/>
  <c r="J6" i="15" s="1"/>
  <c r="M327" i="14"/>
  <c r="J327" i="15" s="1"/>
  <c r="M295" i="14"/>
  <c r="J295" i="15" s="1"/>
  <c r="M263" i="14"/>
  <c r="J263" i="15" s="1"/>
  <c r="M231" i="14"/>
  <c r="J231" i="15" s="1"/>
  <c r="M199" i="14"/>
  <c r="J199" i="15" s="1"/>
  <c r="M167" i="14"/>
  <c r="J167" i="15" s="1"/>
  <c r="M135" i="14"/>
  <c r="J135" i="15" s="1"/>
  <c r="M103" i="14"/>
  <c r="J103" i="15" s="1"/>
  <c r="M71" i="14"/>
  <c r="J71" i="15" s="1"/>
  <c r="M39" i="14"/>
  <c r="J39" i="15" s="1"/>
  <c r="M7" i="14"/>
  <c r="J7" i="15" s="1"/>
  <c r="J193" i="14"/>
  <c r="J129" i="14"/>
  <c r="J105" i="14"/>
  <c r="J65" i="14"/>
  <c r="J41" i="14"/>
  <c r="J347" i="14"/>
  <c r="J339" i="14"/>
  <c r="J331" i="14"/>
  <c r="J323" i="14"/>
  <c r="J315" i="14"/>
  <c r="J307" i="14"/>
  <c r="J299" i="14"/>
  <c r="J291" i="14"/>
  <c r="J283" i="14"/>
  <c r="J275" i="14"/>
  <c r="J267" i="14"/>
  <c r="J259" i="14"/>
  <c r="J251" i="14"/>
  <c r="J243" i="14"/>
  <c r="J235" i="14"/>
  <c r="J227" i="14"/>
  <c r="J219" i="14"/>
  <c r="J211" i="14"/>
  <c r="J203" i="14"/>
  <c r="J195" i="14"/>
  <c r="J187" i="14"/>
  <c r="J179" i="14"/>
  <c r="J171" i="14"/>
  <c r="J163" i="14"/>
  <c r="J155" i="14"/>
  <c r="J147" i="14"/>
  <c r="J139" i="14"/>
  <c r="J131" i="14"/>
  <c r="J123" i="14"/>
  <c r="J115" i="14"/>
  <c r="J107" i="14"/>
  <c r="J99" i="14"/>
  <c r="J91" i="14"/>
  <c r="J83" i="14"/>
  <c r="J75" i="14"/>
  <c r="J67" i="14"/>
  <c r="J59" i="14"/>
  <c r="J51" i="14"/>
  <c r="J43" i="14"/>
  <c r="J35" i="14"/>
  <c r="J27" i="14"/>
  <c r="J19" i="14"/>
  <c r="J11" i="14"/>
  <c r="J3" i="14"/>
  <c r="J310" i="14"/>
  <c r="J302" i="14"/>
  <c r="J294" i="14"/>
  <c r="J286" i="14"/>
  <c r="J278" i="14"/>
  <c r="J270" i="14"/>
  <c r="J262" i="14"/>
  <c r="J254" i="14"/>
  <c r="J246" i="14"/>
  <c r="J238" i="14"/>
  <c r="J230" i="14"/>
  <c r="J222" i="14"/>
  <c r="J214" i="14"/>
  <c r="J206" i="14"/>
  <c r="J198" i="14"/>
  <c r="J190" i="14"/>
  <c r="J182" i="14"/>
  <c r="J174" i="14"/>
  <c r="J166" i="14"/>
  <c r="J158" i="14"/>
  <c r="J150" i="14"/>
  <c r="J142" i="14"/>
  <c r="J134" i="14"/>
  <c r="J126" i="14"/>
  <c r="J118" i="14"/>
  <c r="J110" i="14"/>
  <c r="J102" i="14"/>
  <c r="J94" i="14"/>
  <c r="J86" i="14"/>
  <c r="J78" i="14"/>
  <c r="J70" i="14"/>
  <c r="J62" i="14"/>
  <c r="J54" i="14"/>
  <c r="J46" i="14"/>
  <c r="J38" i="14"/>
  <c r="J30" i="14"/>
  <c r="J22" i="14"/>
  <c r="J14" i="14"/>
  <c r="J6" i="14"/>
  <c r="H345" i="14"/>
  <c r="H329" i="14"/>
  <c r="J329" i="14"/>
  <c r="H321" i="14"/>
  <c r="J321" i="14"/>
  <c r="H313" i="14"/>
  <c r="J313" i="14"/>
  <c r="H305" i="14"/>
  <c r="J305" i="14"/>
  <c r="H297" i="14"/>
  <c r="J297" i="14"/>
  <c r="H337" i="14"/>
  <c r="J350" i="14"/>
  <c r="J342" i="14"/>
  <c r="J334" i="14"/>
  <c r="J326" i="14"/>
  <c r="J318" i="14"/>
  <c r="J257" i="14"/>
  <c r="J349" i="14"/>
  <c r="J341" i="14"/>
  <c r="J333" i="14"/>
  <c r="J325" i="14"/>
  <c r="J317" i="14"/>
  <c r="J309" i="14"/>
  <c r="J301" i="14"/>
  <c r="J293" i="14"/>
  <c r="J285" i="14"/>
  <c r="J277" i="14"/>
  <c r="J269" i="14"/>
  <c r="J261" i="14"/>
  <c r="J253" i="14"/>
  <c r="J245" i="14"/>
  <c r="J237" i="14"/>
  <c r="J229" i="14"/>
  <c r="J221" i="14"/>
  <c r="J213" i="14"/>
  <c r="J205" i="14"/>
  <c r="J197" i="14"/>
  <c r="J189" i="14"/>
  <c r="J181" i="14"/>
  <c r="J173" i="14"/>
  <c r="J165" i="14"/>
  <c r="J157" i="14"/>
  <c r="J149" i="14"/>
  <c r="J141" i="14"/>
  <c r="J133" i="14"/>
  <c r="J125" i="14"/>
  <c r="J117" i="14"/>
  <c r="J109" i="14"/>
  <c r="J101" i="14"/>
  <c r="J93" i="14"/>
  <c r="J85" i="14"/>
  <c r="J77" i="14"/>
  <c r="J69" i="14"/>
  <c r="J61" i="14"/>
  <c r="J53" i="14"/>
  <c r="J45" i="14"/>
  <c r="J37" i="14"/>
  <c r="J29" i="14"/>
  <c r="J21" i="14"/>
  <c r="J13" i="14"/>
  <c r="J5" i="14"/>
  <c r="J249" i="14"/>
  <c r="J185" i="14"/>
  <c r="J121" i="14"/>
  <c r="J57" i="14"/>
  <c r="J348" i="14"/>
  <c r="J340" i="14"/>
  <c r="J332" i="14"/>
  <c r="J324" i="14"/>
  <c r="J316" i="14"/>
  <c r="J308" i="14"/>
  <c r="J300" i="14"/>
  <c r="J292" i="14"/>
  <c r="J284" i="14"/>
  <c r="J276" i="14"/>
  <c r="J268" i="14"/>
  <c r="J260" i="14"/>
  <c r="J252" i="14"/>
  <c r="J244" i="14"/>
  <c r="J236" i="14"/>
  <c r="J228" i="14"/>
  <c r="J220" i="14"/>
  <c r="J212" i="14"/>
  <c r="J204" i="14"/>
  <c r="J196" i="14"/>
  <c r="J188" i="14"/>
  <c r="J180" i="14"/>
  <c r="J172" i="14"/>
  <c r="J164" i="14"/>
  <c r="J156" i="14"/>
  <c r="J148" i="14"/>
  <c r="J140" i="14"/>
  <c r="J132" i="14"/>
  <c r="J124" i="14"/>
  <c r="J116" i="14"/>
  <c r="J108" i="14"/>
  <c r="J100" i="14"/>
  <c r="J92" i="14"/>
  <c r="J84" i="14"/>
  <c r="J76" i="14"/>
  <c r="J68" i="14"/>
  <c r="J60" i="14"/>
  <c r="J52" i="14"/>
  <c r="J44" i="14"/>
  <c r="J36" i="14"/>
  <c r="J28" i="14"/>
  <c r="J20" i="14"/>
  <c r="J12" i="14"/>
  <c r="J4" i="14"/>
  <c r="J241" i="14"/>
  <c r="J177" i="14"/>
  <c r="J113" i="14"/>
  <c r="J49" i="14"/>
  <c r="J233" i="14"/>
  <c r="J169" i="14"/>
  <c r="J346" i="14"/>
  <c r="J338" i="14"/>
  <c r="J330" i="14"/>
  <c r="J322" i="14"/>
  <c r="J314" i="14"/>
  <c r="J306" i="14"/>
  <c r="J298" i="14"/>
  <c r="J290" i="14"/>
  <c r="J282" i="14"/>
  <c r="J274" i="14"/>
  <c r="J266" i="14"/>
  <c r="J258" i="14"/>
  <c r="J250" i="14"/>
  <c r="J242" i="14"/>
  <c r="J234" i="14"/>
  <c r="J226" i="14"/>
  <c r="J218" i="14"/>
  <c r="J210" i="14"/>
  <c r="J202" i="14"/>
  <c r="J194" i="14"/>
  <c r="J186" i="14"/>
  <c r="J178" i="14"/>
  <c r="J170" i="14"/>
  <c r="J162" i="14"/>
  <c r="J154" i="14"/>
  <c r="J146" i="14"/>
  <c r="J138" i="14"/>
  <c r="J130" i="14"/>
  <c r="J122" i="14"/>
  <c r="J114" i="14"/>
  <c r="J106" i="14"/>
  <c r="J98" i="14"/>
  <c r="J90" i="14"/>
  <c r="J82" i="14"/>
  <c r="J74" i="14"/>
  <c r="J66" i="14"/>
  <c r="J58" i="14"/>
  <c r="J50" i="14"/>
  <c r="J42" i="14"/>
  <c r="J34" i="14"/>
  <c r="J26" i="14"/>
  <c r="J18" i="14"/>
  <c r="J10" i="14"/>
  <c r="J2" i="14"/>
  <c r="J289" i="14"/>
  <c r="J225" i="14"/>
  <c r="J161" i="14"/>
  <c r="J97" i="14"/>
  <c r="J33" i="14"/>
  <c r="J281" i="14"/>
  <c r="J217" i="14"/>
  <c r="J153" i="14"/>
  <c r="J89" i="14"/>
  <c r="J25" i="14"/>
  <c r="J344" i="14"/>
  <c r="J336" i="14"/>
  <c r="J328" i="14"/>
  <c r="J320" i="14"/>
  <c r="J312" i="14"/>
  <c r="J304" i="14"/>
  <c r="J296" i="14"/>
  <c r="J288" i="14"/>
  <c r="J280" i="14"/>
  <c r="J272" i="14"/>
  <c r="J264" i="14"/>
  <c r="J256" i="14"/>
  <c r="J248" i="14"/>
  <c r="J240" i="14"/>
  <c r="J232" i="14"/>
  <c r="J224" i="14"/>
  <c r="J216" i="14"/>
  <c r="J208" i="14"/>
  <c r="J200" i="14"/>
  <c r="J192" i="14"/>
  <c r="J184" i="14"/>
  <c r="J176" i="14"/>
  <c r="J168" i="14"/>
  <c r="J160" i="14"/>
  <c r="J152" i="14"/>
  <c r="J144" i="14"/>
  <c r="J136" i="14"/>
  <c r="J128" i="14"/>
  <c r="J120" i="14"/>
  <c r="J112" i="14"/>
  <c r="J104" i="14"/>
  <c r="J96" i="14"/>
  <c r="J88" i="14"/>
  <c r="J80" i="14"/>
  <c r="J72" i="14"/>
  <c r="J64" i="14"/>
  <c r="J56" i="14"/>
  <c r="J48" i="14"/>
  <c r="J40" i="14"/>
  <c r="J32" i="14"/>
  <c r="J24" i="14"/>
  <c r="J16" i="14"/>
  <c r="J8" i="14"/>
  <c r="J273" i="14"/>
  <c r="J209" i="14"/>
  <c r="J145" i="14"/>
  <c r="J81" i="14"/>
  <c r="J17" i="14"/>
  <c r="J351" i="14"/>
  <c r="J343" i="14"/>
  <c r="J335" i="14"/>
  <c r="J327" i="14"/>
  <c r="J319" i="14"/>
  <c r="J311" i="14"/>
  <c r="J303" i="14"/>
  <c r="J295" i="14"/>
  <c r="J287" i="14"/>
  <c r="J279" i="14"/>
  <c r="J271" i="14"/>
  <c r="J263" i="14"/>
  <c r="J255" i="14"/>
  <c r="J247" i="14"/>
  <c r="J239" i="14"/>
  <c r="J231" i="14"/>
  <c r="J223" i="14"/>
  <c r="J215" i="14"/>
  <c r="J207" i="14"/>
  <c r="J199" i="14"/>
  <c r="J191" i="14"/>
  <c r="J183" i="14"/>
  <c r="J175" i="14"/>
  <c r="J167" i="14"/>
  <c r="J159" i="14"/>
  <c r="J151" i="14"/>
  <c r="J143" i="14"/>
  <c r="J135" i="14"/>
  <c r="J127" i="14"/>
  <c r="J119" i="14"/>
  <c r="J111" i="14"/>
  <c r="J103" i="14"/>
  <c r="J95" i="14"/>
  <c r="J87" i="14"/>
  <c r="J79" i="14"/>
  <c r="J71" i="14"/>
  <c r="J63" i="14"/>
  <c r="J55" i="14"/>
  <c r="J47" i="14"/>
  <c r="J39" i="14"/>
  <c r="J31" i="14"/>
  <c r="J23" i="14"/>
  <c r="J15" i="14"/>
  <c r="J7" i="14"/>
  <c r="J265" i="14"/>
  <c r="J201" i="14"/>
  <c r="J137" i="14"/>
  <c r="J73" i="14"/>
  <c r="J9" i="14"/>
  <c r="G324" i="14"/>
  <c r="F324" i="15" s="1"/>
  <c r="U324" i="15" s="1"/>
  <c r="G339" i="14"/>
  <c r="F339" i="15" s="1"/>
  <c r="U339" i="15" s="1"/>
  <c r="G141" i="14"/>
  <c r="F141" i="15" s="1"/>
  <c r="U141" i="15" s="1"/>
  <c r="G267" i="14"/>
  <c r="F267" i="15" s="1"/>
  <c r="U267" i="15" s="1"/>
  <c r="G116" i="14"/>
  <c r="F116" i="15" s="1"/>
  <c r="U116" i="15" s="1"/>
  <c r="G219" i="14"/>
  <c r="F219" i="15" s="1"/>
  <c r="G205" i="14"/>
  <c r="F205" i="15" s="1"/>
  <c r="U205" i="15" s="1"/>
  <c r="G35" i="14"/>
  <c r="F35" i="15" s="1"/>
  <c r="G285" i="14"/>
  <c r="F285" i="15" s="1"/>
  <c r="U285" i="15" s="1"/>
  <c r="G299" i="14"/>
  <c r="F299" i="15" s="1"/>
  <c r="U299" i="15" s="1"/>
  <c r="G275" i="14"/>
  <c r="F275" i="15" s="1"/>
  <c r="U275" i="15" s="1"/>
  <c r="G293" i="14"/>
  <c r="F293" i="15" s="1"/>
  <c r="U293" i="15" s="1"/>
  <c r="G303" i="14"/>
  <c r="F303" i="15" s="1"/>
  <c r="U303" i="15" s="1"/>
  <c r="G311" i="14"/>
  <c r="F311" i="15" s="1"/>
  <c r="U311" i="15" s="1"/>
  <c r="G313" i="14"/>
  <c r="F313" i="15" s="1"/>
  <c r="G315" i="14"/>
  <c r="F315" i="15" s="1"/>
  <c r="U315" i="15" s="1"/>
  <c r="G243" i="14"/>
  <c r="F243" i="15" s="1"/>
  <c r="G242" i="14"/>
  <c r="F242" i="15" s="1"/>
  <c r="G203" i="14"/>
  <c r="F203" i="15" s="1"/>
  <c r="U203" i="15" s="1"/>
  <c r="G241" i="14"/>
  <c r="F241" i="15" s="1"/>
  <c r="U241" i="15" s="1"/>
  <c r="G173" i="14"/>
  <c r="F173" i="15" s="1"/>
  <c r="U173" i="15" s="1"/>
  <c r="G127" i="14"/>
  <c r="F127" i="15" s="1"/>
  <c r="U127" i="15" s="1"/>
  <c r="G168" i="14"/>
  <c r="F168" i="15" s="1"/>
  <c r="U168" i="15" s="1"/>
  <c r="G148" i="14"/>
  <c r="F148" i="15" s="1"/>
  <c r="U148" i="15" s="1"/>
  <c r="G118" i="14"/>
  <c r="F118" i="15" s="1"/>
  <c r="U118" i="15" s="1"/>
  <c r="G103" i="14"/>
  <c r="F103" i="15" s="1"/>
  <c r="U103" i="15" s="1"/>
  <c r="G175" i="14"/>
  <c r="F175" i="15" s="1"/>
  <c r="U175" i="15" s="1"/>
  <c r="G160" i="14"/>
  <c r="F160" i="15" s="1"/>
  <c r="G137" i="14"/>
  <c r="F137" i="15" s="1"/>
  <c r="U137" i="15" s="1"/>
  <c r="G69" i="14"/>
  <c r="F69" i="15" s="1"/>
  <c r="U69" i="15" s="1"/>
  <c r="G86" i="14"/>
  <c r="F86" i="15" s="1"/>
  <c r="G218" i="14"/>
  <c r="F218" i="15" s="1"/>
  <c r="G257" i="14"/>
  <c r="F257" i="15" s="1"/>
  <c r="U257" i="15" s="1"/>
  <c r="G50" i="14"/>
  <c r="F50" i="15" s="1"/>
  <c r="U50" i="15" s="1"/>
  <c r="G276" i="14"/>
  <c r="F276" i="15" s="1"/>
  <c r="U276" i="15" s="1"/>
  <c r="G41" i="14"/>
  <c r="F41" i="15" s="1"/>
  <c r="G89" i="14"/>
  <c r="F89" i="15" s="1"/>
  <c r="G113" i="14"/>
  <c r="F113" i="15" s="1"/>
  <c r="U113" i="15" s="1"/>
  <c r="G68" i="14"/>
  <c r="F68" i="15" s="1"/>
  <c r="U68" i="15" s="1"/>
  <c r="G30" i="14"/>
  <c r="F30" i="15" s="1"/>
  <c r="G222" i="14"/>
  <c r="F222" i="15" s="1"/>
  <c r="G75" i="14"/>
  <c r="F75" i="15" s="1"/>
  <c r="G121" i="14"/>
  <c r="F121" i="15" s="1"/>
  <c r="G19" i="14"/>
  <c r="F19" i="15" s="1"/>
  <c r="G131" i="14"/>
  <c r="F131" i="15" s="1"/>
  <c r="G237" i="14"/>
  <c r="F237" i="15" s="1"/>
  <c r="G182" i="14"/>
  <c r="F182" i="15" s="1"/>
  <c r="U182" i="15" s="1"/>
  <c r="G265" i="14"/>
  <c r="F265" i="15" s="1"/>
  <c r="U265" i="15" s="1"/>
  <c r="G10" i="14"/>
  <c r="F10" i="15" s="1"/>
  <c r="G245" i="14"/>
  <c r="F245" i="15" s="1"/>
  <c r="U245" i="15" s="1"/>
  <c r="G254" i="14"/>
  <c r="F254" i="15" s="1"/>
  <c r="U254" i="15" s="1"/>
  <c r="G179" i="14"/>
  <c r="F179" i="15" s="1"/>
  <c r="U179" i="15" s="1"/>
  <c r="G74" i="14"/>
  <c r="F74" i="15" s="1"/>
  <c r="G302" i="14"/>
  <c r="F302" i="15" s="1"/>
  <c r="U302" i="15" s="1"/>
  <c r="G318" i="14"/>
  <c r="F318" i="15" s="1"/>
  <c r="U318" i="15" s="1"/>
  <c r="G319" i="14"/>
  <c r="F319" i="15" s="1"/>
  <c r="U319" i="15" s="1"/>
  <c r="G297" i="14"/>
  <c r="F297" i="15" s="1"/>
  <c r="G72" i="14"/>
  <c r="F72" i="15" s="1"/>
  <c r="U72" i="15" s="1"/>
  <c r="G112" i="14"/>
  <c r="F112" i="15" s="1"/>
  <c r="U112" i="15" s="1"/>
  <c r="G336" i="14"/>
  <c r="F336" i="15" s="1"/>
  <c r="G346" i="14"/>
  <c r="F346" i="15" s="1"/>
  <c r="G349" i="14"/>
  <c r="F349" i="15" s="1"/>
  <c r="U349" i="15" s="1"/>
  <c r="G350" i="14"/>
  <c r="F350" i="15" s="1"/>
  <c r="G331" i="14"/>
  <c r="F331" i="15" s="1"/>
  <c r="U331" i="15" s="1"/>
  <c r="G327" i="14"/>
  <c r="F327" i="15" s="1"/>
  <c r="G335" i="14"/>
  <c r="F335" i="15" s="1"/>
  <c r="G329" i="14"/>
  <c r="F329" i="15" s="1"/>
  <c r="U329" i="15" s="1"/>
  <c r="G347" i="14"/>
  <c r="F347" i="15" s="1"/>
  <c r="U347" i="15" s="1"/>
  <c r="G300" i="14"/>
  <c r="F300" i="15" s="1"/>
  <c r="U300" i="15" s="1"/>
  <c r="G310" i="14"/>
  <c r="F310" i="15" s="1"/>
  <c r="U310" i="15" s="1"/>
  <c r="G289" i="14"/>
  <c r="F289" i="15" s="1"/>
  <c r="G305" i="14"/>
  <c r="F305" i="15" s="1"/>
  <c r="G321" i="14"/>
  <c r="F321" i="15" s="1"/>
  <c r="U321" i="15" s="1"/>
  <c r="G290" i="14"/>
  <c r="F290" i="15" s="1"/>
  <c r="G298" i="14"/>
  <c r="F298" i="15" s="1"/>
  <c r="G198" i="14"/>
  <c r="F198" i="15" s="1"/>
  <c r="U198" i="15" s="1"/>
  <c r="G266" i="14"/>
  <c r="F266" i="15" s="1"/>
  <c r="G271" i="14"/>
  <c r="F271" i="15" s="1"/>
  <c r="G144" i="14"/>
  <c r="F144" i="15" s="1"/>
  <c r="G152" i="14"/>
  <c r="F152" i="15" s="1"/>
  <c r="G260" i="14"/>
  <c r="F260" i="15" s="1"/>
  <c r="U260" i="15" s="1"/>
  <c r="G122" i="14"/>
  <c r="F122" i="15" s="1"/>
  <c r="U122" i="15" s="1"/>
  <c r="F100" i="15"/>
  <c r="U100" i="15" s="1"/>
  <c r="G166" i="14"/>
  <c r="F166" i="15" s="1"/>
  <c r="U166" i="15" s="1"/>
  <c r="G174" i="14"/>
  <c r="F174" i="15" s="1"/>
  <c r="U174" i="15" s="1"/>
  <c r="G172" i="14"/>
  <c r="F172" i="15" s="1"/>
  <c r="U172" i="15" s="1"/>
  <c r="G77" i="14"/>
  <c r="F77" i="15" s="1"/>
  <c r="U77" i="15" s="1"/>
  <c r="G64" i="14"/>
  <c r="F64" i="15" s="1"/>
  <c r="U64" i="15" s="1"/>
  <c r="G211" i="14"/>
  <c r="F211" i="15" s="1"/>
  <c r="G48" i="14"/>
  <c r="F48" i="15" s="1"/>
  <c r="G230" i="14"/>
  <c r="F230" i="15" s="1"/>
  <c r="U230" i="15" s="1"/>
  <c r="G40" i="14"/>
  <c r="F40" i="15" s="1"/>
  <c r="U40" i="15" s="1"/>
  <c r="G104" i="14"/>
  <c r="F104" i="15" s="1"/>
  <c r="U104" i="15" s="1"/>
  <c r="G29" i="14"/>
  <c r="F29" i="15" s="1"/>
  <c r="U29" i="15" s="1"/>
  <c r="G87" i="14"/>
  <c r="F87" i="15" s="1"/>
  <c r="U199" i="15"/>
  <c r="G192" i="14"/>
  <c r="F192" i="15" s="1"/>
  <c r="U192" i="15" s="1"/>
  <c r="G51" i="14"/>
  <c r="F51" i="15" s="1"/>
  <c r="G200" i="14"/>
  <c r="F200" i="15" s="1"/>
  <c r="U200" i="15" s="1"/>
  <c r="G18" i="14"/>
  <c r="F18" i="15" s="1"/>
  <c r="G70" i="14"/>
  <c r="F70" i="15" s="1"/>
  <c r="U70" i="15" s="1"/>
  <c r="G9" i="14"/>
  <c r="F9" i="15" s="1"/>
  <c r="U9" i="15" s="1"/>
  <c r="G292" i="14"/>
  <c r="F292" i="15" s="1"/>
  <c r="U292" i="15" s="1"/>
  <c r="G317" i="14"/>
  <c r="F317" i="15" s="1"/>
  <c r="U317" i="15" s="1"/>
  <c r="G288" i="14"/>
  <c r="F288" i="15" s="1"/>
  <c r="G229" i="14"/>
  <c r="F229" i="15" s="1"/>
  <c r="U229" i="15" s="1"/>
  <c r="G280" i="14"/>
  <c r="F280" i="15" s="1"/>
  <c r="G188" i="14"/>
  <c r="F188" i="15" s="1"/>
  <c r="U188" i="15" s="1"/>
  <c r="G277" i="14"/>
  <c r="F277" i="15" s="1"/>
  <c r="U277" i="15" s="1"/>
  <c r="G142" i="14"/>
  <c r="F142" i="15" s="1"/>
  <c r="U142" i="15" s="1"/>
  <c r="G239" i="14"/>
  <c r="F239" i="15" s="1"/>
  <c r="U239" i="15" s="1"/>
  <c r="G255" i="14"/>
  <c r="F255" i="15" s="1"/>
  <c r="U255" i="15" s="1"/>
  <c r="G263" i="14"/>
  <c r="F263" i="15" s="1"/>
  <c r="G117" i="14"/>
  <c r="F117" i="15" s="1"/>
  <c r="U117" i="15" s="1"/>
  <c r="G261" i="14"/>
  <c r="F261" i="15" s="1"/>
  <c r="U261" i="15" s="1"/>
  <c r="G147" i="14"/>
  <c r="F147" i="15" s="1"/>
  <c r="G249" i="14"/>
  <c r="F249" i="15" s="1"/>
  <c r="G171" i="14"/>
  <c r="F171" i="15" s="1"/>
  <c r="U171" i="15" s="1"/>
  <c r="G221" i="14"/>
  <c r="F221" i="15" s="1"/>
  <c r="U221" i="15" s="1"/>
  <c r="G63" i="14"/>
  <c r="F63" i="15" s="1"/>
  <c r="U63" i="15" s="1"/>
  <c r="G247" i="14"/>
  <c r="F247" i="15" s="1"/>
  <c r="U247" i="15" s="1"/>
  <c r="G28" i="14"/>
  <c r="F28" i="15" s="1"/>
  <c r="U28" i="15" s="1"/>
  <c r="G81" i="14"/>
  <c r="F81" i="15" s="1"/>
  <c r="G154" i="14"/>
  <c r="F154" i="15" s="1"/>
  <c r="G27" i="14"/>
  <c r="F27" i="15" s="1"/>
  <c r="G8" i="14"/>
  <c r="F8" i="15" s="1"/>
  <c r="U8" i="15" s="1"/>
  <c r="G73" i="14"/>
  <c r="F73" i="15" s="1"/>
  <c r="U73" i="15" s="1"/>
  <c r="G270" i="14"/>
  <c r="F270" i="15" s="1"/>
  <c r="G209" i="14"/>
  <c r="F209" i="15" s="1"/>
  <c r="G207" i="14"/>
  <c r="F207" i="15" s="1"/>
  <c r="U207" i="15" s="1"/>
  <c r="G240" i="14"/>
  <c r="F240" i="15" s="1"/>
  <c r="U240" i="15" s="1"/>
  <c r="G332" i="14"/>
  <c r="F332" i="15" s="1"/>
  <c r="U332" i="15" s="1"/>
  <c r="G340" i="14"/>
  <c r="F340" i="15" s="1"/>
  <c r="U340" i="15" s="1"/>
  <c r="G325" i="14"/>
  <c r="F325" i="15" s="1"/>
  <c r="U325" i="15" s="1"/>
  <c r="G330" i="14"/>
  <c r="F330" i="15" s="1"/>
  <c r="G132" i="14"/>
  <c r="F132" i="15" s="1"/>
  <c r="U132" i="15" s="1"/>
  <c r="G196" i="14"/>
  <c r="F196" i="15" s="1"/>
  <c r="U196" i="15" s="1"/>
  <c r="G102" i="14"/>
  <c r="F102" i="15" s="1"/>
  <c r="U102" i="15" s="1"/>
  <c r="G262" i="14"/>
  <c r="F262" i="15" s="1"/>
  <c r="U262" i="15" s="1"/>
  <c r="G191" i="14"/>
  <c r="F191" i="15" s="1"/>
  <c r="U191" i="15" s="1"/>
  <c r="G216" i="14"/>
  <c r="F216" i="15" s="1"/>
  <c r="G97" i="14"/>
  <c r="F97" i="15" s="1"/>
  <c r="G106" i="14"/>
  <c r="F106" i="15" s="1"/>
  <c r="G47" i="14"/>
  <c r="F47" i="15" s="1"/>
  <c r="U47" i="15" s="1"/>
  <c r="G115" i="14"/>
  <c r="F115" i="15" s="1"/>
  <c r="G190" i="14"/>
  <c r="F190" i="15" s="1"/>
  <c r="U190" i="15" s="1"/>
  <c r="G39" i="14"/>
  <c r="F39" i="15" s="1"/>
  <c r="U39" i="15" s="1"/>
  <c r="G135" i="14"/>
  <c r="F135" i="15" s="1"/>
  <c r="U135" i="15" s="1"/>
  <c r="G167" i="14"/>
  <c r="F167" i="15" s="1"/>
  <c r="U167" i="15" s="1"/>
  <c r="G80" i="14"/>
  <c r="F80" i="15" s="1"/>
  <c r="G185" i="14"/>
  <c r="F185" i="15" s="1"/>
  <c r="U201" i="15"/>
  <c r="G273" i="14"/>
  <c r="F273" i="15" s="1"/>
  <c r="G60" i="14"/>
  <c r="F60" i="15" s="1"/>
  <c r="U60" i="15" s="1"/>
  <c r="G59" i="14"/>
  <c r="F59" i="15" s="1"/>
  <c r="U59" i="15" s="1"/>
  <c r="G128" i="14"/>
  <c r="F128" i="15" s="1"/>
  <c r="U128" i="15" s="1"/>
  <c r="G17" i="14"/>
  <c r="F17" i="15" s="1"/>
  <c r="G67" i="14"/>
  <c r="F67" i="15" s="1"/>
  <c r="G333" i="14"/>
  <c r="F333" i="15" s="1"/>
  <c r="U333" i="15" s="1"/>
  <c r="G334" i="14"/>
  <c r="F334" i="15" s="1"/>
  <c r="G323" i="14"/>
  <c r="F323" i="15" s="1"/>
  <c r="U323" i="15" s="1"/>
  <c r="G328" i="14"/>
  <c r="F328" i="15" s="1"/>
  <c r="G345" i="14"/>
  <c r="F345" i="15" s="1"/>
  <c r="G284" i="14"/>
  <c r="F284" i="15" s="1"/>
  <c r="U284" i="15" s="1"/>
  <c r="G316" i="14"/>
  <c r="F316" i="15" s="1"/>
  <c r="U316" i="15" s="1"/>
  <c r="G287" i="14"/>
  <c r="F287" i="15" s="1"/>
  <c r="G296" i="14"/>
  <c r="F296" i="15" s="1"/>
  <c r="U296" i="15" s="1"/>
  <c r="G320" i="14"/>
  <c r="F320" i="15" s="1"/>
  <c r="U320" i="15" s="1"/>
  <c r="G306" i="14"/>
  <c r="F306" i="15" s="1"/>
  <c r="G184" i="14"/>
  <c r="F184" i="15" s="1"/>
  <c r="U184" i="15" s="1"/>
  <c r="G226" i="14"/>
  <c r="F226" i="15" s="1"/>
  <c r="G140" i="14"/>
  <c r="F140" i="15" s="1"/>
  <c r="U140" i="15" s="1"/>
  <c r="G189" i="14"/>
  <c r="F189" i="15" s="1"/>
  <c r="U189" i="15" s="1"/>
  <c r="G224" i="14"/>
  <c r="F224" i="15" s="1"/>
  <c r="G232" i="14"/>
  <c r="F232" i="15" s="1"/>
  <c r="U232" i="15" s="1"/>
  <c r="G92" i="14"/>
  <c r="F92" i="15" s="1"/>
  <c r="U92" i="15" s="1"/>
  <c r="G157" i="14"/>
  <c r="F157" i="15" s="1"/>
  <c r="U157" i="15" s="1"/>
  <c r="G214" i="14"/>
  <c r="F214" i="15" s="1"/>
  <c r="G143" i="14"/>
  <c r="F143" i="15" s="1"/>
  <c r="G83" i="14"/>
  <c r="F83" i="15" s="1"/>
  <c r="U83" i="15" s="1"/>
  <c r="G138" i="14"/>
  <c r="F138" i="15" s="1"/>
  <c r="G45" i="14"/>
  <c r="F45" i="15" s="1"/>
  <c r="G158" i="14"/>
  <c r="F158" i="15" s="1"/>
  <c r="G55" i="14"/>
  <c r="F55" i="15" s="1"/>
  <c r="U55" i="15" s="1"/>
  <c r="G162" i="14"/>
  <c r="F162" i="15" s="1"/>
  <c r="G149" i="14"/>
  <c r="F149" i="15" s="1"/>
  <c r="U149" i="15" s="1"/>
  <c r="G99" i="14"/>
  <c r="F99" i="15" s="1"/>
  <c r="G25" i="14"/>
  <c r="F25" i="15" s="1"/>
  <c r="G178" i="14"/>
  <c r="F178" i="15" s="1"/>
  <c r="G94" i="14"/>
  <c r="F94" i="15" s="1"/>
  <c r="G139" i="14"/>
  <c r="F139" i="15" s="1"/>
  <c r="U139" i="15" s="1"/>
  <c r="G231" i="14"/>
  <c r="F231" i="15" s="1"/>
  <c r="U231" i="15" s="1"/>
  <c r="G2" i="14"/>
  <c r="F2" i="15" s="1"/>
  <c r="G61" i="14"/>
  <c r="F61" i="15" s="1"/>
  <c r="U61" i="15" s="1"/>
  <c r="G246" i="14"/>
  <c r="F246" i="15" s="1"/>
  <c r="U246" i="15" s="1"/>
  <c r="G123" i="14"/>
  <c r="F123" i="15" s="1"/>
  <c r="G36" i="14"/>
  <c r="F36" i="15" s="1"/>
  <c r="U36" i="15" s="1"/>
  <c r="G111" i="14"/>
  <c r="F111" i="15" s="1"/>
  <c r="U111" i="15" s="1"/>
  <c r="G187" i="14"/>
  <c r="F187" i="15" s="1"/>
  <c r="U187" i="15" s="1"/>
  <c r="G109" i="14"/>
  <c r="F109" i="15" s="1"/>
  <c r="G15" i="14"/>
  <c r="F15" i="15" s="1"/>
  <c r="G95" i="14"/>
  <c r="F95" i="15" s="1"/>
  <c r="G151" i="14"/>
  <c r="F151" i="15" s="1"/>
  <c r="F223" i="15"/>
  <c r="G169" i="14"/>
  <c r="F169" i="15" s="1"/>
  <c r="G215" i="14"/>
  <c r="F215" i="15" s="1"/>
  <c r="G176" i="14"/>
  <c r="F176" i="15" s="1"/>
  <c r="U176" i="15" s="1"/>
  <c r="G57" i="14"/>
  <c r="F57" i="15" s="1"/>
  <c r="G43" i="14"/>
  <c r="F43" i="15" s="1"/>
  <c r="G76" i="14"/>
  <c r="F76" i="15" s="1"/>
  <c r="U76" i="15" s="1"/>
  <c r="G236" i="14"/>
  <c r="F236" i="15" s="1"/>
  <c r="U236" i="15" s="1"/>
  <c r="G134" i="14"/>
  <c r="F134" i="15" s="1"/>
  <c r="U134" i="15" s="1"/>
  <c r="G23" i="14"/>
  <c r="F23" i="15" s="1"/>
  <c r="G136" i="14"/>
  <c r="F136" i="15" s="1"/>
  <c r="U136" i="15" s="1"/>
  <c r="G250" i="14"/>
  <c r="F250" i="15" s="1"/>
  <c r="U250" i="15" s="1"/>
  <c r="G12" i="14"/>
  <c r="F12" i="15" s="1"/>
  <c r="U12" i="15" s="1"/>
  <c r="G126" i="14"/>
  <c r="F126" i="15" s="1"/>
  <c r="U126" i="15" s="1"/>
  <c r="G96" i="14"/>
  <c r="F96" i="15" s="1"/>
  <c r="G120" i="14"/>
  <c r="F120" i="15" s="1"/>
  <c r="U120" i="15" s="1"/>
  <c r="G4" i="14"/>
  <c r="F4" i="15" s="1"/>
  <c r="G101" i="14"/>
  <c r="F101" i="15" s="1"/>
  <c r="U101" i="15" s="1"/>
  <c r="G78" i="14"/>
  <c r="F78" i="15" s="1"/>
  <c r="U78" i="15" s="1"/>
  <c r="G307" i="14"/>
  <c r="F307" i="15" s="1"/>
  <c r="U307" i="15" s="1"/>
  <c r="G314" i="14"/>
  <c r="F314" i="15" s="1"/>
  <c r="U314" i="15" s="1"/>
  <c r="G248" i="14"/>
  <c r="F248" i="15" s="1"/>
  <c r="U248" i="15" s="1"/>
  <c r="G217" i="14"/>
  <c r="F217" i="15" s="1"/>
  <c r="G155" i="14"/>
  <c r="F155" i="15" s="1"/>
  <c r="G351" i="14"/>
  <c r="F351" i="15" s="1"/>
  <c r="G344" i="14"/>
  <c r="F344" i="15" s="1"/>
  <c r="G337" i="14"/>
  <c r="F337" i="15" s="1"/>
  <c r="G150" i="14"/>
  <c r="F150" i="15" s="1"/>
  <c r="G159" i="14"/>
  <c r="F159" i="15" s="1"/>
  <c r="G129" i="14"/>
  <c r="F129" i="15" s="1"/>
  <c r="U129" i="15" s="1"/>
  <c r="G195" i="14"/>
  <c r="F195" i="15" s="1"/>
  <c r="G52" i="14"/>
  <c r="F52" i="15" s="1"/>
  <c r="U52" i="15" s="1"/>
  <c r="G234" i="14"/>
  <c r="F234" i="15" s="1"/>
  <c r="G252" i="14"/>
  <c r="F252" i="15" s="1"/>
  <c r="U252" i="15" s="1"/>
  <c r="G181" i="14"/>
  <c r="F181" i="15" s="1"/>
  <c r="U181" i="15" s="1"/>
  <c r="G71" i="14"/>
  <c r="F71" i="15" s="1"/>
  <c r="U71" i="15" s="1"/>
  <c r="G56" i="14"/>
  <c r="F56" i="15" s="1"/>
  <c r="U56" i="15" s="1"/>
  <c r="G145" i="14"/>
  <c r="F145" i="15" s="1"/>
  <c r="G42" i="14"/>
  <c r="F42" i="15" s="1"/>
  <c r="G31" i="14"/>
  <c r="F31" i="15" s="1"/>
  <c r="G264" i="14"/>
  <c r="F264" i="15" s="1"/>
  <c r="G34" i="14"/>
  <c r="F34" i="15" s="1"/>
  <c r="G170" i="14"/>
  <c r="F170" i="15" s="1"/>
  <c r="G84" i="14"/>
  <c r="F84" i="15" s="1"/>
  <c r="U84" i="15" s="1"/>
  <c r="G21" i="14"/>
  <c r="F21" i="15" s="1"/>
  <c r="U21" i="15" s="1"/>
  <c r="G269" i="14"/>
  <c r="F269" i="15" s="1"/>
  <c r="U269" i="15" s="1"/>
  <c r="G49" i="14"/>
  <c r="F49" i="15" s="1"/>
  <c r="U49" i="15" s="1"/>
  <c r="G13" i="14"/>
  <c r="F13" i="15" s="1"/>
  <c r="U13" i="15" s="1"/>
  <c r="G38" i="14"/>
  <c r="F38" i="15" s="1"/>
  <c r="U38" i="15" s="1"/>
  <c r="G11" i="14"/>
  <c r="F11" i="15" s="1"/>
  <c r="G153" i="14"/>
  <c r="F153" i="15" s="1"/>
  <c r="G268" i="14"/>
  <c r="F268" i="15" s="1"/>
  <c r="U268" i="15" s="1"/>
  <c r="G125" i="14"/>
  <c r="F125" i="15" s="1"/>
  <c r="U125" i="15" s="1"/>
  <c r="G22" i="14"/>
  <c r="F22" i="15" s="1"/>
  <c r="G227" i="14"/>
  <c r="F227" i="15" s="1"/>
  <c r="U227" i="15" s="1"/>
  <c r="G3" i="14"/>
  <c r="F3" i="15" s="1"/>
  <c r="G274" i="14"/>
  <c r="F274" i="15" s="1"/>
  <c r="G283" i="14"/>
  <c r="F283" i="15" s="1"/>
  <c r="G91" i="14"/>
  <c r="F91" i="15" s="1"/>
  <c r="U91" i="15" s="1"/>
  <c r="G338" i="14"/>
  <c r="F338" i="15" s="1"/>
  <c r="G322" i="14"/>
  <c r="F322" i="15" s="1"/>
  <c r="U322" i="15" s="1"/>
  <c r="G282" i="14"/>
  <c r="F282" i="15" s="1"/>
  <c r="G258" i="14"/>
  <c r="F258" i="15" s="1"/>
  <c r="U258" i="15" s="1"/>
  <c r="G210" i="14"/>
  <c r="F210" i="15" s="1"/>
  <c r="G202" i="14"/>
  <c r="F202" i="15" s="1"/>
  <c r="G194" i="14"/>
  <c r="F194" i="15" s="1"/>
  <c r="U194" i="15" s="1"/>
  <c r="G186" i="14"/>
  <c r="F186" i="15" s="1"/>
  <c r="U186" i="15" s="1"/>
  <c r="G98" i="14"/>
  <c r="F98" i="15" s="1"/>
  <c r="G90" i="14"/>
  <c r="F90" i="15" s="1"/>
  <c r="G82" i="14"/>
  <c r="F82" i="15" s="1"/>
  <c r="G66" i="14"/>
  <c r="F66" i="15" s="1"/>
  <c r="U66" i="15" s="1"/>
  <c r="G26" i="14"/>
  <c r="F26" i="15" s="1"/>
  <c r="G251" i="14"/>
  <c r="F251" i="15" s="1"/>
  <c r="U251" i="15" s="1"/>
  <c r="G281" i="14"/>
  <c r="F281" i="15" s="1"/>
  <c r="G233" i="14"/>
  <c r="F233" i="15" s="1"/>
  <c r="G225" i="14"/>
  <c r="F225" i="15" s="1"/>
  <c r="G177" i="14"/>
  <c r="F177" i="15" s="1"/>
  <c r="U177" i="15" s="1"/>
  <c r="G161" i="14"/>
  <c r="F161" i="15" s="1"/>
  <c r="G105" i="14"/>
  <c r="F105" i="15" s="1"/>
  <c r="G65" i="14"/>
  <c r="F65" i="15" s="1"/>
  <c r="U65" i="15" s="1"/>
  <c r="G33" i="14"/>
  <c r="F33" i="15" s="1"/>
  <c r="G235" i="14"/>
  <c r="F235" i="15" s="1"/>
  <c r="U235" i="15" s="1"/>
  <c r="G312" i="14"/>
  <c r="F312" i="15" s="1"/>
  <c r="U312" i="15" s="1"/>
  <c r="G304" i="14"/>
  <c r="F304" i="15" s="1"/>
  <c r="U304" i="15" s="1"/>
  <c r="G272" i="14"/>
  <c r="F272" i="15" s="1"/>
  <c r="G256" i="14"/>
  <c r="F256" i="15" s="1"/>
  <c r="G208" i="14"/>
  <c r="F208" i="15" s="1"/>
  <c r="G88" i="14"/>
  <c r="F88" i="15" s="1"/>
  <c r="G24" i="14"/>
  <c r="F24" i="15" s="1"/>
  <c r="G16" i="14"/>
  <c r="F16" i="15" s="1"/>
  <c r="G343" i="14"/>
  <c r="F343" i="15" s="1"/>
  <c r="G295" i="14"/>
  <c r="F295" i="15" s="1"/>
  <c r="U295" i="15" s="1"/>
  <c r="G279" i="14"/>
  <c r="F279" i="15" s="1"/>
  <c r="G183" i="14"/>
  <c r="F183" i="15" s="1"/>
  <c r="U183" i="15" s="1"/>
  <c r="G7" i="14"/>
  <c r="F7" i="15" s="1"/>
  <c r="U7" i="15" s="1"/>
  <c r="G291" i="14"/>
  <c r="F291" i="15" s="1"/>
  <c r="G342" i="14"/>
  <c r="F342" i="15" s="1"/>
  <c r="G326" i="14"/>
  <c r="F326" i="15" s="1"/>
  <c r="U326" i="15" s="1"/>
  <c r="G294" i="14"/>
  <c r="F294" i="15" s="1"/>
  <c r="U294" i="15" s="1"/>
  <c r="G286" i="14"/>
  <c r="F286" i="15" s="1"/>
  <c r="G278" i="14"/>
  <c r="F278" i="15" s="1"/>
  <c r="G206" i="14"/>
  <c r="F206" i="15" s="1"/>
  <c r="G110" i="14"/>
  <c r="F110" i="15" s="1"/>
  <c r="G54" i="14"/>
  <c r="F54" i="15" s="1"/>
  <c r="U54" i="15" s="1"/>
  <c r="G14" i="14"/>
  <c r="F14" i="15" s="1"/>
  <c r="U14" i="15" s="1"/>
  <c r="G341" i="14"/>
  <c r="F341" i="15" s="1"/>
  <c r="U341" i="15" s="1"/>
  <c r="G309" i="14"/>
  <c r="F309" i="15" s="1"/>
  <c r="U309" i="15" s="1"/>
  <c r="G301" i="14"/>
  <c r="F301" i="15" s="1"/>
  <c r="G165" i="14"/>
  <c r="F165" i="15" s="1"/>
  <c r="G93" i="14"/>
  <c r="F93" i="15" s="1"/>
  <c r="U93" i="15" s="1"/>
  <c r="G37" i="14"/>
  <c r="F37" i="15" s="1"/>
  <c r="U37" i="15" s="1"/>
  <c r="G5" i="14"/>
  <c r="F5" i="15" s="1"/>
  <c r="U5" i="15" s="1"/>
  <c r="G204" i="14"/>
  <c r="F204" i="15" s="1"/>
  <c r="U204" i="15" s="1"/>
  <c r="G180" i="14"/>
  <c r="F180" i="15" s="1"/>
  <c r="U180" i="15" s="1"/>
  <c r="P330" i="15" l="1"/>
  <c r="P346" i="15"/>
  <c r="P335" i="15"/>
  <c r="P350" i="15"/>
  <c r="P338" i="15"/>
  <c r="P342" i="15"/>
  <c r="P329" i="15"/>
  <c r="P351" i="15"/>
  <c r="P322" i="15"/>
  <c r="P334" i="15"/>
  <c r="P82" i="15"/>
  <c r="P271" i="15"/>
  <c r="P194" i="15"/>
  <c r="P281" i="15"/>
  <c r="P250" i="15"/>
  <c r="P313" i="15"/>
  <c r="P215" i="15"/>
  <c r="P223" i="15"/>
  <c r="P68" i="15"/>
  <c r="P196" i="15"/>
  <c r="P122" i="15"/>
  <c r="P26" i="15"/>
  <c r="P89" i="15"/>
  <c r="B9" i="26"/>
  <c r="B10" i="26"/>
  <c r="B12" i="26"/>
  <c r="P31" i="15"/>
  <c r="P159" i="15"/>
  <c r="P90" i="15"/>
  <c r="P186" i="15"/>
  <c r="P207" i="15"/>
  <c r="P228" i="15"/>
  <c r="P79" i="15"/>
  <c r="P119" i="15"/>
  <c r="P34" i="15"/>
  <c r="P218" i="15"/>
  <c r="P319" i="15"/>
  <c r="P242" i="15"/>
  <c r="P321" i="15"/>
  <c r="P132" i="15"/>
  <c r="P114" i="15"/>
  <c r="P15" i="15"/>
  <c r="P66" i="15"/>
  <c r="P143" i="15"/>
  <c r="P55" i="15"/>
  <c r="P183" i="15"/>
  <c r="P95" i="15"/>
  <c r="P314" i="15"/>
  <c r="P257" i="15"/>
  <c r="P129" i="15"/>
  <c r="P287" i="15"/>
  <c r="P193" i="15"/>
  <c r="P305" i="15"/>
  <c r="P87" i="15"/>
  <c r="P247" i="15"/>
  <c r="P121" i="15"/>
  <c r="P57" i="15"/>
  <c r="P297" i="15"/>
  <c r="P23" i="15"/>
  <c r="P217" i="15"/>
  <c r="P153" i="15"/>
  <c r="P282" i="15"/>
  <c r="P151" i="15"/>
  <c r="P25" i="15"/>
  <c r="P185" i="15"/>
  <c r="P130" i="15"/>
  <c r="P303" i="15"/>
  <c r="P65" i="15"/>
  <c r="P58" i="15"/>
  <c r="P100" i="15"/>
  <c r="P47" i="15"/>
  <c r="P111" i="15"/>
  <c r="P175" i="15"/>
  <c r="P239" i="15"/>
  <c r="P311" i="15"/>
  <c r="P289" i="15"/>
  <c r="P258" i="15"/>
  <c r="P63" i="15"/>
  <c r="P127" i="15"/>
  <c r="P191" i="15"/>
  <c r="P255" i="15"/>
  <c r="P249" i="15"/>
  <c r="P154" i="15"/>
  <c r="P290" i="15"/>
  <c r="P98" i="15"/>
  <c r="P226" i="15"/>
  <c r="P260" i="15"/>
  <c r="P349" i="15"/>
  <c r="P4" i="15"/>
  <c r="P274" i="15"/>
  <c r="P33" i="15"/>
  <c r="P97" i="15"/>
  <c r="P161" i="15"/>
  <c r="P225" i="15"/>
  <c r="P324" i="15"/>
  <c r="P279" i="15"/>
  <c r="P343" i="15"/>
  <c r="P333" i="15"/>
  <c r="U225" i="15"/>
  <c r="U98" i="15"/>
  <c r="U338" i="15"/>
  <c r="U150" i="15"/>
  <c r="U158" i="15"/>
  <c r="U185" i="15"/>
  <c r="U106" i="15"/>
  <c r="U330" i="15"/>
  <c r="U87" i="15"/>
  <c r="U144" i="15"/>
  <c r="U289" i="15"/>
  <c r="U350" i="15"/>
  <c r="U86" i="15"/>
  <c r="U313" i="15"/>
  <c r="U301" i="15"/>
  <c r="U286" i="15"/>
  <c r="U343" i="15"/>
  <c r="U233" i="15"/>
  <c r="U153" i="15"/>
  <c r="U170" i="15"/>
  <c r="U337" i="15"/>
  <c r="U215" i="15"/>
  <c r="U94" i="15"/>
  <c r="U45" i="15"/>
  <c r="U224" i="15"/>
  <c r="U287" i="15"/>
  <c r="U67" i="15"/>
  <c r="U80" i="15"/>
  <c r="U97" i="15"/>
  <c r="U271" i="15"/>
  <c r="U237" i="15"/>
  <c r="U219" i="15"/>
  <c r="U16" i="15"/>
  <c r="U281" i="15"/>
  <c r="U283" i="15"/>
  <c r="U11" i="15"/>
  <c r="U34" i="15"/>
  <c r="U344" i="15"/>
  <c r="U23" i="15"/>
  <c r="U169" i="15"/>
  <c r="U178" i="15"/>
  <c r="U138" i="15"/>
  <c r="U17" i="15"/>
  <c r="U216" i="15"/>
  <c r="U27" i="15"/>
  <c r="U249" i="15"/>
  <c r="U266" i="15"/>
  <c r="U346" i="15"/>
  <c r="U74" i="15"/>
  <c r="U131" i="15"/>
  <c r="U89" i="15"/>
  <c r="U342" i="15"/>
  <c r="U24" i="15"/>
  <c r="U33" i="15"/>
  <c r="U202" i="15"/>
  <c r="U274" i="15"/>
  <c r="U264" i="15"/>
  <c r="U234" i="15"/>
  <c r="U351" i="15"/>
  <c r="U4" i="15"/>
  <c r="U223" i="15"/>
  <c r="U123" i="15"/>
  <c r="U25" i="15"/>
  <c r="U154" i="15"/>
  <c r="U147" i="15"/>
  <c r="U18" i="15"/>
  <c r="U336" i="15"/>
  <c r="U19" i="15"/>
  <c r="U41" i="15"/>
  <c r="U160" i="15"/>
  <c r="U291" i="15"/>
  <c r="U88" i="15"/>
  <c r="U26" i="15"/>
  <c r="U210" i="15"/>
  <c r="U3" i="15"/>
  <c r="U31" i="15"/>
  <c r="U155" i="15"/>
  <c r="U151" i="15"/>
  <c r="U99" i="15"/>
  <c r="U143" i="15"/>
  <c r="U226" i="15"/>
  <c r="U345" i="15"/>
  <c r="U81" i="15"/>
  <c r="U280" i="15"/>
  <c r="U298" i="15"/>
  <c r="U121" i="15"/>
  <c r="U110" i="15"/>
  <c r="U208" i="15"/>
  <c r="U105" i="15"/>
  <c r="U42" i="15"/>
  <c r="U195" i="15"/>
  <c r="U217" i="15"/>
  <c r="U96" i="15"/>
  <c r="U95" i="15"/>
  <c r="U214" i="15"/>
  <c r="U328" i="15"/>
  <c r="U51" i="15"/>
  <c r="U48" i="15"/>
  <c r="U290" i="15"/>
  <c r="U335" i="15"/>
  <c r="U75" i="15"/>
  <c r="U242" i="15"/>
  <c r="U165" i="15"/>
  <c r="U206" i="15"/>
  <c r="U256" i="15"/>
  <c r="U161" i="15"/>
  <c r="U82" i="15"/>
  <c r="U282" i="15"/>
  <c r="U22" i="15"/>
  <c r="U145" i="15"/>
  <c r="U43" i="15"/>
  <c r="U15" i="15"/>
  <c r="U2" i="15"/>
  <c r="U162" i="15"/>
  <c r="U306" i="15"/>
  <c r="U273" i="15"/>
  <c r="U115" i="15"/>
  <c r="U209" i="15"/>
  <c r="U263" i="15"/>
  <c r="U288" i="15"/>
  <c r="U211" i="15"/>
  <c r="U327" i="15"/>
  <c r="U297" i="15"/>
  <c r="U10" i="15"/>
  <c r="U222" i="15"/>
  <c r="U243" i="15"/>
  <c r="U278" i="15"/>
  <c r="U279" i="15"/>
  <c r="U272" i="15"/>
  <c r="U90" i="15"/>
  <c r="U159" i="15"/>
  <c r="U57" i="15"/>
  <c r="U109" i="15"/>
  <c r="U334" i="15"/>
  <c r="U270" i="15"/>
  <c r="U152" i="15"/>
  <c r="U305" i="15"/>
  <c r="U30" i="15"/>
  <c r="U218" i="15"/>
  <c r="U35" i="15"/>
  <c r="N3" i="14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N61" i="14"/>
  <c r="N62" i="14"/>
  <c r="N63" i="14"/>
  <c r="N64" i="14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80" i="14"/>
  <c r="N81" i="14"/>
  <c r="N82" i="14"/>
  <c r="N83" i="14"/>
  <c r="N84" i="14"/>
  <c r="N85" i="14"/>
  <c r="N86" i="14"/>
  <c r="N87" i="14"/>
  <c r="N88" i="14"/>
  <c r="N89" i="14"/>
  <c r="N90" i="14"/>
  <c r="N91" i="14"/>
  <c r="N92" i="14"/>
  <c r="N93" i="14"/>
  <c r="N94" i="14"/>
  <c r="N95" i="14"/>
  <c r="N96" i="14"/>
  <c r="N97" i="14"/>
  <c r="N98" i="14"/>
  <c r="N99" i="14"/>
  <c r="N100" i="14"/>
  <c r="N101" i="14"/>
  <c r="N102" i="14"/>
  <c r="N103" i="14"/>
  <c r="N104" i="14"/>
  <c r="N105" i="14"/>
  <c r="N106" i="14"/>
  <c r="N107" i="14"/>
  <c r="N108" i="14"/>
  <c r="N109" i="14"/>
  <c r="N110" i="14"/>
  <c r="N111" i="14"/>
  <c r="N112" i="14"/>
  <c r="N113" i="14"/>
  <c r="N114" i="14"/>
  <c r="N115" i="14"/>
  <c r="N116" i="14"/>
  <c r="N117" i="14"/>
  <c r="N118" i="14"/>
  <c r="N119" i="14"/>
  <c r="N120" i="14"/>
  <c r="N121" i="14"/>
  <c r="N122" i="14"/>
  <c r="N123" i="14"/>
  <c r="N124" i="14"/>
  <c r="N125" i="14"/>
  <c r="N126" i="14"/>
  <c r="N127" i="14"/>
  <c r="N128" i="14"/>
  <c r="N129" i="14"/>
  <c r="N130" i="14"/>
  <c r="N131" i="14"/>
  <c r="N132" i="14"/>
  <c r="N133" i="14"/>
  <c r="N134" i="14"/>
  <c r="N135" i="14"/>
  <c r="N136" i="14"/>
  <c r="N137" i="14"/>
  <c r="N138" i="14"/>
  <c r="N139" i="14"/>
  <c r="N140" i="14"/>
  <c r="N141" i="14"/>
  <c r="N142" i="14"/>
  <c r="N143" i="14"/>
  <c r="N144" i="14"/>
  <c r="N145" i="14"/>
  <c r="N146" i="14"/>
  <c r="N147" i="14"/>
  <c r="N148" i="14"/>
  <c r="N149" i="14"/>
  <c r="N150" i="14"/>
  <c r="N151" i="14"/>
  <c r="N152" i="14"/>
  <c r="N153" i="14"/>
  <c r="N154" i="14"/>
  <c r="N155" i="14"/>
  <c r="N156" i="14"/>
  <c r="N157" i="14"/>
  <c r="N158" i="14"/>
  <c r="N159" i="14"/>
  <c r="N160" i="14"/>
  <c r="N161" i="14"/>
  <c r="N162" i="14"/>
  <c r="N163" i="14"/>
  <c r="N164" i="14"/>
  <c r="N165" i="14"/>
  <c r="N166" i="14"/>
  <c r="N167" i="14"/>
  <c r="N168" i="14"/>
  <c r="N169" i="14"/>
  <c r="N170" i="14"/>
  <c r="N171" i="14"/>
  <c r="N172" i="14"/>
  <c r="N173" i="14"/>
  <c r="N174" i="14"/>
  <c r="N175" i="14"/>
  <c r="N176" i="14"/>
  <c r="N177" i="14"/>
  <c r="N178" i="14"/>
  <c r="N179" i="14"/>
  <c r="N180" i="14"/>
  <c r="N181" i="14"/>
  <c r="N182" i="14"/>
  <c r="N183" i="14"/>
  <c r="N184" i="14"/>
  <c r="N185" i="14"/>
  <c r="N186" i="14"/>
  <c r="N187" i="14"/>
  <c r="N188" i="14"/>
  <c r="N189" i="14"/>
  <c r="N190" i="14"/>
  <c r="N191" i="14"/>
  <c r="N192" i="14"/>
  <c r="N193" i="14"/>
  <c r="N194" i="14"/>
  <c r="N195" i="14"/>
  <c r="N196" i="14"/>
  <c r="N197" i="14"/>
  <c r="N198" i="14"/>
  <c r="N199" i="14"/>
  <c r="N200" i="14"/>
  <c r="N201" i="14"/>
  <c r="N202" i="14"/>
  <c r="N203" i="14"/>
  <c r="N204" i="14"/>
  <c r="N205" i="14"/>
  <c r="N206" i="14"/>
  <c r="N207" i="14"/>
  <c r="N208" i="14"/>
  <c r="N209" i="14"/>
  <c r="N210" i="14"/>
  <c r="N211" i="14"/>
  <c r="N212" i="14"/>
  <c r="N213" i="14"/>
  <c r="N214" i="14"/>
  <c r="N215" i="14"/>
  <c r="N216" i="14"/>
  <c r="N217" i="14"/>
  <c r="N218" i="14"/>
  <c r="N219" i="14"/>
  <c r="N220" i="14"/>
  <c r="N221" i="14"/>
  <c r="N222" i="14"/>
  <c r="N223" i="14"/>
  <c r="N224" i="14"/>
  <c r="N225" i="14"/>
  <c r="N226" i="14"/>
  <c r="N227" i="14"/>
  <c r="N228" i="14"/>
  <c r="N229" i="14"/>
  <c r="N230" i="14"/>
  <c r="N231" i="14"/>
  <c r="N232" i="14"/>
  <c r="N233" i="14"/>
  <c r="N234" i="14"/>
  <c r="N235" i="14"/>
  <c r="N236" i="14"/>
  <c r="N237" i="14"/>
  <c r="N238" i="14"/>
  <c r="N239" i="14"/>
  <c r="N240" i="14"/>
  <c r="N241" i="14"/>
  <c r="N242" i="14"/>
  <c r="N243" i="14"/>
  <c r="N244" i="14"/>
  <c r="N245" i="14"/>
  <c r="N246" i="14"/>
  <c r="N247" i="14"/>
  <c r="N248" i="14"/>
  <c r="N249" i="14"/>
  <c r="N250" i="14"/>
  <c r="N251" i="14"/>
  <c r="N252" i="14"/>
  <c r="N253" i="14"/>
  <c r="N254" i="14"/>
  <c r="N255" i="14"/>
  <c r="N256" i="14"/>
  <c r="N257" i="14"/>
  <c r="N258" i="14"/>
  <c r="N259" i="14"/>
  <c r="N260" i="14"/>
  <c r="N261" i="14"/>
  <c r="N262" i="14"/>
  <c r="N263" i="14"/>
  <c r="N264" i="14"/>
  <c r="N265" i="14"/>
  <c r="N266" i="14"/>
  <c r="N267" i="14"/>
  <c r="N268" i="14"/>
  <c r="N269" i="14"/>
  <c r="N270" i="14"/>
  <c r="N271" i="14"/>
  <c r="N272" i="14"/>
  <c r="N273" i="14"/>
  <c r="N274" i="14"/>
  <c r="N275" i="14"/>
  <c r="N276" i="14"/>
  <c r="N277" i="14"/>
  <c r="N278" i="14"/>
  <c r="N279" i="14"/>
  <c r="N280" i="14"/>
  <c r="N281" i="14"/>
  <c r="N282" i="14"/>
  <c r="N283" i="14"/>
  <c r="N284" i="14"/>
  <c r="N285" i="14"/>
  <c r="N286" i="14"/>
  <c r="N287" i="14"/>
  <c r="N288" i="14"/>
  <c r="N289" i="14"/>
  <c r="N290" i="14"/>
  <c r="N291" i="14"/>
  <c r="N292" i="14"/>
  <c r="N293" i="14"/>
  <c r="N294" i="14"/>
  <c r="N295" i="14"/>
  <c r="N296" i="14"/>
  <c r="N297" i="14"/>
  <c r="N298" i="14"/>
  <c r="N299" i="14"/>
  <c r="N300" i="14"/>
  <c r="N301" i="14"/>
  <c r="N302" i="14"/>
  <c r="N303" i="14"/>
  <c r="N304" i="14"/>
  <c r="N305" i="14"/>
  <c r="N306" i="14"/>
  <c r="N307" i="14"/>
  <c r="N308" i="14"/>
  <c r="N309" i="14"/>
  <c r="N310" i="14"/>
  <c r="N311" i="14"/>
  <c r="N312" i="14"/>
  <c r="N313" i="14"/>
  <c r="N314" i="14"/>
  <c r="N315" i="14"/>
  <c r="N316" i="14"/>
  <c r="N317" i="14"/>
  <c r="N318" i="14"/>
  <c r="N319" i="14"/>
  <c r="N320" i="14"/>
  <c r="N321" i="14"/>
  <c r="N322" i="14"/>
  <c r="N323" i="14"/>
  <c r="N324" i="14"/>
  <c r="N325" i="14"/>
  <c r="N326" i="14"/>
  <c r="N327" i="14"/>
  <c r="N328" i="14"/>
  <c r="N329" i="14"/>
  <c r="N330" i="14"/>
  <c r="N331" i="14"/>
  <c r="N332" i="14"/>
  <c r="N333" i="14"/>
  <c r="N334" i="14"/>
  <c r="N335" i="14"/>
  <c r="N336" i="14"/>
  <c r="N337" i="14"/>
  <c r="N338" i="14"/>
  <c r="N339" i="14"/>
  <c r="N340" i="14"/>
  <c r="N341" i="14"/>
  <c r="N342" i="14"/>
  <c r="N343" i="14"/>
  <c r="N344" i="14"/>
  <c r="N345" i="14"/>
  <c r="N346" i="14"/>
  <c r="N347" i="14"/>
  <c r="N348" i="14"/>
  <c r="N349" i="14"/>
  <c r="N350" i="14"/>
  <c r="N351" i="14"/>
  <c r="N2" i="14"/>
  <c r="B6" i="26" l="1"/>
  <c r="B8" i="26"/>
  <c r="O295" i="14"/>
  <c r="K295" i="15"/>
  <c r="O255" i="14"/>
  <c r="K255" i="15"/>
  <c r="O215" i="14"/>
  <c r="K215" i="15"/>
  <c r="O167" i="14"/>
  <c r="K167" i="15"/>
  <c r="O119" i="14"/>
  <c r="K119" i="15"/>
  <c r="O55" i="14"/>
  <c r="K55" i="15"/>
  <c r="O349" i="14"/>
  <c r="K349" i="15"/>
  <c r="O341" i="14"/>
  <c r="K341" i="15"/>
  <c r="O333" i="14"/>
  <c r="K333" i="15"/>
  <c r="O325" i="14"/>
  <c r="K325" i="15"/>
  <c r="O317" i="14"/>
  <c r="K317" i="15"/>
  <c r="O309" i="14"/>
  <c r="K309" i="15"/>
  <c r="O301" i="14"/>
  <c r="K301" i="15"/>
  <c r="O293" i="14"/>
  <c r="K293" i="15"/>
  <c r="O285" i="14"/>
  <c r="K285" i="15"/>
  <c r="O277" i="14"/>
  <c r="K277" i="15"/>
  <c r="O269" i="14"/>
  <c r="K269" i="15"/>
  <c r="O261" i="14"/>
  <c r="K261" i="15"/>
  <c r="O253" i="14"/>
  <c r="K253" i="15"/>
  <c r="O245" i="14"/>
  <c r="K245" i="15"/>
  <c r="O237" i="14"/>
  <c r="K237" i="15"/>
  <c r="O229" i="14"/>
  <c r="K229" i="15"/>
  <c r="O221" i="14"/>
  <c r="K221" i="15"/>
  <c r="O213" i="14"/>
  <c r="K213" i="15"/>
  <c r="O205" i="14"/>
  <c r="K205" i="15"/>
  <c r="O197" i="14"/>
  <c r="K197" i="15"/>
  <c r="O189" i="14"/>
  <c r="K189" i="15"/>
  <c r="O181" i="14"/>
  <c r="K181" i="15"/>
  <c r="O173" i="14"/>
  <c r="K173" i="15"/>
  <c r="O165" i="14"/>
  <c r="K165" i="15"/>
  <c r="O157" i="14"/>
  <c r="K157" i="15"/>
  <c r="O149" i="14"/>
  <c r="K149" i="15"/>
  <c r="O141" i="14"/>
  <c r="K141" i="15"/>
  <c r="O133" i="14"/>
  <c r="K133" i="15"/>
  <c r="O125" i="14"/>
  <c r="K125" i="15"/>
  <c r="O117" i="14"/>
  <c r="K117" i="15"/>
  <c r="O109" i="14"/>
  <c r="K109" i="15"/>
  <c r="O101" i="14"/>
  <c r="K101" i="15"/>
  <c r="O93" i="14"/>
  <c r="K93" i="15"/>
  <c r="O85" i="14"/>
  <c r="K85" i="15"/>
  <c r="O77" i="14"/>
  <c r="K77" i="15"/>
  <c r="O69" i="14"/>
  <c r="K69" i="15"/>
  <c r="O61" i="14"/>
  <c r="K61" i="15"/>
  <c r="O53" i="14"/>
  <c r="K53" i="15"/>
  <c r="O45" i="14"/>
  <c r="K45" i="15"/>
  <c r="O37" i="14"/>
  <c r="K37" i="15"/>
  <c r="O29" i="14"/>
  <c r="K29" i="15"/>
  <c r="O21" i="14"/>
  <c r="K21" i="15"/>
  <c r="O13" i="14"/>
  <c r="K13" i="15"/>
  <c r="O5" i="14"/>
  <c r="K5" i="15"/>
  <c r="O311" i="14"/>
  <c r="K311" i="15"/>
  <c r="O271" i="14"/>
  <c r="K271" i="15"/>
  <c r="O223" i="14"/>
  <c r="K223" i="15"/>
  <c r="O175" i="14"/>
  <c r="K175" i="15"/>
  <c r="O127" i="14"/>
  <c r="K127" i="15"/>
  <c r="O71" i="14"/>
  <c r="K71" i="15"/>
  <c r="O23" i="14"/>
  <c r="K23" i="15"/>
  <c r="O348" i="14"/>
  <c r="K348" i="15"/>
  <c r="O340" i="14"/>
  <c r="K340" i="15"/>
  <c r="O332" i="14"/>
  <c r="K332" i="15"/>
  <c r="O324" i="14"/>
  <c r="K324" i="15"/>
  <c r="O316" i="14"/>
  <c r="K316" i="15"/>
  <c r="O308" i="14"/>
  <c r="K308" i="15"/>
  <c r="O300" i="14"/>
  <c r="K300" i="15"/>
  <c r="O292" i="14"/>
  <c r="K292" i="15"/>
  <c r="O284" i="14"/>
  <c r="K284" i="15"/>
  <c r="O276" i="14"/>
  <c r="K276" i="15"/>
  <c r="O268" i="14"/>
  <c r="K268" i="15"/>
  <c r="O260" i="14"/>
  <c r="K260" i="15"/>
  <c r="O252" i="14"/>
  <c r="K252" i="15"/>
  <c r="O244" i="14"/>
  <c r="K244" i="15"/>
  <c r="O236" i="14"/>
  <c r="K236" i="15"/>
  <c r="O228" i="14"/>
  <c r="K228" i="15"/>
  <c r="O220" i="14"/>
  <c r="K220" i="15"/>
  <c r="O212" i="14"/>
  <c r="K212" i="15"/>
  <c r="O204" i="14"/>
  <c r="K204" i="15"/>
  <c r="O196" i="14"/>
  <c r="K196" i="15"/>
  <c r="O188" i="14"/>
  <c r="K188" i="15"/>
  <c r="O180" i="14"/>
  <c r="K180" i="15"/>
  <c r="O172" i="14"/>
  <c r="K172" i="15"/>
  <c r="O164" i="14"/>
  <c r="K164" i="15"/>
  <c r="O156" i="14"/>
  <c r="K156" i="15"/>
  <c r="O148" i="14"/>
  <c r="K148" i="15"/>
  <c r="O140" i="14"/>
  <c r="K140" i="15"/>
  <c r="O132" i="14"/>
  <c r="K132" i="15"/>
  <c r="O124" i="14"/>
  <c r="K124" i="15"/>
  <c r="O116" i="14"/>
  <c r="K116" i="15"/>
  <c r="O108" i="14"/>
  <c r="K108" i="15"/>
  <c r="O100" i="14"/>
  <c r="K100" i="15"/>
  <c r="O92" i="14"/>
  <c r="K92" i="15"/>
  <c r="O84" i="14"/>
  <c r="K84" i="15"/>
  <c r="O76" i="14"/>
  <c r="K76" i="15"/>
  <c r="O68" i="14"/>
  <c r="K68" i="15"/>
  <c r="O60" i="14"/>
  <c r="K60" i="15"/>
  <c r="O52" i="14"/>
  <c r="K52" i="15"/>
  <c r="O44" i="14"/>
  <c r="K44" i="15"/>
  <c r="O36" i="14"/>
  <c r="K36" i="15"/>
  <c r="O28" i="14"/>
  <c r="K28" i="15"/>
  <c r="O20" i="14"/>
  <c r="K20" i="15"/>
  <c r="O12" i="14"/>
  <c r="K12" i="15"/>
  <c r="O4" i="14"/>
  <c r="K4" i="15"/>
  <c r="O335" i="14"/>
  <c r="K335" i="15"/>
  <c r="O95" i="14"/>
  <c r="K95" i="15"/>
  <c r="O339" i="14"/>
  <c r="K339" i="15"/>
  <c r="O307" i="14"/>
  <c r="K307" i="15"/>
  <c r="O299" i="14"/>
  <c r="K299" i="15"/>
  <c r="O291" i="14"/>
  <c r="K291" i="15"/>
  <c r="O283" i="14"/>
  <c r="K283" i="15"/>
  <c r="O275" i="14"/>
  <c r="K275" i="15"/>
  <c r="O267" i="14"/>
  <c r="K267" i="15"/>
  <c r="O259" i="14"/>
  <c r="K259" i="15"/>
  <c r="O251" i="14"/>
  <c r="K251" i="15"/>
  <c r="O243" i="14"/>
  <c r="K243" i="15"/>
  <c r="O235" i="14"/>
  <c r="K235" i="15"/>
  <c r="O227" i="14"/>
  <c r="K227" i="15"/>
  <c r="O219" i="14"/>
  <c r="K219" i="15"/>
  <c r="O211" i="14"/>
  <c r="K211" i="15"/>
  <c r="O203" i="14"/>
  <c r="K203" i="15"/>
  <c r="O195" i="14"/>
  <c r="K195" i="15"/>
  <c r="O187" i="14"/>
  <c r="K187" i="15"/>
  <c r="O179" i="14"/>
  <c r="K179" i="15"/>
  <c r="O171" i="14"/>
  <c r="K171" i="15"/>
  <c r="O163" i="14"/>
  <c r="K163" i="15"/>
  <c r="O155" i="14"/>
  <c r="K155" i="15"/>
  <c r="O147" i="14"/>
  <c r="K147" i="15"/>
  <c r="O139" i="14"/>
  <c r="K139" i="15"/>
  <c r="O131" i="14"/>
  <c r="K131" i="15"/>
  <c r="O123" i="14"/>
  <c r="K123" i="15"/>
  <c r="O115" i="14"/>
  <c r="K115" i="15"/>
  <c r="O107" i="14"/>
  <c r="K107" i="15"/>
  <c r="O99" i="14"/>
  <c r="K99" i="15"/>
  <c r="O91" i="14"/>
  <c r="K91" i="15"/>
  <c r="O83" i="14"/>
  <c r="K83" i="15"/>
  <c r="O75" i="14"/>
  <c r="K75" i="15"/>
  <c r="O67" i="14"/>
  <c r="K67" i="15"/>
  <c r="O59" i="14"/>
  <c r="K59" i="15"/>
  <c r="O51" i="14"/>
  <c r="K51" i="15"/>
  <c r="O43" i="14"/>
  <c r="K43" i="15"/>
  <c r="O35" i="14"/>
  <c r="K35" i="15"/>
  <c r="O27" i="14"/>
  <c r="K27" i="15"/>
  <c r="O19" i="14"/>
  <c r="K19" i="15"/>
  <c r="O11" i="14"/>
  <c r="K11" i="15"/>
  <c r="O3" i="14"/>
  <c r="K3" i="15"/>
  <c r="O287" i="14"/>
  <c r="K287" i="15"/>
  <c r="O239" i="14"/>
  <c r="K239" i="15"/>
  <c r="O191" i="14"/>
  <c r="K191" i="15"/>
  <c r="O143" i="14"/>
  <c r="K143" i="15"/>
  <c r="O87" i="14"/>
  <c r="K87" i="15"/>
  <c r="O39" i="14"/>
  <c r="K39" i="15"/>
  <c r="O347" i="14"/>
  <c r="K347" i="15"/>
  <c r="O323" i="14"/>
  <c r="K323" i="15"/>
  <c r="O346" i="14"/>
  <c r="K346" i="15"/>
  <c r="O338" i="14"/>
  <c r="K338" i="15"/>
  <c r="O330" i="14"/>
  <c r="K330" i="15"/>
  <c r="O322" i="14"/>
  <c r="K322" i="15"/>
  <c r="O314" i="14"/>
  <c r="K314" i="15"/>
  <c r="O306" i="14"/>
  <c r="K306" i="15"/>
  <c r="O298" i="14"/>
  <c r="K298" i="15"/>
  <c r="O290" i="14"/>
  <c r="K290" i="15"/>
  <c r="P282" i="14"/>
  <c r="R282" i="14" s="1"/>
  <c r="O282" i="15" s="1"/>
  <c r="K282" i="15"/>
  <c r="T282" i="15" s="1"/>
  <c r="O274" i="14"/>
  <c r="K274" i="15"/>
  <c r="O266" i="14"/>
  <c r="K266" i="15"/>
  <c r="O258" i="14"/>
  <c r="L258" i="15" s="1"/>
  <c r="Q258" i="15" s="1"/>
  <c r="K258" i="15"/>
  <c r="O250" i="14"/>
  <c r="K250" i="15"/>
  <c r="O242" i="14"/>
  <c r="K242" i="15"/>
  <c r="O234" i="14"/>
  <c r="K234" i="15"/>
  <c r="O226" i="14"/>
  <c r="K226" i="15"/>
  <c r="O218" i="14"/>
  <c r="K218" i="15"/>
  <c r="O210" i="14"/>
  <c r="K210" i="15"/>
  <c r="O202" i="14"/>
  <c r="K202" i="15"/>
  <c r="O194" i="14"/>
  <c r="K194" i="15"/>
  <c r="O186" i="14"/>
  <c r="K186" i="15"/>
  <c r="O178" i="14"/>
  <c r="K178" i="15"/>
  <c r="O170" i="14"/>
  <c r="K170" i="15"/>
  <c r="O162" i="14"/>
  <c r="K162" i="15"/>
  <c r="O154" i="14"/>
  <c r="K154" i="15"/>
  <c r="O146" i="14"/>
  <c r="K146" i="15"/>
  <c r="O138" i="14"/>
  <c r="K138" i="15"/>
  <c r="O130" i="14"/>
  <c r="K130" i="15"/>
  <c r="O122" i="14"/>
  <c r="K122" i="15"/>
  <c r="O114" i="14"/>
  <c r="K114" i="15"/>
  <c r="O106" i="14"/>
  <c r="K106" i="15"/>
  <c r="O98" i="14"/>
  <c r="K98" i="15"/>
  <c r="O90" i="14"/>
  <c r="K90" i="15"/>
  <c r="O82" i="14"/>
  <c r="K82" i="15"/>
  <c r="O74" i="14"/>
  <c r="K74" i="15"/>
  <c r="O66" i="14"/>
  <c r="K66" i="15"/>
  <c r="O58" i="14"/>
  <c r="K58" i="15"/>
  <c r="O42" i="14"/>
  <c r="K42" i="15"/>
  <c r="O34" i="14"/>
  <c r="K34" i="15"/>
  <c r="O26" i="14"/>
  <c r="K26" i="15"/>
  <c r="O18" i="14"/>
  <c r="K18" i="15"/>
  <c r="O10" i="14"/>
  <c r="K10" i="15"/>
  <c r="O303" i="14"/>
  <c r="K303" i="15"/>
  <c r="O247" i="14"/>
  <c r="K247" i="15"/>
  <c r="O199" i="14"/>
  <c r="K199" i="15"/>
  <c r="O151" i="14"/>
  <c r="K151" i="15"/>
  <c r="O103" i="14"/>
  <c r="K103" i="15"/>
  <c r="O63" i="14"/>
  <c r="K63" i="15"/>
  <c r="O31" i="14"/>
  <c r="K31" i="15"/>
  <c r="O7" i="14"/>
  <c r="K7" i="15"/>
  <c r="O331" i="14"/>
  <c r="K331" i="15"/>
  <c r="O345" i="14"/>
  <c r="K345" i="15"/>
  <c r="O337" i="14"/>
  <c r="K337" i="15"/>
  <c r="O329" i="14"/>
  <c r="K329" i="15"/>
  <c r="O321" i="14"/>
  <c r="K321" i="15"/>
  <c r="O313" i="14"/>
  <c r="K313" i="15"/>
  <c r="O305" i="14"/>
  <c r="K305" i="15"/>
  <c r="O297" i="14"/>
  <c r="K297" i="15"/>
  <c r="O289" i="14"/>
  <c r="K289" i="15"/>
  <c r="O281" i="14"/>
  <c r="K281" i="15"/>
  <c r="O273" i="14"/>
  <c r="K273" i="15"/>
  <c r="O265" i="14"/>
  <c r="K265" i="15"/>
  <c r="O257" i="14"/>
  <c r="K257" i="15"/>
  <c r="O249" i="14"/>
  <c r="K249" i="15"/>
  <c r="O241" i="14"/>
  <c r="K241" i="15"/>
  <c r="O233" i="14"/>
  <c r="K233" i="15"/>
  <c r="O225" i="14"/>
  <c r="K225" i="15"/>
  <c r="O217" i="14"/>
  <c r="K217" i="15"/>
  <c r="O209" i="14"/>
  <c r="K209" i="15"/>
  <c r="O201" i="14"/>
  <c r="K201" i="15"/>
  <c r="O193" i="14"/>
  <c r="K193" i="15"/>
  <c r="O185" i="14"/>
  <c r="K185" i="15"/>
  <c r="O177" i="14"/>
  <c r="K177" i="15"/>
  <c r="O169" i="14"/>
  <c r="K169" i="15"/>
  <c r="O161" i="14"/>
  <c r="K161" i="15"/>
  <c r="O153" i="14"/>
  <c r="K153" i="15"/>
  <c r="O145" i="14"/>
  <c r="K145" i="15"/>
  <c r="O137" i="14"/>
  <c r="K137" i="15"/>
  <c r="O129" i="14"/>
  <c r="K129" i="15"/>
  <c r="O121" i="14"/>
  <c r="K121" i="15"/>
  <c r="O113" i="14"/>
  <c r="K113" i="15"/>
  <c r="O105" i="14"/>
  <c r="K105" i="15"/>
  <c r="O97" i="14"/>
  <c r="K97" i="15"/>
  <c r="O89" i="14"/>
  <c r="K89" i="15"/>
  <c r="O81" i="14"/>
  <c r="K81" i="15"/>
  <c r="O73" i="14"/>
  <c r="K73" i="15"/>
  <c r="O65" i="14"/>
  <c r="K65" i="15"/>
  <c r="O57" i="14"/>
  <c r="K57" i="15"/>
  <c r="O49" i="14"/>
  <c r="K49" i="15"/>
  <c r="O41" i="14"/>
  <c r="K41" i="15"/>
  <c r="O33" i="14"/>
  <c r="K33" i="15"/>
  <c r="O25" i="14"/>
  <c r="K25" i="15"/>
  <c r="O17" i="14"/>
  <c r="K17" i="15"/>
  <c r="O9" i="14"/>
  <c r="K9" i="15"/>
  <c r="O351" i="14"/>
  <c r="K351" i="15"/>
  <c r="O343" i="14"/>
  <c r="K343" i="15"/>
  <c r="O327" i="14"/>
  <c r="K327" i="15"/>
  <c r="O279" i="14"/>
  <c r="K279" i="15"/>
  <c r="O231" i="14"/>
  <c r="K231" i="15"/>
  <c r="O135" i="14"/>
  <c r="K135" i="15"/>
  <c r="O79" i="14"/>
  <c r="K79" i="15"/>
  <c r="O15" i="14"/>
  <c r="K15" i="15"/>
  <c r="O2" i="14"/>
  <c r="K2" i="15"/>
  <c r="O344" i="14"/>
  <c r="K344" i="15"/>
  <c r="O336" i="14"/>
  <c r="K336" i="15"/>
  <c r="O328" i="14"/>
  <c r="K328" i="15"/>
  <c r="O320" i="14"/>
  <c r="K320" i="15"/>
  <c r="O312" i="14"/>
  <c r="K312" i="15"/>
  <c r="O304" i="14"/>
  <c r="K304" i="15"/>
  <c r="O296" i="14"/>
  <c r="K296" i="15"/>
  <c r="O288" i="14"/>
  <c r="K288" i="15"/>
  <c r="O280" i="14"/>
  <c r="K280" i="15"/>
  <c r="O272" i="14"/>
  <c r="K272" i="15"/>
  <c r="O264" i="14"/>
  <c r="K264" i="15"/>
  <c r="O256" i="14"/>
  <c r="K256" i="15"/>
  <c r="O248" i="14"/>
  <c r="K248" i="15"/>
  <c r="O240" i="14"/>
  <c r="K240" i="15"/>
  <c r="O232" i="14"/>
  <c r="K232" i="15"/>
  <c r="O224" i="14"/>
  <c r="K224" i="15"/>
  <c r="O216" i="14"/>
  <c r="K216" i="15"/>
  <c r="O208" i="14"/>
  <c r="K208" i="15"/>
  <c r="O200" i="14"/>
  <c r="K200" i="15"/>
  <c r="O192" i="14"/>
  <c r="K192" i="15"/>
  <c r="O184" i="14"/>
  <c r="K184" i="15"/>
  <c r="O176" i="14"/>
  <c r="K176" i="15"/>
  <c r="O168" i="14"/>
  <c r="K168" i="15"/>
  <c r="O160" i="14"/>
  <c r="K160" i="15"/>
  <c r="O152" i="14"/>
  <c r="K152" i="15"/>
  <c r="O144" i="14"/>
  <c r="K144" i="15"/>
  <c r="O136" i="14"/>
  <c r="K136" i="15"/>
  <c r="O128" i="14"/>
  <c r="K128" i="15"/>
  <c r="O120" i="14"/>
  <c r="K120" i="15"/>
  <c r="O112" i="14"/>
  <c r="K112" i="15"/>
  <c r="O104" i="14"/>
  <c r="K104" i="15"/>
  <c r="O96" i="14"/>
  <c r="K96" i="15"/>
  <c r="O88" i="14"/>
  <c r="K88" i="15"/>
  <c r="O80" i="14"/>
  <c r="K80" i="15"/>
  <c r="O72" i="14"/>
  <c r="K72" i="15"/>
  <c r="O64" i="14"/>
  <c r="K64" i="15"/>
  <c r="O56" i="14"/>
  <c r="K56" i="15"/>
  <c r="O48" i="14"/>
  <c r="K48" i="15"/>
  <c r="O40" i="14"/>
  <c r="K40" i="15"/>
  <c r="O32" i="14"/>
  <c r="K32" i="15"/>
  <c r="O24" i="14"/>
  <c r="K24" i="15"/>
  <c r="O16" i="14"/>
  <c r="K16" i="15"/>
  <c r="O8" i="14"/>
  <c r="K8" i="15"/>
  <c r="O319" i="14"/>
  <c r="K319" i="15"/>
  <c r="O263" i="14"/>
  <c r="K263" i="15"/>
  <c r="O207" i="14"/>
  <c r="K207" i="15"/>
  <c r="O159" i="14"/>
  <c r="K159" i="15"/>
  <c r="O111" i="14"/>
  <c r="K111" i="15"/>
  <c r="O47" i="14"/>
  <c r="K47" i="15"/>
  <c r="O350" i="14"/>
  <c r="K350" i="15"/>
  <c r="O342" i="14"/>
  <c r="K342" i="15"/>
  <c r="O334" i="14"/>
  <c r="L334" i="15" s="1"/>
  <c r="Q334" i="15" s="1"/>
  <c r="K334" i="15"/>
  <c r="O326" i="14"/>
  <c r="K326" i="15"/>
  <c r="O318" i="14"/>
  <c r="K318" i="15"/>
  <c r="O310" i="14"/>
  <c r="K310" i="15"/>
  <c r="O302" i="14"/>
  <c r="K302" i="15"/>
  <c r="O294" i="14"/>
  <c r="K294" i="15"/>
  <c r="O286" i="14"/>
  <c r="K286" i="15"/>
  <c r="O278" i="14"/>
  <c r="K278" i="15"/>
  <c r="O270" i="14"/>
  <c r="K270" i="15"/>
  <c r="O262" i="14"/>
  <c r="K262" i="15"/>
  <c r="O254" i="14"/>
  <c r="K254" i="15"/>
  <c r="O246" i="14"/>
  <c r="K246" i="15"/>
  <c r="O238" i="14"/>
  <c r="K238" i="15"/>
  <c r="O230" i="14"/>
  <c r="K230" i="15"/>
  <c r="O222" i="14"/>
  <c r="K222" i="15"/>
  <c r="O214" i="14"/>
  <c r="K214" i="15"/>
  <c r="O206" i="14"/>
  <c r="K206" i="15"/>
  <c r="O198" i="14"/>
  <c r="K198" i="15"/>
  <c r="O190" i="14"/>
  <c r="K190" i="15"/>
  <c r="O174" i="14"/>
  <c r="K174" i="15"/>
  <c r="O166" i="14"/>
  <c r="K166" i="15"/>
  <c r="O158" i="14"/>
  <c r="K158" i="15"/>
  <c r="O150" i="14"/>
  <c r="K150" i="15"/>
  <c r="O142" i="14"/>
  <c r="K142" i="15"/>
  <c r="O134" i="14"/>
  <c r="K134" i="15"/>
  <c r="O126" i="14"/>
  <c r="K126" i="15"/>
  <c r="O118" i="14"/>
  <c r="K118" i="15"/>
  <c r="O110" i="14"/>
  <c r="K110" i="15"/>
  <c r="O102" i="14"/>
  <c r="K102" i="15"/>
  <c r="O94" i="14"/>
  <c r="K94" i="15"/>
  <c r="O86" i="14"/>
  <c r="K86" i="15"/>
  <c r="O78" i="14"/>
  <c r="K78" i="15"/>
  <c r="O70" i="14"/>
  <c r="K70" i="15"/>
  <c r="O62" i="14"/>
  <c r="K62" i="15"/>
  <c r="O54" i="14"/>
  <c r="K54" i="15"/>
  <c r="O46" i="14"/>
  <c r="K46" i="15"/>
  <c r="O38" i="14"/>
  <c r="K38" i="15"/>
  <c r="O30" i="14"/>
  <c r="K30" i="15"/>
  <c r="O22" i="14"/>
  <c r="K22" i="15"/>
  <c r="O14" i="14"/>
  <c r="K14" i="15"/>
  <c r="O6" i="14"/>
  <c r="K6" i="15"/>
  <c r="O315" i="14"/>
  <c r="K315" i="15"/>
  <c r="O183" i="14"/>
  <c r="K183" i="15"/>
  <c r="O182" i="14"/>
  <c r="K182" i="15"/>
  <c r="O50" i="14"/>
  <c r="K50" i="15"/>
  <c r="W334" i="15" l="1"/>
  <c r="T334" i="15"/>
  <c r="T258" i="15"/>
  <c r="W258" i="15" s="1"/>
  <c r="M282" i="15"/>
  <c r="Q282" i="15" s="1"/>
  <c r="W282" i="15" s="1"/>
  <c r="P27" i="14"/>
  <c r="L27" i="15"/>
  <c r="T27" i="15" s="1"/>
  <c r="P59" i="14"/>
  <c r="L59" i="15"/>
  <c r="T59" i="15" s="1"/>
  <c r="P91" i="14"/>
  <c r="L91" i="15"/>
  <c r="T91" i="15" s="1"/>
  <c r="P123" i="14"/>
  <c r="L123" i="15"/>
  <c r="T123" i="15" s="1"/>
  <c r="P155" i="14"/>
  <c r="L155" i="15"/>
  <c r="T155" i="15" s="1"/>
  <c r="P187" i="14"/>
  <c r="L187" i="15"/>
  <c r="T187" i="15" s="1"/>
  <c r="P219" i="14"/>
  <c r="L219" i="15"/>
  <c r="T219" i="15" s="1"/>
  <c r="P251" i="14"/>
  <c r="L251" i="15"/>
  <c r="T251" i="15" s="1"/>
  <c r="P283" i="14"/>
  <c r="L283" i="15"/>
  <c r="T283" i="15" s="1"/>
  <c r="P339" i="14"/>
  <c r="L339" i="15"/>
  <c r="T339" i="15" s="1"/>
  <c r="P30" i="14"/>
  <c r="L30" i="15"/>
  <c r="P62" i="14"/>
  <c r="L62" i="15"/>
  <c r="T62" i="15" s="1"/>
  <c r="P94" i="14"/>
  <c r="L94" i="15"/>
  <c r="P126" i="14"/>
  <c r="L126" i="15"/>
  <c r="P158" i="14"/>
  <c r="L158" i="15"/>
  <c r="T158" i="15" s="1"/>
  <c r="P198" i="14"/>
  <c r="L198" i="15"/>
  <c r="T198" i="15" s="1"/>
  <c r="P230" i="14"/>
  <c r="L230" i="15"/>
  <c r="T230" i="15" s="1"/>
  <c r="P262" i="14"/>
  <c r="L262" i="15"/>
  <c r="P294" i="14"/>
  <c r="L294" i="15"/>
  <c r="T294" i="15" s="1"/>
  <c r="P326" i="14"/>
  <c r="L326" i="15"/>
  <c r="P47" i="14"/>
  <c r="L47" i="15"/>
  <c r="P263" i="14"/>
  <c r="L263" i="15"/>
  <c r="P8" i="14"/>
  <c r="L8" i="15"/>
  <c r="T8" i="15" s="1"/>
  <c r="P40" i="14"/>
  <c r="L40" i="15"/>
  <c r="T40" i="15" s="1"/>
  <c r="P72" i="14"/>
  <c r="L72" i="15"/>
  <c r="T72" i="15" s="1"/>
  <c r="P104" i="14"/>
  <c r="L104" i="15"/>
  <c r="P136" i="14"/>
  <c r="L136" i="15"/>
  <c r="T136" i="15" s="1"/>
  <c r="P168" i="14"/>
  <c r="L168" i="15"/>
  <c r="P200" i="14"/>
  <c r="L200" i="15"/>
  <c r="P232" i="14"/>
  <c r="L232" i="15"/>
  <c r="P264" i="14"/>
  <c r="L264" i="15"/>
  <c r="T264" i="15" s="1"/>
  <c r="P296" i="14"/>
  <c r="L296" i="15"/>
  <c r="T296" i="15" s="1"/>
  <c r="P328" i="14"/>
  <c r="L328" i="15"/>
  <c r="T328" i="15" s="1"/>
  <c r="P15" i="14"/>
  <c r="L15" i="15"/>
  <c r="P279" i="14"/>
  <c r="L279" i="15"/>
  <c r="T279" i="15" s="1"/>
  <c r="P33" i="14"/>
  <c r="L33" i="15"/>
  <c r="P65" i="14"/>
  <c r="L65" i="15"/>
  <c r="P97" i="14"/>
  <c r="L97" i="15"/>
  <c r="P129" i="14"/>
  <c r="L129" i="15"/>
  <c r="T129" i="15" s="1"/>
  <c r="P161" i="14"/>
  <c r="L161" i="15"/>
  <c r="T161" i="15" s="1"/>
  <c r="P193" i="14"/>
  <c r="L193" i="15"/>
  <c r="T193" i="15" s="1"/>
  <c r="P225" i="14"/>
  <c r="L225" i="15"/>
  <c r="P257" i="14"/>
  <c r="L257" i="15"/>
  <c r="T257" i="15" s="1"/>
  <c r="P289" i="14"/>
  <c r="L289" i="15"/>
  <c r="P321" i="14"/>
  <c r="L321" i="15"/>
  <c r="P331" i="14"/>
  <c r="L331" i="15"/>
  <c r="P103" i="14"/>
  <c r="L103" i="15"/>
  <c r="T103" i="15" s="1"/>
  <c r="P303" i="14"/>
  <c r="L303" i="15"/>
  <c r="T303" i="15" s="1"/>
  <c r="P26" i="14"/>
  <c r="L26" i="15"/>
  <c r="T26" i="15" s="1"/>
  <c r="P66" i="14"/>
  <c r="L66" i="15"/>
  <c r="P98" i="14"/>
  <c r="L98" i="15"/>
  <c r="T98" i="15" s="1"/>
  <c r="P130" i="14"/>
  <c r="L130" i="15"/>
  <c r="P162" i="14"/>
  <c r="L162" i="15"/>
  <c r="P194" i="14"/>
  <c r="L194" i="15"/>
  <c r="P226" i="14"/>
  <c r="L226" i="15"/>
  <c r="T226" i="15" s="1"/>
  <c r="P290" i="14"/>
  <c r="L290" i="15"/>
  <c r="T290" i="15" s="1"/>
  <c r="P322" i="14"/>
  <c r="L322" i="15"/>
  <c r="P323" i="14"/>
  <c r="L323" i="15"/>
  <c r="P143" i="14"/>
  <c r="L143" i="15"/>
  <c r="T143" i="15" s="1"/>
  <c r="P12" i="14"/>
  <c r="L12" i="15"/>
  <c r="P44" i="14"/>
  <c r="L44" i="15"/>
  <c r="T44" i="15" s="1"/>
  <c r="P76" i="14"/>
  <c r="L76" i="15"/>
  <c r="T76" i="15" s="1"/>
  <c r="P108" i="14"/>
  <c r="L108" i="15"/>
  <c r="T108" i="15" s="1"/>
  <c r="P140" i="14"/>
  <c r="L140" i="15"/>
  <c r="P172" i="14"/>
  <c r="L172" i="15"/>
  <c r="T172" i="15" s="1"/>
  <c r="P204" i="14"/>
  <c r="L204" i="15"/>
  <c r="P236" i="14"/>
  <c r="L236" i="15"/>
  <c r="P268" i="14"/>
  <c r="L268" i="15"/>
  <c r="P300" i="14"/>
  <c r="L300" i="15"/>
  <c r="T300" i="15" s="1"/>
  <c r="P332" i="14"/>
  <c r="L332" i="15"/>
  <c r="T332" i="15" s="1"/>
  <c r="P71" i="14"/>
  <c r="L71" i="15"/>
  <c r="T71" i="15" s="1"/>
  <c r="P271" i="14"/>
  <c r="L271" i="15"/>
  <c r="P21" i="14"/>
  <c r="L21" i="15"/>
  <c r="T21" i="15" s="1"/>
  <c r="P53" i="14"/>
  <c r="L53" i="15"/>
  <c r="P85" i="14"/>
  <c r="L85" i="15"/>
  <c r="P117" i="14"/>
  <c r="L117" i="15"/>
  <c r="P149" i="14"/>
  <c r="L149" i="15"/>
  <c r="T149" i="15" s="1"/>
  <c r="P181" i="14"/>
  <c r="L181" i="15"/>
  <c r="T181" i="15" s="1"/>
  <c r="P213" i="14"/>
  <c r="L213" i="15"/>
  <c r="T213" i="15" s="1"/>
  <c r="P245" i="14"/>
  <c r="L245" i="15"/>
  <c r="P277" i="14"/>
  <c r="L277" i="15"/>
  <c r="T277" i="15" s="1"/>
  <c r="P309" i="14"/>
  <c r="L309" i="15"/>
  <c r="P341" i="14"/>
  <c r="L341" i="15"/>
  <c r="P167" i="14"/>
  <c r="L167" i="15"/>
  <c r="P3" i="14"/>
  <c r="L3" i="15"/>
  <c r="T3" i="15" s="1"/>
  <c r="P35" i="14"/>
  <c r="L35" i="15"/>
  <c r="P67" i="14"/>
  <c r="L67" i="15"/>
  <c r="P99" i="14"/>
  <c r="L99" i="15"/>
  <c r="P131" i="14"/>
  <c r="L131" i="15"/>
  <c r="T131" i="15" s="1"/>
  <c r="P163" i="14"/>
  <c r="L163" i="15"/>
  <c r="T163" i="15" s="1"/>
  <c r="P195" i="14"/>
  <c r="L195" i="15"/>
  <c r="P227" i="14"/>
  <c r="L227" i="15"/>
  <c r="P259" i="14"/>
  <c r="L259" i="15"/>
  <c r="T259" i="15" s="1"/>
  <c r="P291" i="14"/>
  <c r="L291" i="15"/>
  <c r="P95" i="14"/>
  <c r="L95" i="15"/>
  <c r="P6" i="14"/>
  <c r="L6" i="15"/>
  <c r="T6" i="15" s="1"/>
  <c r="P38" i="14"/>
  <c r="L38" i="15"/>
  <c r="T38" i="15" s="1"/>
  <c r="P70" i="14"/>
  <c r="L70" i="15"/>
  <c r="P102" i="14"/>
  <c r="L102" i="15"/>
  <c r="P134" i="14"/>
  <c r="L134" i="15"/>
  <c r="T134" i="15" s="1"/>
  <c r="P166" i="14"/>
  <c r="L166" i="15"/>
  <c r="P206" i="14"/>
  <c r="L206" i="15"/>
  <c r="T206" i="15" s="1"/>
  <c r="P238" i="14"/>
  <c r="L238" i="15"/>
  <c r="T238" i="15" s="1"/>
  <c r="P270" i="14"/>
  <c r="L270" i="15"/>
  <c r="T270" i="15" s="1"/>
  <c r="P302" i="14"/>
  <c r="L302" i="15"/>
  <c r="T302" i="15" s="1"/>
  <c r="P111" i="14"/>
  <c r="L111" i="15"/>
  <c r="T111" i="15" s="1"/>
  <c r="P319" i="14"/>
  <c r="L319" i="15"/>
  <c r="P16" i="14"/>
  <c r="L16" i="15"/>
  <c r="T16" i="15" s="1"/>
  <c r="P48" i="14"/>
  <c r="L48" i="15"/>
  <c r="P80" i="14"/>
  <c r="L80" i="15"/>
  <c r="T80" i="15" s="1"/>
  <c r="P112" i="14"/>
  <c r="L112" i="15"/>
  <c r="T112" i="15" s="1"/>
  <c r="P144" i="14"/>
  <c r="L144" i="15"/>
  <c r="T144" i="15" s="1"/>
  <c r="P176" i="14"/>
  <c r="L176" i="15"/>
  <c r="T176" i="15" s="1"/>
  <c r="P208" i="14"/>
  <c r="L208" i="15"/>
  <c r="T208" i="15" s="1"/>
  <c r="P240" i="14"/>
  <c r="L240" i="15"/>
  <c r="P272" i="14"/>
  <c r="L272" i="15"/>
  <c r="T272" i="15" s="1"/>
  <c r="P304" i="14"/>
  <c r="L304" i="15"/>
  <c r="P336" i="14"/>
  <c r="L336" i="15"/>
  <c r="T336" i="15" s="1"/>
  <c r="P79" i="14"/>
  <c r="L79" i="15"/>
  <c r="T79" i="15" s="1"/>
  <c r="P327" i="14"/>
  <c r="L327" i="15"/>
  <c r="T327" i="15" s="1"/>
  <c r="P9" i="14"/>
  <c r="L9" i="15"/>
  <c r="T9" i="15" s="1"/>
  <c r="P41" i="14"/>
  <c r="L41" i="15"/>
  <c r="T41" i="15" s="1"/>
  <c r="P73" i="14"/>
  <c r="L73" i="15"/>
  <c r="P105" i="14"/>
  <c r="L105" i="15"/>
  <c r="P137" i="14"/>
  <c r="L137" i="15"/>
  <c r="P169" i="14"/>
  <c r="L169" i="15"/>
  <c r="P201" i="14"/>
  <c r="L201" i="15"/>
  <c r="T201" i="15" s="1"/>
  <c r="P233" i="14"/>
  <c r="L233" i="15"/>
  <c r="T233" i="15" s="1"/>
  <c r="P265" i="14"/>
  <c r="L265" i="15"/>
  <c r="T265" i="15" s="1"/>
  <c r="P297" i="14"/>
  <c r="L297" i="15"/>
  <c r="P329" i="14"/>
  <c r="L329" i="15"/>
  <c r="P7" i="14"/>
  <c r="L7" i="15"/>
  <c r="P151" i="14"/>
  <c r="L151" i="15"/>
  <c r="P34" i="14"/>
  <c r="L34" i="15"/>
  <c r="P74" i="14"/>
  <c r="L74" i="15"/>
  <c r="T74" i="15" s="1"/>
  <c r="P106" i="14"/>
  <c r="L106" i="15"/>
  <c r="T106" i="15" s="1"/>
  <c r="P138" i="14"/>
  <c r="L138" i="15"/>
  <c r="T138" i="15" s="1"/>
  <c r="P170" i="14"/>
  <c r="L170" i="15"/>
  <c r="P202" i="14"/>
  <c r="L202" i="15"/>
  <c r="P234" i="14"/>
  <c r="L234" i="15"/>
  <c r="P266" i="14"/>
  <c r="L266" i="15"/>
  <c r="P298" i="14"/>
  <c r="L298" i="15"/>
  <c r="P330" i="14"/>
  <c r="L330" i="15"/>
  <c r="T330" i="15" s="1"/>
  <c r="P347" i="14"/>
  <c r="L347" i="15"/>
  <c r="T347" i="15" s="1"/>
  <c r="P191" i="14"/>
  <c r="L191" i="15"/>
  <c r="T191" i="15" s="1"/>
  <c r="P20" i="14"/>
  <c r="L20" i="15"/>
  <c r="T20" i="15" s="1"/>
  <c r="P52" i="14"/>
  <c r="L52" i="15"/>
  <c r="T52" i="15" s="1"/>
  <c r="P84" i="14"/>
  <c r="L84" i="15"/>
  <c r="P116" i="14"/>
  <c r="L116" i="15"/>
  <c r="T116" i="15" s="1"/>
  <c r="P148" i="14"/>
  <c r="L148" i="15"/>
  <c r="P180" i="14"/>
  <c r="L180" i="15"/>
  <c r="P212" i="14"/>
  <c r="L212" i="15"/>
  <c r="P244" i="14"/>
  <c r="L244" i="15"/>
  <c r="T244" i="15" s="1"/>
  <c r="P276" i="14"/>
  <c r="L276" i="15"/>
  <c r="T276" i="15" s="1"/>
  <c r="P308" i="14"/>
  <c r="L308" i="15"/>
  <c r="T308" i="15" s="1"/>
  <c r="P340" i="14"/>
  <c r="L340" i="15"/>
  <c r="P127" i="14"/>
  <c r="L127" i="15"/>
  <c r="T127" i="15" s="1"/>
  <c r="P311" i="14"/>
  <c r="L311" i="15"/>
  <c r="P29" i="14"/>
  <c r="L29" i="15"/>
  <c r="P61" i="14"/>
  <c r="L61" i="15"/>
  <c r="P93" i="14"/>
  <c r="L93" i="15"/>
  <c r="T93" i="15" s="1"/>
  <c r="P125" i="14"/>
  <c r="L125" i="15"/>
  <c r="T125" i="15" s="1"/>
  <c r="P157" i="14"/>
  <c r="L157" i="15"/>
  <c r="T157" i="15" s="1"/>
  <c r="P189" i="14"/>
  <c r="L189" i="15"/>
  <c r="P221" i="14"/>
  <c r="L221" i="15"/>
  <c r="T221" i="15" s="1"/>
  <c r="P253" i="14"/>
  <c r="L253" i="15"/>
  <c r="P285" i="14"/>
  <c r="L285" i="15"/>
  <c r="P317" i="14"/>
  <c r="L317" i="15"/>
  <c r="P349" i="14"/>
  <c r="L349" i="15"/>
  <c r="T349" i="15" s="1"/>
  <c r="P215" i="14"/>
  <c r="L215" i="15"/>
  <c r="T215" i="15" s="1"/>
  <c r="P11" i="14"/>
  <c r="L11" i="15"/>
  <c r="P43" i="14"/>
  <c r="L43" i="15"/>
  <c r="T43" i="15" s="1"/>
  <c r="P75" i="14"/>
  <c r="L75" i="15"/>
  <c r="P107" i="14"/>
  <c r="L107" i="15"/>
  <c r="P139" i="14"/>
  <c r="L139" i="15"/>
  <c r="P171" i="14"/>
  <c r="L171" i="15"/>
  <c r="T171" i="15" s="1"/>
  <c r="P203" i="14"/>
  <c r="L203" i="15"/>
  <c r="T203" i="15" s="1"/>
  <c r="P235" i="14"/>
  <c r="L235" i="15"/>
  <c r="T235" i="15" s="1"/>
  <c r="P267" i="14"/>
  <c r="L267" i="15"/>
  <c r="P299" i="14"/>
  <c r="L299" i="15"/>
  <c r="T299" i="15" s="1"/>
  <c r="P335" i="14"/>
  <c r="L335" i="15"/>
  <c r="P14" i="14"/>
  <c r="L14" i="15"/>
  <c r="P46" i="14"/>
  <c r="L46" i="15"/>
  <c r="T46" i="15" s="1"/>
  <c r="P78" i="14"/>
  <c r="L78" i="15"/>
  <c r="T78" i="15" s="1"/>
  <c r="P110" i="14"/>
  <c r="L110" i="15"/>
  <c r="T110" i="15" s="1"/>
  <c r="P142" i="14"/>
  <c r="L142" i="15"/>
  <c r="P174" i="14"/>
  <c r="L174" i="15"/>
  <c r="T174" i="15" s="1"/>
  <c r="P214" i="14"/>
  <c r="L214" i="15"/>
  <c r="P246" i="14"/>
  <c r="L246" i="15"/>
  <c r="P278" i="14"/>
  <c r="L278" i="15"/>
  <c r="P310" i="14"/>
  <c r="L310" i="15"/>
  <c r="T310" i="15" s="1"/>
  <c r="P342" i="14"/>
  <c r="L342" i="15"/>
  <c r="T342" i="15" s="1"/>
  <c r="P159" i="14"/>
  <c r="L159" i="15"/>
  <c r="T159" i="15" s="1"/>
  <c r="P24" i="14"/>
  <c r="L24" i="15"/>
  <c r="P56" i="14"/>
  <c r="L56" i="15"/>
  <c r="T56" i="15" s="1"/>
  <c r="P88" i="14"/>
  <c r="L88" i="15"/>
  <c r="P120" i="14"/>
  <c r="L120" i="15"/>
  <c r="P152" i="14"/>
  <c r="L152" i="15"/>
  <c r="P184" i="14"/>
  <c r="L184" i="15"/>
  <c r="T184" i="15" s="1"/>
  <c r="P216" i="14"/>
  <c r="L216" i="15"/>
  <c r="T216" i="15" s="1"/>
  <c r="P248" i="14"/>
  <c r="L248" i="15"/>
  <c r="T248" i="15" s="1"/>
  <c r="P280" i="14"/>
  <c r="L280" i="15"/>
  <c r="P312" i="14"/>
  <c r="L312" i="15"/>
  <c r="T312" i="15" s="1"/>
  <c r="P344" i="14"/>
  <c r="L344" i="15"/>
  <c r="P135" i="14"/>
  <c r="L135" i="15"/>
  <c r="P343" i="14"/>
  <c r="L343" i="15"/>
  <c r="P17" i="14"/>
  <c r="L17" i="15"/>
  <c r="T17" i="15" s="1"/>
  <c r="P49" i="14"/>
  <c r="L49" i="15"/>
  <c r="T49" i="15" s="1"/>
  <c r="P81" i="14"/>
  <c r="L81" i="15"/>
  <c r="T81" i="15" s="1"/>
  <c r="P113" i="14"/>
  <c r="L113" i="15"/>
  <c r="P145" i="14"/>
  <c r="L145" i="15"/>
  <c r="T145" i="15" s="1"/>
  <c r="P177" i="14"/>
  <c r="L177" i="15"/>
  <c r="P209" i="14"/>
  <c r="L209" i="15"/>
  <c r="P241" i="14"/>
  <c r="L241" i="15"/>
  <c r="P273" i="14"/>
  <c r="L273" i="15"/>
  <c r="T273" i="15" s="1"/>
  <c r="P305" i="14"/>
  <c r="L305" i="15"/>
  <c r="T305" i="15" s="1"/>
  <c r="P337" i="14"/>
  <c r="L337" i="15"/>
  <c r="T337" i="15" s="1"/>
  <c r="P31" i="14"/>
  <c r="L31" i="15"/>
  <c r="P199" i="14"/>
  <c r="L199" i="15"/>
  <c r="T199" i="15" s="1"/>
  <c r="P10" i="14"/>
  <c r="L10" i="15"/>
  <c r="P42" i="14"/>
  <c r="L42" i="15"/>
  <c r="P82" i="14"/>
  <c r="L82" i="15"/>
  <c r="P114" i="14"/>
  <c r="L114" i="15"/>
  <c r="P146" i="14"/>
  <c r="L146" i="15"/>
  <c r="T146" i="15" s="1"/>
  <c r="P178" i="14"/>
  <c r="L178" i="15"/>
  <c r="T178" i="15" s="1"/>
  <c r="P210" i="14"/>
  <c r="L210" i="15"/>
  <c r="P242" i="14"/>
  <c r="L242" i="15"/>
  <c r="T242" i="15" s="1"/>
  <c r="P274" i="14"/>
  <c r="L274" i="15"/>
  <c r="P306" i="14"/>
  <c r="L306" i="15"/>
  <c r="P338" i="14"/>
  <c r="L338" i="15"/>
  <c r="P39" i="14"/>
  <c r="L39" i="15"/>
  <c r="T39" i="15" s="1"/>
  <c r="P239" i="14"/>
  <c r="L239" i="15"/>
  <c r="T239" i="15" s="1"/>
  <c r="P28" i="14"/>
  <c r="L28" i="15"/>
  <c r="P60" i="14"/>
  <c r="L60" i="15"/>
  <c r="P92" i="14"/>
  <c r="L92" i="15"/>
  <c r="T92" i="15" s="1"/>
  <c r="P124" i="14"/>
  <c r="L124" i="15"/>
  <c r="T124" i="15" s="1"/>
  <c r="P156" i="14"/>
  <c r="L156" i="15"/>
  <c r="T156" i="15" s="1"/>
  <c r="P188" i="14"/>
  <c r="L188" i="15"/>
  <c r="P220" i="14"/>
  <c r="L220" i="15"/>
  <c r="P252" i="14"/>
  <c r="L252" i="15"/>
  <c r="P284" i="14"/>
  <c r="L284" i="15"/>
  <c r="P316" i="14"/>
  <c r="L316" i="15"/>
  <c r="P348" i="14"/>
  <c r="L348" i="15"/>
  <c r="T348" i="15" s="1"/>
  <c r="P175" i="14"/>
  <c r="L175" i="15"/>
  <c r="T175" i="15" s="1"/>
  <c r="P5" i="14"/>
  <c r="L5" i="15"/>
  <c r="T5" i="15" s="1"/>
  <c r="P37" i="14"/>
  <c r="L37" i="15"/>
  <c r="P69" i="14"/>
  <c r="L69" i="15"/>
  <c r="P101" i="14"/>
  <c r="L101" i="15"/>
  <c r="P133" i="14"/>
  <c r="M133" i="15" s="1"/>
  <c r="L133" i="15"/>
  <c r="P165" i="14"/>
  <c r="L165" i="15"/>
  <c r="P197" i="14"/>
  <c r="L197" i="15"/>
  <c r="T197" i="15" s="1"/>
  <c r="P229" i="14"/>
  <c r="L229" i="15"/>
  <c r="T229" i="15" s="1"/>
  <c r="P261" i="14"/>
  <c r="L261" i="15"/>
  <c r="T261" i="15" s="1"/>
  <c r="P293" i="14"/>
  <c r="L293" i="15"/>
  <c r="P325" i="14"/>
  <c r="L325" i="15"/>
  <c r="P55" i="14"/>
  <c r="L55" i="15"/>
  <c r="P255" i="14"/>
  <c r="L255" i="15"/>
  <c r="P19" i="14"/>
  <c r="L19" i="15"/>
  <c r="T19" i="15" s="1"/>
  <c r="P51" i="14"/>
  <c r="L51" i="15"/>
  <c r="T51" i="15" s="1"/>
  <c r="P83" i="14"/>
  <c r="L83" i="15"/>
  <c r="P115" i="14"/>
  <c r="L115" i="15"/>
  <c r="T115" i="15" s="1"/>
  <c r="P147" i="14"/>
  <c r="L147" i="15"/>
  <c r="T147" i="15" s="1"/>
  <c r="P179" i="14"/>
  <c r="L179" i="15"/>
  <c r="T179" i="15" s="1"/>
  <c r="P211" i="14"/>
  <c r="L211" i="15"/>
  <c r="P243" i="14"/>
  <c r="L243" i="15"/>
  <c r="T243" i="15" s="1"/>
  <c r="P275" i="14"/>
  <c r="L275" i="15"/>
  <c r="T275" i="15" s="1"/>
  <c r="P307" i="14"/>
  <c r="L307" i="15"/>
  <c r="T307" i="15" s="1"/>
  <c r="P22" i="14"/>
  <c r="L22" i="15"/>
  <c r="T22" i="15" s="1"/>
  <c r="P54" i="14"/>
  <c r="L54" i="15"/>
  <c r="T54" i="15" s="1"/>
  <c r="P86" i="14"/>
  <c r="L86" i="15"/>
  <c r="T86" i="15" s="1"/>
  <c r="P118" i="14"/>
  <c r="L118" i="15"/>
  <c r="P150" i="14"/>
  <c r="L150" i="15"/>
  <c r="P190" i="14"/>
  <c r="L190" i="15"/>
  <c r="T190" i="15" s="1"/>
  <c r="P222" i="14"/>
  <c r="L222" i="15"/>
  <c r="P254" i="14"/>
  <c r="L254" i="15"/>
  <c r="P286" i="14"/>
  <c r="L286" i="15"/>
  <c r="P318" i="14"/>
  <c r="L318" i="15"/>
  <c r="T318" i="15" s="1"/>
  <c r="P350" i="14"/>
  <c r="L350" i="15"/>
  <c r="P207" i="14"/>
  <c r="L207" i="15"/>
  <c r="P32" i="14"/>
  <c r="L32" i="15"/>
  <c r="T32" i="15" s="1"/>
  <c r="P64" i="14"/>
  <c r="L64" i="15"/>
  <c r="T64" i="15" s="1"/>
  <c r="P96" i="14"/>
  <c r="L96" i="15"/>
  <c r="P128" i="14"/>
  <c r="L128" i="15"/>
  <c r="P160" i="14"/>
  <c r="L160" i="15"/>
  <c r="P192" i="14"/>
  <c r="L192" i="15"/>
  <c r="T192" i="15" s="1"/>
  <c r="P224" i="14"/>
  <c r="L224" i="15"/>
  <c r="T224" i="15" s="1"/>
  <c r="P256" i="14"/>
  <c r="L256" i="15"/>
  <c r="P288" i="14"/>
  <c r="L288" i="15"/>
  <c r="T288" i="15" s="1"/>
  <c r="P320" i="14"/>
  <c r="L320" i="15"/>
  <c r="T320" i="15" s="1"/>
  <c r="P2" i="14"/>
  <c r="L2" i="15"/>
  <c r="P231" i="14"/>
  <c r="L231" i="15"/>
  <c r="P351" i="14"/>
  <c r="L351" i="15"/>
  <c r="P25" i="14"/>
  <c r="L25" i="15"/>
  <c r="T25" i="15" s="1"/>
  <c r="P57" i="14"/>
  <c r="L57" i="15"/>
  <c r="P89" i="14"/>
  <c r="L89" i="15"/>
  <c r="P121" i="14"/>
  <c r="L121" i="15"/>
  <c r="T121" i="15" s="1"/>
  <c r="P153" i="14"/>
  <c r="L153" i="15"/>
  <c r="T153" i="15" s="1"/>
  <c r="P185" i="14"/>
  <c r="L185" i="15"/>
  <c r="P217" i="14"/>
  <c r="L217" i="15"/>
  <c r="P249" i="14"/>
  <c r="L249" i="15"/>
  <c r="P281" i="14"/>
  <c r="L281" i="15"/>
  <c r="T281" i="15" s="1"/>
  <c r="P313" i="14"/>
  <c r="L313" i="15"/>
  <c r="T313" i="15" s="1"/>
  <c r="P345" i="14"/>
  <c r="L345" i="15"/>
  <c r="P63" i="14"/>
  <c r="L63" i="15"/>
  <c r="T63" i="15" s="1"/>
  <c r="P247" i="14"/>
  <c r="L247" i="15"/>
  <c r="T247" i="15" s="1"/>
  <c r="P18" i="14"/>
  <c r="L18" i="15"/>
  <c r="P58" i="14"/>
  <c r="L58" i="15"/>
  <c r="P90" i="14"/>
  <c r="L90" i="15"/>
  <c r="P122" i="14"/>
  <c r="L122" i="15"/>
  <c r="T122" i="15" s="1"/>
  <c r="P154" i="14"/>
  <c r="L154" i="15"/>
  <c r="P186" i="14"/>
  <c r="L186" i="15"/>
  <c r="P218" i="14"/>
  <c r="L218" i="15"/>
  <c r="T218" i="15" s="1"/>
  <c r="P250" i="14"/>
  <c r="L250" i="15"/>
  <c r="T250" i="15" s="1"/>
  <c r="P314" i="14"/>
  <c r="L314" i="15"/>
  <c r="P346" i="14"/>
  <c r="L346" i="15"/>
  <c r="P87" i="14"/>
  <c r="L87" i="15"/>
  <c r="P287" i="14"/>
  <c r="L287" i="15"/>
  <c r="T287" i="15" s="1"/>
  <c r="P4" i="14"/>
  <c r="L4" i="15"/>
  <c r="P36" i="14"/>
  <c r="L36" i="15"/>
  <c r="P68" i="14"/>
  <c r="L68" i="15"/>
  <c r="P100" i="14"/>
  <c r="L100" i="15"/>
  <c r="T100" i="15" s="1"/>
  <c r="P132" i="14"/>
  <c r="L132" i="15"/>
  <c r="T132" i="15" s="1"/>
  <c r="P164" i="14"/>
  <c r="L164" i="15"/>
  <c r="T164" i="15" s="1"/>
  <c r="P196" i="14"/>
  <c r="L196" i="15"/>
  <c r="P228" i="14"/>
  <c r="L228" i="15"/>
  <c r="P260" i="14"/>
  <c r="L260" i="15"/>
  <c r="P292" i="14"/>
  <c r="L292" i="15"/>
  <c r="P324" i="14"/>
  <c r="L324" i="15"/>
  <c r="T324" i="15" s="1"/>
  <c r="P23" i="14"/>
  <c r="L23" i="15"/>
  <c r="T23" i="15" s="1"/>
  <c r="P223" i="14"/>
  <c r="L223" i="15"/>
  <c r="P13" i="14"/>
  <c r="L13" i="15"/>
  <c r="T13" i="15" s="1"/>
  <c r="P45" i="14"/>
  <c r="L45" i="15"/>
  <c r="P77" i="14"/>
  <c r="L77" i="15"/>
  <c r="P109" i="14"/>
  <c r="L109" i="15"/>
  <c r="P141" i="14"/>
  <c r="L141" i="15"/>
  <c r="T141" i="15" s="1"/>
  <c r="P173" i="14"/>
  <c r="L173" i="15"/>
  <c r="T173" i="15" s="1"/>
  <c r="P205" i="14"/>
  <c r="L205" i="15"/>
  <c r="T205" i="15" s="1"/>
  <c r="P237" i="14"/>
  <c r="L237" i="15"/>
  <c r="T237" i="15" s="1"/>
  <c r="P269" i="14"/>
  <c r="L269" i="15"/>
  <c r="T269" i="15" s="1"/>
  <c r="P301" i="14"/>
  <c r="L301" i="15"/>
  <c r="P333" i="14"/>
  <c r="L333" i="15"/>
  <c r="P119" i="14"/>
  <c r="L119" i="15"/>
  <c r="P295" i="14"/>
  <c r="L295" i="15"/>
  <c r="T295" i="15" s="1"/>
  <c r="P315" i="14"/>
  <c r="L315" i="15"/>
  <c r="T315" i="15" s="1"/>
  <c r="P182" i="14"/>
  <c r="L182" i="15"/>
  <c r="T182" i="15" s="1"/>
  <c r="P183" i="14"/>
  <c r="L183" i="15"/>
  <c r="T183" i="15" s="1"/>
  <c r="P50" i="14"/>
  <c r="L50" i="15"/>
  <c r="T50" i="15" s="1"/>
  <c r="Q133" i="15" l="1"/>
  <c r="X334" i="15"/>
  <c r="X282" i="15"/>
  <c r="X258" i="15"/>
  <c r="M45" i="15"/>
  <c r="Q45" i="15" s="1"/>
  <c r="R45" i="14"/>
  <c r="O45" i="15" s="1"/>
  <c r="M68" i="15"/>
  <c r="Q68" i="15" s="1"/>
  <c r="R68" i="14"/>
  <c r="O68" i="15" s="1"/>
  <c r="M250" i="15"/>
  <c r="R250" i="14"/>
  <c r="O250" i="15" s="1"/>
  <c r="M153" i="15"/>
  <c r="Q153" i="15" s="1"/>
  <c r="W153" i="15" s="1"/>
  <c r="R153" i="14"/>
  <c r="O153" i="15" s="1"/>
  <c r="M318" i="15"/>
  <c r="Q318" i="15" s="1"/>
  <c r="W318" i="15" s="1"/>
  <c r="R318" i="14"/>
  <c r="O318" i="15" s="1"/>
  <c r="M275" i="15"/>
  <c r="Q275" i="15" s="1"/>
  <c r="W275" i="15" s="1"/>
  <c r="R275" i="14"/>
  <c r="O275" i="15" s="1"/>
  <c r="M19" i="15"/>
  <c r="R19" i="14"/>
  <c r="O19" i="15" s="1"/>
  <c r="M295" i="15"/>
  <c r="R295" i="14"/>
  <c r="O295" i="15" s="1"/>
  <c r="M269" i="15"/>
  <c r="Q269" i="15" s="1"/>
  <c r="W269" i="15" s="1"/>
  <c r="R269" i="14"/>
  <c r="O269" i="15" s="1"/>
  <c r="M141" i="15"/>
  <c r="Q141" i="15" s="1"/>
  <c r="W141" i="15" s="1"/>
  <c r="R141" i="14"/>
  <c r="O141" i="15" s="1"/>
  <c r="M13" i="15"/>
  <c r="Q13" i="15" s="1"/>
  <c r="W13" i="15" s="1"/>
  <c r="R13" i="14"/>
  <c r="O13" i="15" s="1"/>
  <c r="M292" i="15"/>
  <c r="Q292" i="15" s="1"/>
  <c r="R292" i="14"/>
  <c r="O292" i="15" s="1"/>
  <c r="M164" i="15"/>
  <c r="Q164" i="15" s="1"/>
  <c r="W164" i="15" s="1"/>
  <c r="R164" i="14"/>
  <c r="O164" i="15" s="1"/>
  <c r="M36" i="15"/>
  <c r="Q36" i="15" s="1"/>
  <c r="R36" i="14"/>
  <c r="O36" i="15" s="1"/>
  <c r="M87" i="15"/>
  <c r="Q87" i="15" s="1"/>
  <c r="R87" i="14"/>
  <c r="O87" i="15" s="1"/>
  <c r="M218" i="15"/>
  <c r="R218" i="14"/>
  <c r="O218" i="15" s="1"/>
  <c r="M90" i="15"/>
  <c r="Q90" i="15" s="1"/>
  <c r="R90" i="14"/>
  <c r="O90" i="15" s="1"/>
  <c r="M63" i="15"/>
  <c r="Q63" i="15" s="1"/>
  <c r="W63" i="15" s="1"/>
  <c r="R63" i="14"/>
  <c r="O63" i="15" s="1"/>
  <c r="M249" i="15"/>
  <c r="Q249" i="15" s="1"/>
  <c r="R249" i="14"/>
  <c r="O249" i="15" s="1"/>
  <c r="M121" i="15"/>
  <c r="R121" i="14"/>
  <c r="O121" i="15" s="1"/>
  <c r="M351" i="15"/>
  <c r="Q351" i="15" s="1"/>
  <c r="R351" i="14"/>
  <c r="O351" i="15" s="1"/>
  <c r="M288" i="15"/>
  <c r="Q288" i="15" s="1"/>
  <c r="W288" i="15" s="1"/>
  <c r="R288" i="14"/>
  <c r="O288" i="15" s="1"/>
  <c r="M160" i="15"/>
  <c r="Q160" i="15" s="1"/>
  <c r="R160" i="14"/>
  <c r="O160" i="15" s="1"/>
  <c r="M32" i="15"/>
  <c r="R32" i="14"/>
  <c r="O32" i="15" s="1"/>
  <c r="M286" i="15"/>
  <c r="Q286" i="15" s="1"/>
  <c r="R286" i="14"/>
  <c r="O286" i="15" s="1"/>
  <c r="M150" i="15"/>
  <c r="Q150" i="15" s="1"/>
  <c r="R150" i="14"/>
  <c r="O150" i="15" s="1"/>
  <c r="M22" i="15"/>
  <c r="R22" i="14"/>
  <c r="O22" i="15" s="1"/>
  <c r="M293" i="15"/>
  <c r="R293" i="14"/>
  <c r="O293" i="15" s="1"/>
  <c r="M165" i="15"/>
  <c r="Q165" i="15" s="1"/>
  <c r="R165" i="14"/>
  <c r="O165" i="15" s="1"/>
  <c r="M37" i="15"/>
  <c r="Q37" i="15" s="1"/>
  <c r="R37" i="14"/>
  <c r="O37" i="15" s="1"/>
  <c r="M316" i="15"/>
  <c r="Q316" i="15" s="1"/>
  <c r="R316" i="14"/>
  <c r="O316" i="15" s="1"/>
  <c r="M188" i="15"/>
  <c r="Q188" i="15" s="1"/>
  <c r="R188" i="14"/>
  <c r="O188" i="15" s="1"/>
  <c r="M60" i="15"/>
  <c r="Q60" i="15" s="1"/>
  <c r="R60" i="14"/>
  <c r="O60" i="15" s="1"/>
  <c r="M39" i="15"/>
  <c r="Q39" i="15" s="1"/>
  <c r="W39" i="15" s="1"/>
  <c r="R39" i="14"/>
  <c r="O39" i="15" s="1"/>
  <c r="M242" i="15"/>
  <c r="R242" i="14"/>
  <c r="O242" i="15" s="1"/>
  <c r="M114" i="15"/>
  <c r="Q114" i="15" s="1"/>
  <c r="R114" i="14"/>
  <c r="O114" i="15" s="1"/>
  <c r="M199" i="15"/>
  <c r="Q199" i="15" s="1"/>
  <c r="W199" i="15" s="1"/>
  <c r="R199" i="14"/>
  <c r="O199" i="15" s="1"/>
  <c r="M273" i="15"/>
  <c r="Q273" i="15" s="1"/>
  <c r="W273" i="15" s="1"/>
  <c r="R273" i="14"/>
  <c r="O273" i="15" s="1"/>
  <c r="M145" i="15"/>
  <c r="R145" i="14"/>
  <c r="O145" i="15" s="1"/>
  <c r="M17" i="15"/>
  <c r="R17" i="14"/>
  <c r="O17" i="15" s="1"/>
  <c r="M312" i="15"/>
  <c r="Q312" i="15" s="1"/>
  <c r="W312" i="15" s="1"/>
  <c r="R312" i="14"/>
  <c r="O312" i="15" s="1"/>
  <c r="M184" i="15"/>
  <c r="Q184" i="15" s="1"/>
  <c r="W184" i="15" s="1"/>
  <c r="R184" i="14"/>
  <c r="O184" i="15" s="1"/>
  <c r="M56" i="15"/>
  <c r="R56" i="14"/>
  <c r="O56" i="15" s="1"/>
  <c r="M310" i="15"/>
  <c r="R310" i="14"/>
  <c r="O310" i="15" s="1"/>
  <c r="M174" i="15"/>
  <c r="Q174" i="15" s="1"/>
  <c r="W174" i="15" s="1"/>
  <c r="R174" i="14"/>
  <c r="O174" i="15" s="1"/>
  <c r="M46" i="15"/>
  <c r="Q46" i="15" s="1"/>
  <c r="W46" i="15" s="1"/>
  <c r="R46" i="14"/>
  <c r="O46" i="15" s="1"/>
  <c r="M299" i="15"/>
  <c r="R299" i="14"/>
  <c r="O299" i="15" s="1"/>
  <c r="M171" i="15"/>
  <c r="R171" i="14"/>
  <c r="O171" i="15" s="1"/>
  <c r="M43" i="15"/>
  <c r="Q43" i="15" s="1"/>
  <c r="W43" i="15" s="1"/>
  <c r="R43" i="14"/>
  <c r="O43" i="15" s="1"/>
  <c r="M349" i="15"/>
  <c r="Q349" i="15" s="1"/>
  <c r="W349" i="15" s="1"/>
  <c r="R349" i="14"/>
  <c r="O349" i="15" s="1"/>
  <c r="M221" i="15"/>
  <c r="R221" i="14"/>
  <c r="O221" i="15" s="1"/>
  <c r="M93" i="15"/>
  <c r="R93" i="14"/>
  <c r="O93" i="15" s="1"/>
  <c r="M127" i="15"/>
  <c r="Q127" i="15" s="1"/>
  <c r="W127" i="15" s="1"/>
  <c r="R127" i="14"/>
  <c r="O127" i="15" s="1"/>
  <c r="M244" i="15"/>
  <c r="Q244" i="15" s="1"/>
  <c r="W244" i="15" s="1"/>
  <c r="R244" i="14"/>
  <c r="O244" i="15" s="1"/>
  <c r="M116" i="15"/>
  <c r="R116" i="14"/>
  <c r="O116" i="15" s="1"/>
  <c r="T70" i="15"/>
  <c r="M277" i="15"/>
  <c r="R277" i="14"/>
  <c r="O277" i="15" s="1"/>
  <c r="M149" i="15"/>
  <c r="Q149" i="15" s="1"/>
  <c r="W149" i="15" s="1"/>
  <c r="R149" i="14"/>
  <c r="O149" i="15" s="1"/>
  <c r="M21" i="15"/>
  <c r="Q21" i="15" s="1"/>
  <c r="W21" i="15" s="1"/>
  <c r="R21" i="14"/>
  <c r="O21" i="15" s="1"/>
  <c r="M300" i="15"/>
  <c r="R300" i="14"/>
  <c r="O300" i="15" s="1"/>
  <c r="M172" i="15"/>
  <c r="R172" i="14"/>
  <c r="O172" i="15" s="1"/>
  <c r="M44" i="15"/>
  <c r="Q44" i="15" s="1"/>
  <c r="W44" i="15" s="1"/>
  <c r="R44" i="14"/>
  <c r="O44" i="15" s="1"/>
  <c r="M226" i="15"/>
  <c r="Q226" i="15" s="1"/>
  <c r="W226" i="15" s="1"/>
  <c r="R226" i="14"/>
  <c r="O226" i="15" s="1"/>
  <c r="M98" i="15"/>
  <c r="R98" i="14"/>
  <c r="O98" i="15" s="1"/>
  <c r="M103" i="15"/>
  <c r="R103" i="14"/>
  <c r="O103" i="15" s="1"/>
  <c r="M257" i="15"/>
  <c r="Q257" i="15" s="1"/>
  <c r="W257" i="15" s="1"/>
  <c r="R257" i="14"/>
  <c r="O257" i="15" s="1"/>
  <c r="M129" i="15"/>
  <c r="Q129" i="15" s="1"/>
  <c r="W129" i="15" s="1"/>
  <c r="R129" i="14"/>
  <c r="O129" i="15" s="1"/>
  <c r="M279" i="15"/>
  <c r="R279" i="14"/>
  <c r="O279" i="15" s="1"/>
  <c r="M264" i="15"/>
  <c r="R264" i="14"/>
  <c r="O264" i="15" s="1"/>
  <c r="M136" i="15"/>
  <c r="Q136" i="15" s="1"/>
  <c r="W136" i="15" s="1"/>
  <c r="R136" i="14"/>
  <c r="O136" i="15" s="1"/>
  <c r="M8" i="15"/>
  <c r="Q8" i="15" s="1"/>
  <c r="W8" i="15" s="1"/>
  <c r="R8" i="14"/>
  <c r="O8" i="15" s="1"/>
  <c r="M294" i="15"/>
  <c r="R294" i="14"/>
  <c r="O294" i="15" s="1"/>
  <c r="M158" i="15"/>
  <c r="R158" i="14"/>
  <c r="O158" i="15" s="1"/>
  <c r="M30" i="15"/>
  <c r="R30" i="14"/>
  <c r="O30" i="15" s="1"/>
  <c r="M173" i="15"/>
  <c r="Q173" i="15" s="1"/>
  <c r="W173" i="15" s="1"/>
  <c r="R173" i="14"/>
  <c r="O173" i="15" s="1"/>
  <c r="M287" i="15"/>
  <c r="Q287" i="15" s="1"/>
  <c r="W287" i="15" s="1"/>
  <c r="R287" i="14"/>
  <c r="O287" i="15" s="1"/>
  <c r="M320" i="15"/>
  <c r="Q320" i="15" s="1"/>
  <c r="W320" i="15" s="1"/>
  <c r="R320" i="14"/>
  <c r="O320" i="15" s="1"/>
  <c r="T68" i="15"/>
  <c r="M243" i="15"/>
  <c r="Q243" i="15" s="1"/>
  <c r="W243" i="15" s="1"/>
  <c r="R243" i="14"/>
  <c r="O243" i="15" s="1"/>
  <c r="M115" i="15"/>
  <c r="Q115" i="15" s="1"/>
  <c r="W115" i="15" s="1"/>
  <c r="R115" i="14"/>
  <c r="O115" i="15" s="1"/>
  <c r="T87" i="15"/>
  <c r="T249" i="15"/>
  <c r="T351" i="15"/>
  <c r="T160" i="15"/>
  <c r="T286" i="15"/>
  <c r="T210" i="15"/>
  <c r="T31" i="15"/>
  <c r="T113" i="15"/>
  <c r="T280" i="15"/>
  <c r="T24" i="15"/>
  <c r="T142" i="15"/>
  <c r="T267" i="15"/>
  <c r="T11" i="15"/>
  <c r="M298" i="15"/>
  <c r="Q298" i="15" s="1"/>
  <c r="R298" i="14"/>
  <c r="O298" i="15" s="1"/>
  <c r="M170" i="15"/>
  <c r="Q170" i="15" s="1"/>
  <c r="R170" i="14"/>
  <c r="O170" i="15" s="1"/>
  <c r="M34" i="15"/>
  <c r="Q34" i="15" s="1"/>
  <c r="R34" i="14"/>
  <c r="O34" i="15" s="1"/>
  <c r="M297" i="15"/>
  <c r="Q297" i="15" s="1"/>
  <c r="R297" i="14"/>
  <c r="O297" i="15" s="1"/>
  <c r="M169" i="15"/>
  <c r="Q169" i="15" s="1"/>
  <c r="R169" i="14"/>
  <c r="O169" i="15" s="1"/>
  <c r="M41" i="15"/>
  <c r="Q41" i="15" s="1"/>
  <c r="W41" i="15" s="1"/>
  <c r="R41" i="14"/>
  <c r="O41" i="15" s="1"/>
  <c r="M336" i="15"/>
  <c r="Q336" i="15" s="1"/>
  <c r="W336" i="15" s="1"/>
  <c r="R336" i="14"/>
  <c r="O336" i="15" s="1"/>
  <c r="M208" i="15"/>
  <c r="Q208" i="15" s="1"/>
  <c r="W208" i="15" s="1"/>
  <c r="R208" i="14"/>
  <c r="O208" i="15" s="1"/>
  <c r="M80" i="15"/>
  <c r="Q80" i="15" s="1"/>
  <c r="W80" i="15" s="1"/>
  <c r="R80" i="14"/>
  <c r="O80" i="15" s="1"/>
  <c r="M111" i="15"/>
  <c r="Q111" i="15" s="1"/>
  <c r="W111" i="15" s="1"/>
  <c r="R111" i="14"/>
  <c r="O111" i="15" s="1"/>
  <c r="M206" i="15"/>
  <c r="Q206" i="15" s="1"/>
  <c r="W206" i="15" s="1"/>
  <c r="R206" i="14"/>
  <c r="O206" i="15" s="1"/>
  <c r="M70" i="15"/>
  <c r="Q70" i="15" s="1"/>
  <c r="W70" i="15" s="1"/>
  <c r="R70" i="14"/>
  <c r="O70" i="15" s="1"/>
  <c r="M227" i="15"/>
  <c r="Q227" i="15" s="1"/>
  <c r="R227" i="14"/>
  <c r="O227" i="15" s="1"/>
  <c r="M99" i="15"/>
  <c r="Q99" i="15" s="1"/>
  <c r="R99" i="14"/>
  <c r="O99" i="15" s="1"/>
  <c r="M323" i="15"/>
  <c r="Q323" i="15" s="1"/>
  <c r="R323" i="14"/>
  <c r="O323" i="15" s="1"/>
  <c r="M251" i="15"/>
  <c r="Q251" i="15" s="1"/>
  <c r="W251" i="15" s="1"/>
  <c r="R251" i="14"/>
  <c r="O251" i="15" s="1"/>
  <c r="M123" i="15"/>
  <c r="Q123" i="15" s="1"/>
  <c r="W123" i="15" s="1"/>
  <c r="R123" i="14"/>
  <c r="O123" i="15" s="1"/>
  <c r="T323" i="15"/>
  <c r="T66" i="15"/>
  <c r="T225" i="15"/>
  <c r="T15" i="15"/>
  <c r="T104" i="15"/>
  <c r="T262" i="15"/>
  <c r="M25" i="15"/>
  <c r="Q25" i="15" s="1"/>
  <c r="W25" i="15" s="1"/>
  <c r="R25" i="14"/>
  <c r="O25" i="15" s="1"/>
  <c r="T90" i="15"/>
  <c r="M119" i="15"/>
  <c r="Q119" i="15" s="1"/>
  <c r="R119" i="14"/>
  <c r="O119" i="15" s="1"/>
  <c r="M237" i="15"/>
  <c r="Q237" i="15" s="1"/>
  <c r="W237" i="15" s="1"/>
  <c r="R237" i="14"/>
  <c r="O237" i="15" s="1"/>
  <c r="M109" i="15"/>
  <c r="Q109" i="15" s="1"/>
  <c r="R109" i="14"/>
  <c r="O109" i="15" s="1"/>
  <c r="M223" i="15"/>
  <c r="Q223" i="15" s="1"/>
  <c r="R223" i="14"/>
  <c r="O223" i="15" s="1"/>
  <c r="M260" i="15"/>
  <c r="Q260" i="15" s="1"/>
  <c r="R260" i="14"/>
  <c r="O260" i="15" s="1"/>
  <c r="M132" i="15"/>
  <c r="Q132" i="15" s="1"/>
  <c r="W132" i="15" s="1"/>
  <c r="R132" i="14"/>
  <c r="O132" i="15" s="1"/>
  <c r="M4" i="15"/>
  <c r="Q4" i="15" s="1"/>
  <c r="R4" i="14"/>
  <c r="O4" i="15" s="1"/>
  <c r="M346" i="15"/>
  <c r="Q346" i="15" s="1"/>
  <c r="R346" i="14"/>
  <c r="O346" i="15" s="1"/>
  <c r="M186" i="15"/>
  <c r="Q186" i="15" s="1"/>
  <c r="R186" i="14"/>
  <c r="O186" i="15" s="1"/>
  <c r="M58" i="15"/>
  <c r="Q58" i="15" s="1"/>
  <c r="W58" i="15" s="1"/>
  <c r="R58" i="14"/>
  <c r="O58" i="15" s="1"/>
  <c r="M345" i="15"/>
  <c r="Q345" i="15" s="1"/>
  <c r="R345" i="14"/>
  <c r="O345" i="15" s="1"/>
  <c r="M217" i="15"/>
  <c r="Q217" i="15" s="1"/>
  <c r="R217" i="14"/>
  <c r="O217" i="15" s="1"/>
  <c r="M89" i="15"/>
  <c r="Q89" i="15" s="1"/>
  <c r="R89" i="14"/>
  <c r="O89" i="15" s="1"/>
  <c r="M231" i="15"/>
  <c r="Q231" i="15" s="1"/>
  <c r="W231" i="15" s="1"/>
  <c r="R231" i="14"/>
  <c r="O231" i="15" s="1"/>
  <c r="M256" i="15"/>
  <c r="Q256" i="15" s="1"/>
  <c r="R256" i="14"/>
  <c r="O256" i="15" s="1"/>
  <c r="M128" i="15"/>
  <c r="Q128" i="15" s="1"/>
  <c r="R128" i="14"/>
  <c r="O128" i="15" s="1"/>
  <c r="M207" i="15"/>
  <c r="Q207" i="15" s="1"/>
  <c r="R207" i="14"/>
  <c r="O207" i="15" s="1"/>
  <c r="M254" i="15"/>
  <c r="Q254" i="15" s="1"/>
  <c r="R254" i="14"/>
  <c r="O254" i="15" s="1"/>
  <c r="M118" i="15"/>
  <c r="Q118" i="15" s="1"/>
  <c r="R118" i="14"/>
  <c r="O118" i="15" s="1"/>
  <c r="T292" i="15"/>
  <c r="T36" i="15"/>
  <c r="T346" i="15"/>
  <c r="T58" i="15"/>
  <c r="T217" i="15"/>
  <c r="T231" i="15"/>
  <c r="T128" i="15"/>
  <c r="T254" i="15"/>
  <c r="M255" i="15"/>
  <c r="Q255" i="15" s="1"/>
  <c r="R255" i="14"/>
  <c r="O255" i="15" s="1"/>
  <c r="M261" i="15"/>
  <c r="Q261" i="15" s="1"/>
  <c r="W261" i="15" s="1"/>
  <c r="R261" i="14"/>
  <c r="O261" i="15" s="1"/>
  <c r="M5" i="15"/>
  <c r="Q5" i="15" s="1"/>
  <c r="W5" i="15" s="1"/>
  <c r="R5" i="14"/>
  <c r="O5" i="15" s="1"/>
  <c r="M284" i="15"/>
  <c r="Q284" i="15" s="1"/>
  <c r="W284" i="15" s="1"/>
  <c r="R284" i="14"/>
  <c r="O284" i="15" s="1"/>
  <c r="M156" i="15"/>
  <c r="Q156" i="15" s="1"/>
  <c r="W156" i="15" s="1"/>
  <c r="R156" i="14"/>
  <c r="O156" i="15" s="1"/>
  <c r="M28" i="15"/>
  <c r="Q28" i="15" s="1"/>
  <c r="R28" i="14"/>
  <c r="O28" i="15" s="1"/>
  <c r="T83" i="15"/>
  <c r="M338" i="15"/>
  <c r="Q338" i="15" s="1"/>
  <c r="R338" i="14"/>
  <c r="O338" i="15" s="1"/>
  <c r="M210" i="15"/>
  <c r="Q210" i="15" s="1"/>
  <c r="W210" i="15" s="1"/>
  <c r="R210" i="14"/>
  <c r="O210" i="15" s="1"/>
  <c r="M82" i="15"/>
  <c r="Q82" i="15" s="1"/>
  <c r="R82" i="14"/>
  <c r="O82" i="15" s="1"/>
  <c r="M31" i="15"/>
  <c r="Q31" i="15" s="1"/>
  <c r="W31" i="15" s="1"/>
  <c r="R31" i="14"/>
  <c r="O31" i="15" s="1"/>
  <c r="M241" i="15"/>
  <c r="Q241" i="15" s="1"/>
  <c r="R241" i="14"/>
  <c r="O241" i="15" s="1"/>
  <c r="M113" i="15"/>
  <c r="Q113" i="15" s="1"/>
  <c r="W113" i="15" s="1"/>
  <c r="R113" i="14"/>
  <c r="O113" i="15" s="1"/>
  <c r="M343" i="15"/>
  <c r="Q343" i="15" s="1"/>
  <c r="R343" i="14"/>
  <c r="O343" i="15" s="1"/>
  <c r="M280" i="15"/>
  <c r="Q280" i="15" s="1"/>
  <c r="W280" i="15" s="1"/>
  <c r="R280" i="14"/>
  <c r="O280" i="15" s="1"/>
  <c r="M152" i="15"/>
  <c r="Q152" i="15" s="1"/>
  <c r="R152" i="14"/>
  <c r="O152" i="15" s="1"/>
  <c r="M24" i="15"/>
  <c r="Q24" i="15" s="1"/>
  <c r="W24" i="15" s="1"/>
  <c r="R24" i="14"/>
  <c r="O24" i="15" s="1"/>
  <c r="M278" i="15"/>
  <c r="Q278" i="15" s="1"/>
  <c r="R278" i="14"/>
  <c r="O278" i="15" s="1"/>
  <c r="M142" i="15"/>
  <c r="Q142" i="15" s="1"/>
  <c r="R142" i="14"/>
  <c r="O142" i="15" s="1"/>
  <c r="M14" i="15"/>
  <c r="Q14" i="15" s="1"/>
  <c r="R14" i="14"/>
  <c r="O14" i="15" s="1"/>
  <c r="M267" i="15"/>
  <c r="Q267" i="15" s="1"/>
  <c r="W267" i="15" s="1"/>
  <c r="R267" i="14"/>
  <c r="O267" i="15" s="1"/>
  <c r="M139" i="15"/>
  <c r="Q139" i="15" s="1"/>
  <c r="R139" i="14"/>
  <c r="O139" i="15" s="1"/>
  <c r="M11" i="15"/>
  <c r="Q11" i="15" s="1"/>
  <c r="R11" i="14"/>
  <c r="O11" i="15" s="1"/>
  <c r="M317" i="15"/>
  <c r="Q317" i="15" s="1"/>
  <c r="R317" i="14"/>
  <c r="O317" i="15" s="1"/>
  <c r="M189" i="15"/>
  <c r="Q189" i="15" s="1"/>
  <c r="R189" i="14"/>
  <c r="O189" i="15" s="1"/>
  <c r="M61" i="15"/>
  <c r="Q61" i="15" s="1"/>
  <c r="R61" i="14"/>
  <c r="O61" i="15" s="1"/>
  <c r="M340" i="15"/>
  <c r="Q340" i="15" s="1"/>
  <c r="R340" i="14"/>
  <c r="O340" i="15" s="1"/>
  <c r="M212" i="15"/>
  <c r="Q212" i="15" s="1"/>
  <c r="R212" i="14"/>
  <c r="O212" i="15" s="1"/>
  <c r="M84" i="15"/>
  <c r="Q84" i="15" s="1"/>
  <c r="R84" i="14"/>
  <c r="O84" i="15" s="1"/>
  <c r="M167" i="15"/>
  <c r="Q167" i="15" s="1"/>
  <c r="R167" i="14"/>
  <c r="O167" i="15" s="1"/>
  <c r="M245" i="15"/>
  <c r="Q245" i="15" s="1"/>
  <c r="R245" i="14"/>
  <c r="O245" i="15" s="1"/>
  <c r="M117" i="15"/>
  <c r="Q117" i="15" s="1"/>
  <c r="R117" i="14"/>
  <c r="O117" i="15" s="1"/>
  <c r="M271" i="15"/>
  <c r="Q271" i="15" s="1"/>
  <c r="R271" i="14"/>
  <c r="O271" i="15" s="1"/>
  <c r="M268" i="15"/>
  <c r="Q268" i="15" s="1"/>
  <c r="R268" i="14"/>
  <c r="O268" i="15" s="1"/>
  <c r="M140" i="15"/>
  <c r="Q140" i="15" s="1"/>
  <c r="R140" i="14"/>
  <c r="O140" i="15" s="1"/>
  <c r="M12" i="15"/>
  <c r="Q12" i="15" s="1"/>
  <c r="W12" i="15" s="1"/>
  <c r="R12" i="14"/>
  <c r="O12" i="15" s="1"/>
  <c r="T99" i="15"/>
  <c r="M194" i="15"/>
  <c r="Q194" i="15" s="1"/>
  <c r="R194" i="14"/>
  <c r="O194" i="15" s="1"/>
  <c r="M66" i="15"/>
  <c r="Q66" i="15" s="1"/>
  <c r="W66" i="15" s="1"/>
  <c r="R66" i="14"/>
  <c r="O66" i="15" s="1"/>
  <c r="M331" i="15"/>
  <c r="Q331" i="15" s="1"/>
  <c r="R331" i="14"/>
  <c r="O331" i="15" s="1"/>
  <c r="M225" i="15"/>
  <c r="Q225" i="15" s="1"/>
  <c r="W225" i="15" s="1"/>
  <c r="R225" i="14"/>
  <c r="O225" i="15" s="1"/>
  <c r="M97" i="15"/>
  <c r="Q97" i="15" s="1"/>
  <c r="R97" i="14"/>
  <c r="O97" i="15" s="1"/>
  <c r="M15" i="15"/>
  <c r="Q15" i="15" s="1"/>
  <c r="R15" i="14"/>
  <c r="O15" i="15" s="1"/>
  <c r="M232" i="15"/>
  <c r="Q232" i="15" s="1"/>
  <c r="R232" i="14"/>
  <c r="O232" i="15" s="1"/>
  <c r="M104" i="15"/>
  <c r="Q104" i="15" s="1"/>
  <c r="W104" i="15" s="1"/>
  <c r="R104" i="14"/>
  <c r="O104" i="15" s="1"/>
  <c r="M263" i="15"/>
  <c r="Q263" i="15" s="1"/>
  <c r="R263" i="14"/>
  <c r="O263" i="15" s="1"/>
  <c r="M262" i="15"/>
  <c r="Q262" i="15" s="1"/>
  <c r="R262" i="14"/>
  <c r="O262" i="15" s="1"/>
  <c r="M126" i="15"/>
  <c r="Q126" i="15" s="1"/>
  <c r="R126" i="14"/>
  <c r="O126" i="15" s="1"/>
  <c r="T322" i="15"/>
  <c r="M196" i="15"/>
  <c r="Q196" i="15" s="1"/>
  <c r="R196" i="14"/>
  <c r="O196" i="15" s="1"/>
  <c r="T119" i="15"/>
  <c r="T260" i="15"/>
  <c r="M211" i="15"/>
  <c r="Q211" i="15" s="1"/>
  <c r="R211" i="14"/>
  <c r="O211" i="15" s="1"/>
  <c r="T314" i="15"/>
  <c r="T185" i="15"/>
  <c r="T96" i="15"/>
  <c r="T222" i="15"/>
  <c r="T165" i="15"/>
  <c r="T316" i="15"/>
  <c r="T60" i="15"/>
  <c r="M191" i="15"/>
  <c r="Q191" i="15" s="1"/>
  <c r="W191" i="15" s="1"/>
  <c r="R191" i="14"/>
  <c r="O191" i="15" s="1"/>
  <c r="M266" i="15"/>
  <c r="Q266" i="15" s="1"/>
  <c r="R266" i="14"/>
  <c r="O266" i="15" s="1"/>
  <c r="M138" i="15"/>
  <c r="Q138" i="15" s="1"/>
  <c r="W138" i="15" s="1"/>
  <c r="R138" i="14"/>
  <c r="O138" i="15" s="1"/>
  <c r="M151" i="15"/>
  <c r="Q151" i="15" s="1"/>
  <c r="R151" i="14"/>
  <c r="O151" i="15" s="1"/>
  <c r="M265" i="15"/>
  <c r="Q265" i="15" s="1"/>
  <c r="W265" i="15" s="1"/>
  <c r="R265" i="14"/>
  <c r="O265" i="15" s="1"/>
  <c r="M137" i="15"/>
  <c r="Q137" i="15" s="1"/>
  <c r="W137" i="15" s="1"/>
  <c r="R137" i="14"/>
  <c r="O137" i="15" s="1"/>
  <c r="M9" i="15"/>
  <c r="Q9" i="15" s="1"/>
  <c r="W9" i="15" s="1"/>
  <c r="R9" i="14"/>
  <c r="O9" i="15" s="1"/>
  <c r="M304" i="15"/>
  <c r="Q304" i="15" s="1"/>
  <c r="R304" i="14"/>
  <c r="O304" i="15" s="1"/>
  <c r="M176" i="15"/>
  <c r="Q176" i="15" s="1"/>
  <c r="W176" i="15" s="1"/>
  <c r="R176" i="14"/>
  <c r="O176" i="15" s="1"/>
  <c r="M48" i="15"/>
  <c r="Q48" i="15" s="1"/>
  <c r="R48" i="14"/>
  <c r="O48" i="15" s="1"/>
  <c r="M302" i="15"/>
  <c r="Q302" i="15" s="1"/>
  <c r="W302" i="15" s="1"/>
  <c r="R302" i="14"/>
  <c r="O302" i="15" s="1"/>
  <c r="M166" i="15"/>
  <c r="Q166" i="15" s="1"/>
  <c r="R166" i="14"/>
  <c r="O166" i="15" s="1"/>
  <c r="M38" i="15"/>
  <c r="Q38" i="15" s="1"/>
  <c r="W38" i="15" s="1"/>
  <c r="R38" i="14"/>
  <c r="O38" i="15" s="1"/>
  <c r="T317" i="15"/>
  <c r="T61" i="15"/>
  <c r="T212" i="15"/>
  <c r="M95" i="15"/>
  <c r="Q95" i="15" s="1"/>
  <c r="R95" i="14"/>
  <c r="O95" i="15" s="1"/>
  <c r="M195" i="15"/>
  <c r="Q195" i="15" s="1"/>
  <c r="R195" i="14"/>
  <c r="O195" i="15" s="1"/>
  <c r="M67" i="15"/>
  <c r="Q67" i="15" s="1"/>
  <c r="W67" i="15" s="1"/>
  <c r="R67" i="14"/>
  <c r="O67" i="15" s="1"/>
  <c r="T298" i="15"/>
  <c r="T34" i="15"/>
  <c r="T169" i="15"/>
  <c r="T95" i="15"/>
  <c r="T67" i="15"/>
  <c r="M322" i="15"/>
  <c r="Q322" i="15" s="1"/>
  <c r="R322" i="14"/>
  <c r="O322" i="15" s="1"/>
  <c r="T167" i="15"/>
  <c r="T117" i="15"/>
  <c r="T268" i="15"/>
  <c r="T12" i="15"/>
  <c r="M219" i="15"/>
  <c r="Q219" i="15" s="1"/>
  <c r="W219" i="15" s="1"/>
  <c r="R219" i="14"/>
  <c r="O219" i="15" s="1"/>
  <c r="M91" i="15"/>
  <c r="Q91" i="15" s="1"/>
  <c r="W91" i="15" s="1"/>
  <c r="R91" i="14"/>
  <c r="O91" i="15" s="1"/>
  <c r="M301" i="15"/>
  <c r="Q301" i="15" s="1"/>
  <c r="R301" i="14"/>
  <c r="O301" i="15" s="1"/>
  <c r="M324" i="15"/>
  <c r="R324" i="14"/>
  <c r="O324" i="15" s="1"/>
  <c r="M247" i="15"/>
  <c r="Q247" i="15" s="1"/>
  <c r="W247" i="15" s="1"/>
  <c r="R247" i="14"/>
  <c r="O247" i="15" s="1"/>
  <c r="M190" i="15"/>
  <c r="Q190" i="15" s="1"/>
  <c r="W190" i="15" s="1"/>
  <c r="R190" i="14"/>
  <c r="O190" i="15" s="1"/>
  <c r="T109" i="15"/>
  <c r="T4" i="15"/>
  <c r="M83" i="15"/>
  <c r="Q83" i="15" s="1"/>
  <c r="R83" i="14"/>
  <c r="O83" i="15" s="1"/>
  <c r="T18" i="15"/>
  <c r="T2" i="15"/>
  <c r="M333" i="15"/>
  <c r="Q333" i="15" s="1"/>
  <c r="W333" i="15" s="1"/>
  <c r="R333" i="14"/>
  <c r="O333" i="15" s="1"/>
  <c r="M205" i="15"/>
  <c r="Q205" i="15" s="1"/>
  <c r="W205" i="15" s="1"/>
  <c r="R205" i="14"/>
  <c r="O205" i="15" s="1"/>
  <c r="M77" i="15"/>
  <c r="Q77" i="15" s="1"/>
  <c r="W77" i="15" s="1"/>
  <c r="R77" i="14"/>
  <c r="O77" i="15" s="1"/>
  <c r="M23" i="15"/>
  <c r="Q23" i="15" s="1"/>
  <c r="W23" i="15" s="1"/>
  <c r="R23" i="14"/>
  <c r="O23" i="15" s="1"/>
  <c r="M228" i="15"/>
  <c r="Q228" i="15" s="1"/>
  <c r="W228" i="15" s="1"/>
  <c r="R228" i="14"/>
  <c r="O228" i="15" s="1"/>
  <c r="M100" i="15"/>
  <c r="Q100" i="15" s="1"/>
  <c r="W100" i="15" s="1"/>
  <c r="R100" i="14"/>
  <c r="O100" i="15" s="1"/>
  <c r="M314" i="15"/>
  <c r="Q314" i="15" s="1"/>
  <c r="W314" i="15" s="1"/>
  <c r="R314" i="14"/>
  <c r="O314" i="15" s="1"/>
  <c r="M154" i="15"/>
  <c r="Q154" i="15" s="1"/>
  <c r="R154" i="14"/>
  <c r="O154" i="15" s="1"/>
  <c r="M18" i="15"/>
  <c r="Q18" i="15" s="1"/>
  <c r="W18" i="15" s="1"/>
  <c r="R18" i="14"/>
  <c r="O18" i="15" s="1"/>
  <c r="M313" i="15"/>
  <c r="Q313" i="15" s="1"/>
  <c r="W313" i="15" s="1"/>
  <c r="R313" i="14"/>
  <c r="O313" i="15" s="1"/>
  <c r="M185" i="15"/>
  <c r="Q185" i="15" s="1"/>
  <c r="R185" i="14"/>
  <c r="O185" i="15" s="1"/>
  <c r="M57" i="15"/>
  <c r="Q57" i="15" s="1"/>
  <c r="R57" i="14"/>
  <c r="O57" i="15" s="1"/>
  <c r="M2" i="15"/>
  <c r="Q2" i="15" s="1"/>
  <c r="W2" i="15" s="1"/>
  <c r="R2" i="14"/>
  <c r="O2" i="15" s="1"/>
  <c r="M224" i="15"/>
  <c r="Q224" i="15" s="1"/>
  <c r="W224" i="15" s="1"/>
  <c r="R224" i="14"/>
  <c r="O224" i="15" s="1"/>
  <c r="M96" i="15"/>
  <c r="Q96" i="15" s="1"/>
  <c r="R96" i="14"/>
  <c r="O96" i="15" s="1"/>
  <c r="M350" i="15"/>
  <c r="Q350" i="15" s="1"/>
  <c r="R350" i="14"/>
  <c r="O350" i="15" s="1"/>
  <c r="M222" i="15"/>
  <c r="Q222" i="15" s="1"/>
  <c r="W222" i="15" s="1"/>
  <c r="R222" i="14"/>
  <c r="O222" i="15" s="1"/>
  <c r="M86" i="15"/>
  <c r="Q86" i="15" s="1"/>
  <c r="W86" i="15" s="1"/>
  <c r="R86" i="14"/>
  <c r="O86" i="15" s="1"/>
  <c r="T333" i="15"/>
  <c r="T77" i="15"/>
  <c r="T228" i="15"/>
  <c r="M55" i="15"/>
  <c r="Q55" i="15" s="1"/>
  <c r="R55" i="14"/>
  <c r="O55" i="15" s="1"/>
  <c r="M229" i="15"/>
  <c r="Q229" i="15" s="1"/>
  <c r="W229" i="15" s="1"/>
  <c r="R229" i="14"/>
  <c r="O229" i="15" s="1"/>
  <c r="M101" i="15"/>
  <c r="Q101" i="15" s="1"/>
  <c r="W101" i="15" s="1"/>
  <c r="R101" i="14"/>
  <c r="O101" i="15" s="1"/>
  <c r="M175" i="15"/>
  <c r="Q175" i="15" s="1"/>
  <c r="W175" i="15" s="1"/>
  <c r="R175" i="14"/>
  <c r="O175" i="15" s="1"/>
  <c r="M252" i="15"/>
  <c r="Q252" i="15" s="1"/>
  <c r="R252" i="14"/>
  <c r="O252" i="15" s="1"/>
  <c r="M124" i="15"/>
  <c r="Q124" i="15" s="1"/>
  <c r="W124" i="15" s="1"/>
  <c r="R124" i="14"/>
  <c r="O124" i="15" s="1"/>
  <c r="M306" i="15"/>
  <c r="Q306" i="15" s="1"/>
  <c r="R306" i="14"/>
  <c r="O306" i="15" s="1"/>
  <c r="M178" i="15"/>
  <c r="Q178" i="15" s="1"/>
  <c r="W178" i="15" s="1"/>
  <c r="R178" i="14"/>
  <c r="O178" i="15" s="1"/>
  <c r="M42" i="15"/>
  <c r="Q42" i="15" s="1"/>
  <c r="R42" i="14"/>
  <c r="O42" i="15" s="1"/>
  <c r="M337" i="15"/>
  <c r="Q337" i="15" s="1"/>
  <c r="W337" i="15" s="1"/>
  <c r="R337" i="14"/>
  <c r="O337" i="15" s="1"/>
  <c r="M209" i="15"/>
  <c r="Q209" i="15" s="1"/>
  <c r="R209" i="14"/>
  <c r="O209" i="15" s="1"/>
  <c r="M81" i="15"/>
  <c r="Q81" i="15" s="1"/>
  <c r="W81" i="15" s="1"/>
  <c r="R81" i="14"/>
  <c r="O81" i="15" s="1"/>
  <c r="M135" i="15"/>
  <c r="Q135" i="15" s="1"/>
  <c r="R135" i="14"/>
  <c r="O135" i="15" s="1"/>
  <c r="M248" i="15"/>
  <c r="Q248" i="15" s="1"/>
  <c r="W248" i="15" s="1"/>
  <c r="R248" i="14"/>
  <c r="O248" i="15" s="1"/>
  <c r="M120" i="15"/>
  <c r="Q120" i="15" s="1"/>
  <c r="R120" i="14"/>
  <c r="O120" i="15" s="1"/>
  <c r="M159" i="15"/>
  <c r="Q159" i="15" s="1"/>
  <c r="W159" i="15" s="1"/>
  <c r="R159" i="14"/>
  <c r="O159" i="15" s="1"/>
  <c r="M246" i="15"/>
  <c r="Q246" i="15" s="1"/>
  <c r="R246" i="14"/>
  <c r="O246" i="15" s="1"/>
  <c r="M110" i="15"/>
  <c r="Q110" i="15" s="1"/>
  <c r="W110" i="15" s="1"/>
  <c r="R110" i="14"/>
  <c r="O110" i="15" s="1"/>
  <c r="T255" i="15"/>
  <c r="T133" i="15"/>
  <c r="T284" i="15"/>
  <c r="T28" i="15"/>
  <c r="M235" i="15"/>
  <c r="Q235" i="15" s="1"/>
  <c r="W235" i="15" s="1"/>
  <c r="R235" i="14"/>
  <c r="O235" i="15" s="1"/>
  <c r="M107" i="15"/>
  <c r="Q107" i="15" s="1"/>
  <c r="R107" i="14"/>
  <c r="O107" i="15" s="1"/>
  <c r="T114" i="15"/>
  <c r="T14" i="15"/>
  <c r="M285" i="15"/>
  <c r="Q285" i="15" s="1"/>
  <c r="R285" i="14"/>
  <c r="O285" i="15" s="1"/>
  <c r="M157" i="15"/>
  <c r="Q157" i="15" s="1"/>
  <c r="W157" i="15" s="1"/>
  <c r="R157" i="14"/>
  <c r="O157" i="15" s="1"/>
  <c r="M29" i="15"/>
  <c r="Q29" i="15" s="1"/>
  <c r="R29" i="14"/>
  <c r="O29" i="15" s="1"/>
  <c r="M308" i="15"/>
  <c r="Q308" i="15" s="1"/>
  <c r="W308" i="15" s="1"/>
  <c r="R308" i="14"/>
  <c r="O308" i="15" s="1"/>
  <c r="M180" i="15"/>
  <c r="Q180" i="15" s="1"/>
  <c r="R180" i="14"/>
  <c r="O180" i="15" s="1"/>
  <c r="M52" i="15"/>
  <c r="Q52" i="15" s="1"/>
  <c r="W52" i="15" s="1"/>
  <c r="R52" i="14"/>
  <c r="O52" i="15" s="1"/>
  <c r="T285" i="15"/>
  <c r="T29" i="15"/>
  <c r="T180" i="15"/>
  <c r="T266" i="15"/>
  <c r="T151" i="15"/>
  <c r="T137" i="15"/>
  <c r="T304" i="15"/>
  <c r="T48" i="15"/>
  <c r="T166" i="15"/>
  <c r="M341" i="15"/>
  <c r="Q341" i="15" s="1"/>
  <c r="W341" i="15" s="1"/>
  <c r="R341" i="14"/>
  <c r="O341" i="15" s="1"/>
  <c r="M213" i="15"/>
  <c r="Q213" i="15" s="1"/>
  <c r="W213" i="15" s="1"/>
  <c r="R213" i="14"/>
  <c r="O213" i="15" s="1"/>
  <c r="M85" i="15"/>
  <c r="Q85" i="15" s="1"/>
  <c r="R85" i="14"/>
  <c r="O85" i="15" s="1"/>
  <c r="M71" i="15"/>
  <c r="Q71" i="15" s="1"/>
  <c r="W71" i="15" s="1"/>
  <c r="R71" i="14"/>
  <c r="O71" i="15" s="1"/>
  <c r="M236" i="15"/>
  <c r="Q236" i="15" s="1"/>
  <c r="R236" i="14"/>
  <c r="O236" i="15" s="1"/>
  <c r="M108" i="15"/>
  <c r="Q108" i="15" s="1"/>
  <c r="W108" i="15" s="1"/>
  <c r="R108" i="14"/>
  <c r="O108" i="15" s="1"/>
  <c r="T291" i="15"/>
  <c r="T35" i="15"/>
  <c r="M162" i="15"/>
  <c r="Q162" i="15" s="1"/>
  <c r="R162" i="14"/>
  <c r="O162" i="15" s="1"/>
  <c r="M26" i="15"/>
  <c r="Q26" i="15" s="1"/>
  <c r="W26" i="15" s="1"/>
  <c r="R26" i="14"/>
  <c r="O26" i="15" s="1"/>
  <c r="M321" i="15"/>
  <c r="Q321" i="15" s="1"/>
  <c r="R321" i="14"/>
  <c r="O321" i="15" s="1"/>
  <c r="M193" i="15"/>
  <c r="Q193" i="15" s="1"/>
  <c r="W193" i="15" s="1"/>
  <c r="R193" i="14"/>
  <c r="O193" i="15" s="1"/>
  <c r="M65" i="15"/>
  <c r="Q65" i="15" s="1"/>
  <c r="R65" i="14"/>
  <c r="O65" i="15" s="1"/>
  <c r="M328" i="15"/>
  <c r="Q328" i="15" s="1"/>
  <c r="W328" i="15" s="1"/>
  <c r="R328" i="14"/>
  <c r="O328" i="15" s="1"/>
  <c r="M200" i="15"/>
  <c r="Q200" i="15" s="1"/>
  <c r="R200" i="14"/>
  <c r="O200" i="15" s="1"/>
  <c r="M72" i="15"/>
  <c r="Q72" i="15" s="1"/>
  <c r="W72" i="15" s="1"/>
  <c r="R72" i="14"/>
  <c r="O72" i="15" s="1"/>
  <c r="M47" i="15"/>
  <c r="Q47" i="15" s="1"/>
  <c r="R47" i="14"/>
  <c r="O47" i="15" s="1"/>
  <c r="M230" i="15"/>
  <c r="Q230" i="15" s="1"/>
  <c r="W230" i="15" s="1"/>
  <c r="R230" i="14"/>
  <c r="O230" i="15" s="1"/>
  <c r="M94" i="15"/>
  <c r="Q94" i="15" s="1"/>
  <c r="R94" i="14"/>
  <c r="O94" i="15" s="1"/>
  <c r="T341" i="15"/>
  <c r="T85" i="15"/>
  <c r="T236" i="15"/>
  <c r="Q250" i="15"/>
  <c r="W250" i="15" s="1"/>
  <c r="T301" i="15"/>
  <c r="T45" i="15"/>
  <c r="T196" i="15"/>
  <c r="M307" i="15"/>
  <c r="Q307" i="15" s="1"/>
  <c r="W307" i="15" s="1"/>
  <c r="R307" i="14"/>
  <c r="O307" i="15" s="1"/>
  <c r="M179" i="15"/>
  <c r="Q179" i="15" s="1"/>
  <c r="W179" i="15" s="1"/>
  <c r="R179" i="14"/>
  <c r="O179" i="15" s="1"/>
  <c r="M51" i="15"/>
  <c r="Q51" i="15" s="1"/>
  <c r="W51" i="15" s="1"/>
  <c r="R51" i="14"/>
  <c r="O51" i="15" s="1"/>
  <c r="T150" i="15"/>
  <c r="T55" i="15"/>
  <c r="T101" i="15"/>
  <c r="T252" i="15"/>
  <c r="T338" i="15"/>
  <c r="T82" i="15"/>
  <c r="T241" i="15"/>
  <c r="T343" i="15"/>
  <c r="T152" i="15"/>
  <c r="T278" i="15"/>
  <c r="T139" i="15"/>
  <c r="M347" i="15"/>
  <c r="Q347" i="15" s="1"/>
  <c r="W347" i="15" s="1"/>
  <c r="R347" i="14"/>
  <c r="O347" i="15" s="1"/>
  <c r="M234" i="15"/>
  <c r="Q234" i="15" s="1"/>
  <c r="W234" i="15" s="1"/>
  <c r="R234" i="14"/>
  <c r="O234" i="15" s="1"/>
  <c r="M106" i="15"/>
  <c r="Q106" i="15" s="1"/>
  <c r="W106" i="15" s="1"/>
  <c r="R106" i="14"/>
  <c r="O106" i="15" s="1"/>
  <c r="M7" i="15"/>
  <c r="Q7" i="15" s="1"/>
  <c r="R7" i="14"/>
  <c r="O7" i="15" s="1"/>
  <c r="M233" i="15"/>
  <c r="Q233" i="15" s="1"/>
  <c r="W233" i="15" s="1"/>
  <c r="R233" i="14"/>
  <c r="O233" i="15" s="1"/>
  <c r="M105" i="15"/>
  <c r="Q105" i="15" s="1"/>
  <c r="R105" i="14"/>
  <c r="O105" i="15" s="1"/>
  <c r="M327" i="15"/>
  <c r="Q327" i="15" s="1"/>
  <c r="W327" i="15" s="1"/>
  <c r="R327" i="14"/>
  <c r="O327" i="15" s="1"/>
  <c r="M272" i="15"/>
  <c r="Q272" i="15" s="1"/>
  <c r="W272" i="15" s="1"/>
  <c r="R272" i="14"/>
  <c r="O272" i="15" s="1"/>
  <c r="M144" i="15"/>
  <c r="Q144" i="15" s="1"/>
  <c r="W144" i="15" s="1"/>
  <c r="R144" i="14"/>
  <c r="O144" i="15" s="1"/>
  <c r="M16" i="15"/>
  <c r="Q16" i="15" s="1"/>
  <c r="W16" i="15" s="1"/>
  <c r="R16" i="14"/>
  <c r="O16" i="15" s="1"/>
  <c r="M270" i="15"/>
  <c r="Q270" i="15" s="1"/>
  <c r="W270" i="15" s="1"/>
  <c r="R270" i="14"/>
  <c r="O270" i="15" s="1"/>
  <c r="M134" i="15"/>
  <c r="Q134" i="15" s="1"/>
  <c r="W134" i="15" s="1"/>
  <c r="R134" i="14"/>
  <c r="O134" i="15" s="1"/>
  <c r="M6" i="15"/>
  <c r="Q6" i="15" s="1"/>
  <c r="W6" i="15" s="1"/>
  <c r="R6" i="14"/>
  <c r="O6" i="15" s="1"/>
  <c r="T253" i="15"/>
  <c r="T311" i="15"/>
  <c r="T148" i="15"/>
  <c r="M291" i="15"/>
  <c r="Q291" i="15" s="1"/>
  <c r="W291" i="15" s="1"/>
  <c r="R291" i="14"/>
  <c r="O291" i="15" s="1"/>
  <c r="M163" i="15"/>
  <c r="Q163" i="15" s="1"/>
  <c r="W163" i="15" s="1"/>
  <c r="R163" i="14"/>
  <c r="O163" i="15" s="1"/>
  <c r="M35" i="15"/>
  <c r="Q35" i="15" s="1"/>
  <c r="W35" i="15" s="1"/>
  <c r="R35" i="14"/>
  <c r="O35" i="15" s="1"/>
  <c r="T234" i="15"/>
  <c r="T7" i="15"/>
  <c r="T105" i="15"/>
  <c r="M290" i="15"/>
  <c r="Q290" i="15" s="1"/>
  <c r="W290" i="15" s="1"/>
  <c r="R290" i="14"/>
  <c r="O290" i="15" s="1"/>
  <c r="T309" i="15"/>
  <c r="T53" i="15"/>
  <c r="T204" i="15"/>
  <c r="M339" i="15"/>
  <c r="Q339" i="15" s="1"/>
  <c r="W339" i="15" s="1"/>
  <c r="R339" i="14"/>
  <c r="O339" i="15" s="1"/>
  <c r="M187" i="15"/>
  <c r="Q187" i="15" s="1"/>
  <c r="W187" i="15" s="1"/>
  <c r="R187" i="14"/>
  <c r="O187" i="15" s="1"/>
  <c r="M59" i="15"/>
  <c r="Q59" i="15" s="1"/>
  <c r="W59" i="15" s="1"/>
  <c r="R59" i="14"/>
  <c r="O59" i="15" s="1"/>
  <c r="T194" i="15"/>
  <c r="T331" i="15"/>
  <c r="T97" i="15"/>
  <c r="T232" i="15"/>
  <c r="T263" i="15"/>
  <c r="T126" i="15"/>
  <c r="Q19" i="15"/>
  <c r="W19" i="15" s="1"/>
  <c r="T186" i="15"/>
  <c r="T345" i="15"/>
  <c r="T89" i="15"/>
  <c r="T256" i="15"/>
  <c r="T207" i="15"/>
  <c r="T118" i="15"/>
  <c r="M325" i="15"/>
  <c r="Q325" i="15" s="1"/>
  <c r="R325" i="14"/>
  <c r="O325" i="15" s="1"/>
  <c r="M197" i="15"/>
  <c r="Q197" i="15" s="1"/>
  <c r="W197" i="15" s="1"/>
  <c r="R197" i="14"/>
  <c r="O197" i="15" s="1"/>
  <c r="M69" i="15"/>
  <c r="Q69" i="15" s="1"/>
  <c r="W69" i="15" s="1"/>
  <c r="R69" i="14"/>
  <c r="O69" i="15" s="1"/>
  <c r="M348" i="15"/>
  <c r="Q348" i="15" s="1"/>
  <c r="W348" i="15" s="1"/>
  <c r="R348" i="14"/>
  <c r="O348" i="15" s="1"/>
  <c r="M220" i="15"/>
  <c r="Q220" i="15" s="1"/>
  <c r="W220" i="15" s="1"/>
  <c r="R220" i="14"/>
  <c r="O220" i="15" s="1"/>
  <c r="M92" i="15"/>
  <c r="Q92" i="15" s="1"/>
  <c r="W92" i="15" s="1"/>
  <c r="R92" i="14"/>
  <c r="O92" i="15" s="1"/>
  <c r="T211" i="15"/>
  <c r="M239" i="15"/>
  <c r="Q239" i="15" s="1"/>
  <c r="W239" i="15" s="1"/>
  <c r="R239" i="14"/>
  <c r="O239" i="15" s="1"/>
  <c r="M274" i="15"/>
  <c r="Q274" i="15" s="1"/>
  <c r="R274" i="14"/>
  <c r="O274" i="15" s="1"/>
  <c r="M146" i="15"/>
  <c r="Q146" i="15" s="1"/>
  <c r="W146" i="15" s="1"/>
  <c r="R146" i="14"/>
  <c r="O146" i="15" s="1"/>
  <c r="M10" i="15"/>
  <c r="Q10" i="15" s="1"/>
  <c r="R10" i="14"/>
  <c r="O10" i="15" s="1"/>
  <c r="M305" i="15"/>
  <c r="Q305" i="15" s="1"/>
  <c r="W305" i="15" s="1"/>
  <c r="R305" i="14"/>
  <c r="O305" i="15" s="1"/>
  <c r="M177" i="15"/>
  <c r="Q177" i="15" s="1"/>
  <c r="R177" i="14"/>
  <c r="O177" i="15" s="1"/>
  <c r="M49" i="15"/>
  <c r="Q49" i="15" s="1"/>
  <c r="W49" i="15" s="1"/>
  <c r="R49" i="14"/>
  <c r="O49" i="15" s="1"/>
  <c r="M344" i="15"/>
  <c r="Q344" i="15" s="1"/>
  <c r="R344" i="14"/>
  <c r="O344" i="15" s="1"/>
  <c r="M216" i="15"/>
  <c r="Q216" i="15" s="1"/>
  <c r="W216" i="15" s="1"/>
  <c r="R216" i="14"/>
  <c r="O216" i="15" s="1"/>
  <c r="M88" i="15"/>
  <c r="Q88" i="15" s="1"/>
  <c r="W88" i="15" s="1"/>
  <c r="R88" i="14"/>
  <c r="O88" i="15" s="1"/>
  <c r="M342" i="15"/>
  <c r="Q342" i="15" s="1"/>
  <c r="W342" i="15" s="1"/>
  <c r="R342" i="14"/>
  <c r="O342" i="15" s="1"/>
  <c r="M214" i="15"/>
  <c r="Q214" i="15" s="1"/>
  <c r="R214" i="14"/>
  <c r="O214" i="15" s="1"/>
  <c r="M78" i="15"/>
  <c r="Q78" i="15" s="1"/>
  <c r="W78" i="15" s="1"/>
  <c r="R78" i="14"/>
  <c r="O78" i="15" s="1"/>
  <c r="T325" i="15"/>
  <c r="T69" i="15"/>
  <c r="T220" i="15"/>
  <c r="M335" i="15"/>
  <c r="Q335" i="15" s="1"/>
  <c r="R335" i="14"/>
  <c r="O335" i="15" s="1"/>
  <c r="M203" i="15"/>
  <c r="Q203" i="15" s="1"/>
  <c r="W203" i="15" s="1"/>
  <c r="R203" i="14"/>
  <c r="O203" i="15" s="1"/>
  <c r="M75" i="15"/>
  <c r="Q75" i="15" s="1"/>
  <c r="R75" i="14"/>
  <c r="O75" i="15" s="1"/>
  <c r="T306" i="15"/>
  <c r="T42" i="15"/>
  <c r="T209" i="15"/>
  <c r="T135" i="15"/>
  <c r="T120" i="15"/>
  <c r="T246" i="15"/>
  <c r="M215" i="15"/>
  <c r="Q215" i="15" s="1"/>
  <c r="W215" i="15" s="1"/>
  <c r="R215" i="14"/>
  <c r="O215" i="15" s="1"/>
  <c r="M253" i="15"/>
  <c r="Q253" i="15" s="1"/>
  <c r="R253" i="14"/>
  <c r="O253" i="15" s="1"/>
  <c r="M125" i="15"/>
  <c r="Q125" i="15" s="1"/>
  <c r="W125" i="15" s="1"/>
  <c r="R125" i="14"/>
  <c r="O125" i="15" s="1"/>
  <c r="M311" i="15"/>
  <c r="Q311" i="15" s="1"/>
  <c r="W311" i="15" s="1"/>
  <c r="R311" i="14"/>
  <c r="O311" i="15" s="1"/>
  <c r="M276" i="15"/>
  <c r="Q276" i="15" s="1"/>
  <c r="W276" i="15" s="1"/>
  <c r="R276" i="14"/>
  <c r="O276" i="15" s="1"/>
  <c r="M148" i="15"/>
  <c r="Q148" i="15" s="1"/>
  <c r="R148" i="14"/>
  <c r="O148" i="15" s="1"/>
  <c r="M20" i="15"/>
  <c r="Q20" i="15" s="1"/>
  <c r="W20" i="15" s="1"/>
  <c r="R20" i="14"/>
  <c r="O20" i="15" s="1"/>
  <c r="T107" i="15"/>
  <c r="T202" i="15"/>
  <c r="T329" i="15"/>
  <c r="T73" i="15"/>
  <c r="T240" i="15"/>
  <c r="T319" i="15"/>
  <c r="T102" i="15"/>
  <c r="M309" i="15"/>
  <c r="Q309" i="15" s="1"/>
  <c r="R309" i="14"/>
  <c r="O309" i="15" s="1"/>
  <c r="M181" i="15"/>
  <c r="Q181" i="15" s="1"/>
  <c r="W181" i="15" s="1"/>
  <c r="R181" i="14"/>
  <c r="O181" i="15" s="1"/>
  <c r="M53" i="15"/>
  <c r="Q53" i="15" s="1"/>
  <c r="W53" i="15" s="1"/>
  <c r="R53" i="14"/>
  <c r="O53" i="15" s="1"/>
  <c r="M332" i="15"/>
  <c r="Q332" i="15" s="1"/>
  <c r="W332" i="15" s="1"/>
  <c r="R332" i="14"/>
  <c r="O332" i="15" s="1"/>
  <c r="M204" i="15"/>
  <c r="Q204" i="15" s="1"/>
  <c r="R204" i="14"/>
  <c r="O204" i="15" s="1"/>
  <c r="M76" i="15"/>
  <c r="Q76" i="15" s="1"/>
  <c r="W76" i="15" s="1"/>
  <c r="R76" i="14"/>
  <c r="O76" i="15" s="1"/>
  <c r="T227" i="15"/>
  <c r="M130" i="15"/>
  <c r="Q130" i="15" s="1"/>
  <c r="R130" i="14"/>
  <c r="O130" i="15" s="1"/>
  <c r="M303" i="15"/>
  <c r="Q303" i="15" s="1"/>
  <c r="W303" i="15" s="1"/>
  <c r="R303" i="14"/>
  <c r="O303" i="15" s="1"/>
  <c r="M289" i="15"/>
  <c r="Q289" i="15" s="1"/>
  <c r="R289" i="14"/>
  <c r="O289" i="15" s="1"/>
  <c r="M161" i="15"/>
  <c r="Q161" i="15" s="1"/>
  <c r="W161" i="15" s="1"/>
  <c r="R161" i="14"/>
  <c r="O161" i="15" s="1"/>
  <c r="M33" i="15"/>
  <c r="Q33" i="15" s="1"/>
  <c r="R33" i="14"/>
  <c r="O33" i="15" s="1"/>
  <c r="M296" i="15"/>
  <c r="Q296" i="15" s="1"/>
  <c r="W296" i="15" s="1"/>
  <c r="R296" i="14"/>
  <c r="O296" i="15" s="1"/>
  <c r="M168" i="15"/>
  <c r="Q168" i="15" s="1"/>
  <c r="R168" i="14"/>
  <c r="O168" i="15" s="1"/>
  <c r="M40" i="15"/>
  <c r="Q40" i="15" s="1"/>
  <c r="W40" i="15" s="1"/>
  <c r="R40" i="14"/>
  <c r="O40" i="15" s="1"/>
  <c r="M326" i="15"/>
  <c r="Q326" i="15" s="1"/>
  <c r="R326" i="14"/>
  <c r="O326" i="15" s="1"/>
  <c r="M198" i="15"/>
  <c r="Q198" i="15" s="1"/>
  <c r="W198" i="15" s="1"/>
  <c r="R198" i="14"/>
  <c r="O198" i="15" s="1"/>
  <c r="M62" i="15"/>
  <c r="Q62" i="15" s="1"/>
  <c r="W62" i="15" s="1"/>
  <c r="R62" i="14"/>
  <c r="O62" i="15" s="1"/>
  <c r="T162" i="15"/>
  <c r="T321" i="15"/>
  <c r="T65" i="15"/>
  <c r="T200" i="15"/>
  <c r="T47" i="15"/>
  <c r="T94" i="15"/>
  <c r="Q324" i="15"/>
  <c r="W324" i="15" s="1"/>
  <c r="M122" i="15"/>
  <c r="Q122" i="15" s="1"/>
  <c r="W122" i="15" s="1"/>
  <c r="R122" i="14"/>
  <c r="O122" i="15" s="1"/>
  <c r="M281" i="15"/>
  <c r="Q281" i="15" s="1"/>
  <c r="W281" i="15" s="1"/>
  <c r="R281" i="14"/>
  <c r="O281" i="15" s="1"/>
  <c r="M192" i="15"/>
  <c r="Q192" i="15" s="1"/>
  <c r="W192" i="15" s="1"/>
  <c r="R192" i="14"/>
  <c r="O192" i="15" s="1"/>
  <c r="M64" i="15"/>
  <c r="Q64" i="15" s="1"/>
  <c r="W64" i="15" s="1"/>
  <c r="R64" i="14"/>
  <c r="O64" i="15" s="1"/>
  <c r="M54" i="15"/>
  <c r="Q54" i="15" s="1"/>
  <c r="W54" i="15" s="1"/>
  <c r="R54" i="14"/>
  <c r="O54" i="15" s="1"/>
  <c r="Q295" i="15"/>
  <c r="W295" i="15" s="1"/>
  <c r="Q218" i="15"/>
  <c r="W218" i="15" s="1"/>
  <c r="Q121" i="15"/>
  <c r="W121" i="15" s="1"/>
  <c r="Q32" i="15"/>
  <c r="W32" i="15" s="1"/>
  <c r="Q22" i="15"/>
  <c r="W22" i="15" s="1"/>
  <c r="T223" i="15"/>
  <c r="M147" i="15"/>
  <c r="Q147" i="15" s="1"/>
  <c r="W147" i="15" s="1"/>
  <c r="R147" i="14"/>
  <c r="O147" i="15" s="1"/>
  <c r="T154" i="15"/>
  <c r="T57" i="15"/>
  <c r="T350" i="15"/>
  <c r="Q293" i="15"/>
  <c r="Q242" i="15"/>
  <c r="W242" i="15" s="1"/>
  <c r="Q145" i="15"/>
  <c r="W145" i="15" s="1"/>
  <c r="Q17" i="15"/>
  <c r="W17" i="15" s="1"/>
  <c r="Q56" i="15"/>
  <c r="W56" i="15" s="1"/>
  <c r="Q310" i="15"/>
  <c r="W310" i="15" s="1"/>
  <c r="T293" i="15"/>
  <c r="T37" i="15"/>
  <c r="T188" i="15"/>
  <c r="Q299" i="15"/>
  <c r="W299" i="15" s="1"/>
  <c r="Q171" i="15"/>
  <c r="W171" i="15" s="1"/>
  <c r="T274" i="15"/>
  <c r="T10" i="15"/>
  <c r="T177" i="15"/>
  <c r="T344" i="15"/>
  <c r="T88" i="15"/>
  <c r="T214" i="15"/>
  <c r="Q221" i="15"/>
  <c r="W221" i="15" s="1"/>
  <c r="Q93" i="15"/>
  <c r="W93" i="15" s="1"/>
  <c r="Q116" i="15"/>
  <c r="W116" i="15" s="1"/>
  <c r="T335" i="15"/>
  <c r="T75" i="15"/>
  <c r="M330" i="15"/>
  <c r="Q330" i="15" s="1"/>
  <c r="W330" i="15" s="1"/>
  <c r="R330" i="14"/>
  <c r="O330" i="15" s="1"/>
  <c r="M202" i="15"/>
  <c r="Q202" i="15" s="1"/>
  <c r="W202" i="15" s="1"/>
  <c r="R202" i="14"/>
  <c r="O202" i="15" s="1"/>
  <c r="M74" i="15"/>
  <c r="Q74" i="15" s="1"/>
  <c r="W74" i="15" s="1"/>
  <c r="R74" i="14"/>
  <c r="O74" i="15" s="1"/>
  <c r="M329" i="15"/>
  <c r="Q329" i="15" s="1"/>
  <c r="W329" i="15" s="1"/>
  <c r="R329" i="14"/>
  <c r="O329" i="15" s="1"/>
  <c r="M201" i="15"/>
  <c r="Q201" i="15" s="1"/>
  <c r="W201" i="15" s="1"/>
  <c r="R201" i="14"/>
  <c r="O201" i="15" s="1"/>
  <c r="M73" i="15"/>
  <c r="Q73" i="15" s="1"/>
  <c r="R73" i="14"/>
  <c r="O73" i="15" s="1"/>
  <c r="M79" i="15"/>
  <c r="Q79" i="15" s="1"/>
  <c r="W79" i="15" s="1"/>
  <c r="R79" i="14"/>
  <c r="O79" i="15" s="1"/>
  <c r="M240" i="15"/>
  <c r="Q240" i="15" s="1"/>
  <c r="W240" i="15" s="1"/>
  <c r="R240" i="14"/>
  <c r="O240" i="15" s="1"/>
  <c r="M112" i="15"/>
  <c r="Q112" i="15" s="1"/>
  <c r="W112" i="15" s="1"/>
  <c r="R112" i="14"/>
  <c r="O112" i="15" s="1"/>
  <c r="M319" i="15"/>
  <c r="Q319" i="15" s="1"/>
  <c r="W319" i="15" s="1"/>
  <c r="R319" i="14"/>
  <c r="O319" i="15" s="1"/>
  <c r="M238" i="15"/>
  <c r="Q238" i="15" s="1"/>
  <c r="W238" i="15" s="1"/>
  <c r="R238" i="14"/>
  <c r="O238" i="15" s="1"/>
  <c r="M102" i="15"/>
  <c r="Q102" i="15" s="1"/>
  <c r="W102" i="15" s="1"/>
  <c r="R102" i="14"/>
  <c r="O102" i="15" s="1"/>
  <c r="T189" i="15"/>
  <c r="T340" i="15"/>
  <c r="T84" i="15"/>
  <c r="M259" i="15"/>
  <c r="Q259" i="15" s="1"/>
  <c r="W259" i="15" s="1"/>
  <c r="R259" i="14"/>
  <c r="O259" i="15" s="1"/>
  <c r="M131" i="15"/>
  <c r="Q131" i="15" s="1"/>
  <c r="W131" i="15" s="1"/>
  <c r="R131" i="14"/>
  <c r="O131" i="15" s="1"/>
  <c r="M3" i="15"/>
  <c r="Q3" i="15" s="1"/>
  <c r="W3" i="15" s="1"/>
  <c r="R3" i="14"/>
  <c r="O3" i="15" s="1"/>
  <c r="T170" i="15"/>
  <c r="T297" i="15"/>
  <c r="Q277" i="15"/>
  <c r="W277" i="15" s="1"/>
  <c r="Q300" i="15"/>
  <c r="W300" i="15" s="1"/>
  <c r="Q172" i="15"/>
  <c r="W172" i="15" s="1"/>
  <c r="T195" i="15"/>
  <c r="M143" i="15"/>
  <c r="Q143" i="15" s="1"/>
  <c r="W143" i="15" s="1"/>
  <c r="R143" i="14"/>
  <c r="O143" i="15" s="1"/>
  <c r="Q98" i="15"/>
  <c r="W98" i="15" s="1"/>
  <c r="Q103" i="15"/>
  <c r="W103" i="15" s="1"/>
  <c r="Q279" i="15"/>
  <c r="W279" i="15" s="1"/>
  <c r="Q264" i="15"/>
  <c r="W264" i="15" s="1"/>
  <c r="Q294" i="15"/>
  <c r="W294" i="15" s="1"/>
  <c r="Q158" i="15"/>
  <c r="W158" i="15" s="1"/>
  <c r="Q30" i="15"/>
  <c r="T245" i="15"/>
  <c r="T271" i="15"/>
  <c r="T140" i="15"/>
  <c r="M283" i="15"/>
  <c r="Q283" i="15" s="1"/>
  <c r="W283" i="15" s="1"/>
  <c r="R283" i="14"/>
  <c r="O283" i="15" s="1"/>
  <c r="M155" i="15"/>
  <c r="Q155" i="15" s="1"/>
  <c r="W155" i="15" s="1"/>
  <c r="R155" i="14"/>
  <c r="O155" i="15" s="1"/>
  <c r="M27" i="15"/>
  <c r="Q27" i="15" s="1"/>
  <c r="W27" i="15" s="1"/>
  <c r="R27" i="14"/>
  <c r="O27" i="15" s="1"/>
  <c r="T130" i="15"/>
  <c r="T289" i="15"/>
  <c r="T33" i="15"/>
  <c r="T168" i="15"/>
  <c r="T326" i="15"/>
  <c r="T30" i="15"/>
  <c r="R315" i="14"/>
  <c r="O315" i="15" s="1"/>
  <c r="M315" i="15"/>
  <c r="Q315" i="15" s="1"/>
  <c r="W315" i="15" s="1"/>
  <c r="M183" i="15"/>
  <c r="Q183" i="15" s="1"/>
  <c r="W183" i="15" s="1"/>
  <c r="R183" i="14"/>
  <c r="O183" i="15" s="1"/>
  <c r="R182" i="14"/>
  <c r="O182" i="15" s="1"/>
  <c r="M182" i="15"/>
  <c r="Q182" i="15" s="1"/>
  <c r="W182" i="15" s="1"/>
  <c r="M50" i="15"/>
  <c r="Q50" i="15" s="1"/>
  <c r="W50" i="15" s="1"/>
  <c r="R50" i="14"/>
  <c r="O50" i="15" s="1"/>
  <c r="W30" i="15" l="1"/>
  <c r="W274" i="15"/>
  <c r="W120" i="15"/>
  <c r="W209" i="15"/>
  <c r="W306" i="15"/>
  <c r="W196" i="15"/>
  <c r="W271" i="15"/>
  <c r="W169" i="15"/>
  <c r="W289" i="15"/>
  <c r="W322" i="15"/>
  <c r="W309" i="15"/>
  <c r="W323" i="15"/>
  <c r="W15" i="15"/>
  <c r="W130" i="15"/>
  <c r="W185" i="15"/>
  <c r="W83" i="15"/>
  <c r="W84" i="15"/>
  <c r="W189" i="15"/>
  <c r="W227" i="15"/>
  <c r="W298" i="15"/>
  <c r="W75" i="15"/>
  <c r="W236" i="15"/>
  <c r="W301" i="15"/>
  <c r="W48" i="15"/>
  <c r="W266" i="15"/>
  <c r="W118" i="15"/>
  <c r="W256" i="15"/>
  <c r="W345" i="15"/>
  <c r="W4" i="15"/>
  <c r="W109" i="15"/>
  <c r="W37" i="15"/>
  <c r="W150" i="15"/>
  <c r="W36" i="15"/>
  <c r="W68" i="15"/>
  <c r="W29" i="15"/>
  <c r="W107" i="15"/>
  <c r="W117" i="15"/>
  <c r="W212" i="15"/>
  <c r="W317" i="15"/>
  <c r="W14" i="15"/>
  <c r="W152" i="15"/>
  <c r="W241" i="15"/>
  <c r="W338" i="15"/>
  <c r="W297" i="15"/>
  <c r="W105" i="15"/>
  <c r="W47" i="15"/>
  <c r="W65" i="15"/>
  <c r="W162" i="15"/>
  <c r="W126" i="15"/>
  <c r="W232" i="15"/>
  <c r="W331" i="15"/>
  <c r="W254" i="15"/>
  <c r="W60" i="15"/>
  <c r="W165" i="15"/>
  <c r="W286" i="15"/>
  <c r="W351" i="15"/>
  <c r="W90" i="15"/>
  <c r="W45" i="15"/>
  <c r="W204" i="15"/>
  <c r="W214" i="15"/>
  <c r="W344" i="15"/>
  <c r="W10" i="15"/>
  <c r="W246" i="15"/>
  <c r="W135" i="15"/>
  <c r="W42" i="15"/>
  <c r="W252" i="15"/>
  <c r="W55" i="15"/>
  <c r="W195" i="15"/>
  <c r="W211" i="15"/>
  <c r="W140" i="15"/>
  <c r="W245" i="15"/>
  <c r="W340" i="15"/>
  <c r="W11" i="15"/>
  <c r="W142" i="15"/>
  <c r="W34" i="15"/>
  <c r="W177" i="15"/>
  <c r="W293" i="15"/>
  <c r="W335" i="15"/>
  <c r="W85" i="15"/>
  <c r="W350" i="15"/>
  <c r="W57" i="15"/>
  <c r="W154" i="15"/>
  <c r="W166" i="15"/>
  <c r="W304" i="15"/>
  <c r="W151" i="15"/>
  <c r="W262" i="15"/>
  <c r="W28" i="15"/>
  <c r="W207" i="15"/>
  <c r="W89" i="15"/>
  <c r="W186" i="15"/>
  <c r="W260" i="15"/>
  <c r="W119" i="15"/>
  <c r="W114" i="15"/>
  <c r="W188" i="15"/>
  <c r="W292" i="15"/>
  <c r="W168" i="15"/>
  <c r="W73" i="15"/>
  <c r="W180" i="15"/>
  <c r="W285" i="15"/>
  <c r="W95" i="15"/>
  <c r="W268" i="15"/>
  <c r="W167" i="15"/>
  <c r="W61" i="15"/>
  <c r="W139" i="15"/>
  <c r="W278" i="15"/>
  <c r="W343" i="15"/>
  <c r="W82" i="15"/>
  <c r="W99" i="15"/>
  <c r="W170" i="15"/>
  <c r="W326" i="15"/>
  <c r="W33" i="15"/>
  <c r="W148" i="15"/>
  <c r="W253" i="15"/>
  <c r="W325" i="15"/>
  <c r="W7" i="15"/>
  <c r="W94" i="15"/>
  <c r="W200" i="15"/>
  <c r="W321" i="15"/>
  <c r="W96" i="15"/>
  <c r="W263" i="15"/>
  <c r="W97" i="15"/>
  <c r="W194" i="15"/>
  <c r="W255" i="15"/>
  <c r="W128" i="15"/>
  <c r="W217" i="15"/>
  <c r="W346" i="15"/>
  <c r="W223" i="15"/>
  <c r="W316" i="15"/>
  <c r="W160" i="15"/>
  <c r="W249" i="15"/>
  <c r="W87" i="15"/>
  <c r="W133" i="15"/>
  <c r="B7" i="26"/>
  <c r="B11" i="26"/>
  <c r="X2" i="15"/>
  <c r="X43" i="15"/>
  <c r="X198" i="15"/>
  <c r="X197" i="15"/>
  <c r="X156" i="15"/>
  <c r="X112" i="15"/>
  <c r="X56" i="15"/>
  <c r="X147" i="15"/>
  <c r="X332" i="15"/>
  <c r="X49" i="15"/>
  <c r="X19" i="15"/>
  <c r="X179" i="15"/>
  <c r="X320" i="15"/>
  <c r="X52" i="15"/>
  <c r="X157" i="15"/>
  <c r="X235" i="15"/>
  <c r="X237" i="15"/>
  <c r="X173" i="15"/>
  <c r="X123" i="15"/>
  <c r="X80" i="15"/>
  <c r="X13" i="15"/>
  <c r="X27" i="15"/>
  <c r="X257" i="15"/>
  <c r="X172" i="15"/>
  <c r="X3" i="15"/>
  <c r="X299" i="15"/>
  <c r="X184" i="15"/>
  <c r="X141" i="15"/>
  <c r="X275" i="15"/>
  <c r="X59" i="15"/>
  <c r="X161" i="15"/>
  <c r="X6" i="15"/>
  <c r="X144" i="15"/>
  <c r="X233" i="15"/>
  <c r="X347" i="15"/>
  <c r="X25" i="15"/>
  <c r="X72" i="15"/>
  <c r="X193" i="15"/>
  <c r="X219" i="15"/>
  <c r="X243" i="15"/>
  <c r="X242" i="15"/>
  <c r="X20" i="15"/>
  <c r="X16" i="15"/>
  <c r="X44" i="15"/>
  <c r="X349" i="15"/>
  <c r="X39" i="15"/>
  <c r="X192" i="15"/>
  <c r="X342" i="15"/>
  <c r="X146" i="15"/>
  <c r="X158" i="15"/>
  <c r="X103" i="15"/>
  <c r="X300" i="15"/>
  <c r="X312" i="15"/>
  <c r="X22" i="15"/>
  <c r="X295" i="15"/>
  <c r="X281" i="15"/>
  <c r="X163" i="15"/>
  <c r="X307" i="15"/>
  <c r="X153" i="15"/>
  <c r="X159" i="15"/>
  <c r="X81" i="15"/>
  <c r="X178" i="15"/>
  <c r="X175" i="15"/>
  <c r="X91" i="15"/>
  <c r="X38" i="15"/>
  <c r="X176" i="15"/>
  <c r="X265" i="15"/>
  <c r="X191" i="15"/>
  <c r="X251" i="15"/>
  <c r="X208" i="15"/>
  <c r="X125" i="15"/>
  <c r="X187" i="15"/>
  <c r="X290" i="15"/>
  <c r="X134" i="15"/>
  <c r="X272" i="15"/>
  <c r="X247" i="15"/>
  <c r="X108" i="15"/>
  <c r="X213" i="15"/>
  <c r="X133" i="15"/>
  <c r="X310" i="15"/>
  <c r="X296" i="15"/>
  <c r="X92" i="15"/>
  <c r="X71" i="15"/>
  <c r="X115" i="15"/>
  <c r="X201" i="15"/>
  <c r="X171" i="15"/>
  <c r="X164" i="15"/>
  <c r="X155" i="15"/>
  <c r="X294" i="15"/>
  <c r="X98" i="15"/>
  <c r="X21" i="15"/>
  <c r="X131" i="15"/>
  <c r="X116" i="15"/>
  <c r="X17" i="15"/>
  <c r="X32" i="15"/>
  <c r="X40" i="15"/>
  <c r="X276" i="15"/>
  <c r="X215" i="15"/>
  <c r="X348" i="15"/>
  <c r="X182" i="15"/>
  <c r="X8" i="15"/>
  <c r="X226" i="15"/>
  <c r="X149" i="15"/>
  <c r="X238" i="15"/>
  <c r="X79" i="15"/>
  <c r="X74" i="15"/>
  <c r="X244" i="15"/>
  <c r="X145" i="15"/>
  <c r="X288" i="15"/>
  <c r="X54" i="15"/>
  <c r="X122" i="15"/>
  <c r="X76" i="15"/>
  <c r="X181" i="15"/>
  <c r="X78" i="15"/>
  <c r="X216" i="15"/>
  <c r="X305" i="15"/>
  <c r="X239" i="15"/>
  <c r="X250" i="15"/>
  <c r="X308" i="15"/>
  <c r="X5" i="15"/>
  <c r="X132" i="15"/>
  <c r="X206" i="15"/>
  <c r="X336" i="15"/>
  <c r="X269" i="15"/>
  <c r="X221" i="15"/>
  <c r="X129" i="15"/>
  <c r="X283" i="15"/>
  <c r="X277" i="15"/>
  <c r="X327" i="15"/>
  <c r="X287" i="15"/>
  <c r="X328" i="15"/>
  <c r="X86" i="15"/>
  <c r="X313" i="15"/>
  <c r="X100" i="15"/>
  <c r="X142" i="15"/>
  <c r="X280" i="15"/>
  <c r="X279" i="15"/>
  <c r="X218" i="15"/>
  <c r="X303" i="15"/>
  <c r="X318" i="15"/>
  <c r="X23" i="15"/>
  <c r="X315" i="15"/>
  <c r="X330" i="15"/>
  <c r="X136" i="15"/>
  <c r="X259" i="15"/>
  <c r="X127" i="15"/>
  <c r="X46" i="15"/>
  <c r="X273" i="15"/>
  <c r="X121" i="15"/>
  <c r="X324" i="15"/>
  <c r="X62" i="15"/>
  <c r="X203" i="15"/>
  <c r="X339" i="15"/>
  <c r="X270" i="15"/>
  <c r="X106" i="15"/>
  <c r="X230" i="15"/>
  <c r="X26" i="15"/>
  <c r="X224" i="15"/>
  <c r="X205" i="15"/>
  <c r="X264" i="15"/>
  <c r="X143" i="15"/>
  <c r="X93" i="15"/>
  <c r="X174" i="15"/>
  <c r="X199" i="15"/>
  <c r="X63" i="15"/>
  <c r="X64" i="15"/>
  <c r="X51" i="15"/>
  <c r="X190" i="15"/>
  <c r="X110" i="15"/>
  <c r="X248" i="15"/>
  <c r="X337" i="15"/>
  <c r="X124" i="15"/>
  <c r="X229" i="15"/>
  <c r="X302" i="15"/>
  <c r="X9" i="15"/>
  <c r="X138" i="15"/>
  <c r="X261" i="15"/>
  <c r="X111" i="15"/>
  <c r="X41" i="15"/>
  <c r="X70" i="15" l="1"/>
  <c r="X222" i="15"/>
  <c r="X83" i="15"/>
  <c r="X346" i="15"/>
  <c r="X323" i="15"/>
  <c r="B3" i="26"/>
  <c r="X254" i="15"/>
  <c r="X15" i="15"/>
  <c r="H12" i="24" s="1"/>
  <c r="K12" i="24" s="1"/>
  <c r="X204" i="15"/>
  <c r="X113" i="15"/>
  <c r="X285" i="15"/>
  <c r="X67" i="15"/>
  <c r="X291" i="15"/>
  <c r="X66" i="15"/>
  <c r="X311" i="15"/>
  <c r="X202" i="15"/>
  <c r="X286" i="15"/>
  <c r="X240" i="15"/>
  <c r="X35" i="15"/>
  <c r="X314" i="15"/>
  <c r="X128" i="15"/>
  <c r="X309" i="15"/>
  <c r="X253" i="15"/>
  <c r="X231" i="15"/>
  <c r="X160" i="15"/>
  <c r="X168" i="15"/>
  <c r="X69" i="15"/>
  <c r="X104" i="15"/>
  <c r="X289" i="15"/>
  <c r="X267" i="15"/>
  <c r="X11" i="15"/>
  <c r="X24" i="15"/>
  <c r="X341" i="15"/>
  <c r="X262" i="15"/>
  <c r="X53" i="15"/>
  <c r="X73" i="15"/>
  <c r="X351" i="15"/>
  <c r="X95" i="15"/>
  <c r="X117" i="15"/>
  <c r="X340" i="15"/>
  <c r="X102" i="15"/>
  <c r="X319" i="15"/>
  <c r="X96" i="15"/>
  <c r="X322" i="15"/>
  <c r="X31" i="15"/>
  <c r="X75" i="15"/>
  <c r="X236" i="15"/>
  <c r="X165" i="15"/>
  <c r="X274" i="15"/>
  <c r="X170" i="15"/>
  <c r="X101" i="15"/>
  <c r="X326" i="15"/>
  <c r="X29" i="15"/>
  <c r="X37" i="15"/>
  <c r="X34" i="15"/>
  <c r="X317" i="15"/>
  <c r="X321" i="15"/>
  <c r="X4" i="15"/>
  <c r="X88" i="15"/>
  <c r="X350" i="15"/>
  <c r="X30" i="15"/>
  <c r="X255" i="15"/>
  <c r="X135" i="15"/>
  <c r="X97" i="15"/>
  <c r="X47" i="15"/>
  <c r="X119" i="15"/>
  <c r="X45" i="15"/>
  <c r="X166" i="15"/>
  <c r="X227" i="15"/>
  <c r="X57" i="15"/>
  <c r="X194" i="15"/>
  <c r="X306" i="15"/>
  <c r="X68" i="15"/>
  <c r="X58" i="15"/>
  <c r="X209" i="15"/>
  <c r="X212" i="15"/>
  <c r="X200" i="15"/>
  <c r="X345" i="15"/>
  <c r="X329" i="15"/>
  <c r="X85" i="15"/>
  <c r="X87" i="15"/>
  <c r="X271" i="15"/>
  <c r="X246" i="15"/>
  <c r="X263" i="15"/>
  <c r="X234" i="15"/>
  <c r="X186" i="15"/>
  <c r="X10" i="15"/>
  <c r="X297" i="15"/>
  <c r="X252" i="15"/>
  <c r="X14" i="15"/>
  <c r="X223" i="15"/>
  <c r="X183" i="15"/>
  <c r="X256" i="15"/>
  <c r="X245" i="15"/>
  <c r="X120" i="15"/>
  <c r="X331" i="15"/>
  <c r="X94" i="15"/>
  <c r="X118" i="15"/>
  <c r="X210" i="15"/>
  <c r="X325" i="15"/>
  <c r="X249" i="15"/>
  <c r="X266" i="15"/>
  <c r="X82" i="15"/>
  <c r="X196" i="15"/>
  <c r="X105" i="15"/>
  <c r="X89" i="15"/>
  <c r="X344" i="15"/>
  <c r="X195" i="15"/>
  <c r="X154" i="15"/>
  <c r="X162" i="15"/>
  <c r="X60" i="15"/>
  <c r="X109" i="15"/>
  <c r="X42" i="15"/>
  <c r="X50" i="15"/>
  <c r="H3" i="24" s="1"/>
  <c r="K3" i="24" s="1"/>
  <c r="X188" i="15"/>
  <c r="X140" i="15"/>
  <c r="X217" i="15"/>
  <c r="X232" i="15"/>
  <c r="X7" i="15"/>
  <c r="H4" i="24" s="1"/>
  <c r="K4" i="24" s="1"/>
  <c r="X284" i="15"/>
  <c r="X189" i="15"/>
  <c r="X220" i="15"/>
  <c r="X316" i="15"/>
  <c r="X137" i="15"/>
  <c r="X343" i="15"/>
  <c r="X333" i="15"/>
  <c r="X335" i="15"/>
  <c r="X28" i="15"/>
  <c r="X214" i="15"/>
  <c r="X77" i="15"/>
  <c r="X61" i="15"/>
  <c r="X185" i="15"/>
  <c r="X99" i="15"/>
  <c r="X207" i="15"/>
  <c r="X338" i="15"/>
  <c r="X36" i="15"/>
  <c r="X12" i="15"/>
  <c r="X84" i="15"/>
  <c r="X148" i="15"/>
  <c r="X298" i="15"/>
  <c r="X48" i="15"/>
  <c r="X278" i="15"/>
  <c r="X228" i="15"/>
  <c r="X292" i="15"/>
  <c r="X167" i="15"/>
  <c r="X152" i="15"/>
  <c r="X33" i="15"/>
  <c r="X107" i="15"/>
  <c r="X293" i="15"/>
  <c r="X177" i="15"/>
  <c r="X65" i="15"/>
  <c r="X260" i="15"/>
  <c r="X151" i="15"/>
  <c r="X126" i="15"/>
  <c r="X55" i="15"/>
  <c r="X90" i="15"/>
  <c r="X304" i="15"/>
  <c r="X241" i="15"/>
  <c r="X211" i="15"/>
  <c r="X150" i="15"/>
  <c r="X180" i="15"/>
  <c r="X225" i="15"/>
  <c r="X130" i="15"/>
  <c r="X169" i="15"/>
  <c r="X301" i="15"/>
  <c r="X139" i="15"/>
  <c r="X18" i="15"/>
  <c r="X114" i="15"/>
  <c r="X268" i="15"/>
  <c r="G2" i="24" l="1"/>
  <c r="G12" i="24"/>
  <c r="H5" i="24"/>
  <c r="K5" i="24" s="1"/>
  <c r="G8" i="24"/>
  <c r="H10" i="24"/>
  <c r="K10" i="24" s="1"/>
  <c r="L10" i="24" s="1"/>
  <c r="N10" i="24" s="1"/>
  <c r="G9" i="24"/>
  <c r="H13" i="24"/>
  <c r="K13" i="24" s="1"/>
  <c r="L13" i="24" s="1"/>
  <c r="H9" i="24"/>
  <c r="K9" i="24" s="1"/>
  <c r="L9" i="24" s="1"/>
  <c r="M9" i="24" s="1"/>
  <c r="H2" i="24"/>
  <c r="K2" i="24" s="1"/>
  <c r="L2" i="24" s="1"/>
  <c r="N2" i="24" s="1"/>
  <c r="G7" i="24"/>
  <c r="G6" i="24"/>
  <c r="G5" i="24"/>
  <c r="H11" i="24"/>
  <c r="K11" i="24" s="1"/>
  <c r="L11" i="24" s="1"/>
  <c r="N11" i="24" s="1"/>
  <c r="L5" i="24"/>
  <c r="M5" i="24" s="1"/>
  <c r="L4" i="24"/>
  <c r="N4" i="24" s="1"/>
  <c r="L3" i="24"/>
  <c r="N3" i="24" s="1"/>
  <c r="H6" i="24"/>
  <c r="K6" i="24" s="1"/>
  <c r="G3" i="24"/>
  <c r="H7" i="24"/>
  <c r="K7" i="24" s="1"/>
  <c r="G10" i="24"/>
  <c r="H8" i="24"/>
  <c r="K8" i="24" s="1"/>
  <c r="G4" i="24"/>
  <c r="B4" i="26"/>
  <c r="B5" i="26" s="1"/>
  <c r="G11" i="24"/>
  <c r="L12" i="24"/>
  <c r="M12" i="24" s="1"/>
  <c r="G13" i="24"/>
  <c r="M10" i="24" l="1"/>
  <c r="M3" i="24"/>
  <c r="N13" i="24"/>
  <c r="M13" i="24"/>
  <c r="M4" i="24"/>
  <c r="M2" i="24"/>
  <c r="E4" i="26"/>
  <c r="E5" i="26" s="1"/>
  <c r="N9" i="24"/>
  <c r="E3" i="26"/>
  <c r="N12" i="24"/>
  <c r="N5" i="24"/>
  <c r="L6" i="24"/>
  <c r="N6" i="24" s="1"/>
  <c r="L8" i="24"/>
  <c r="N8" i="24" s="1"/>
  <c r="M11" i="24"/>
  <c r="L7" i="24"/>
  <c r="N7" i="24" s="1"/>
  <c r="M6" i="24" l="1"/>
  <c r="M8" i="24"/>
  <c r="M7" i="24"/>
</calcChain>
</file>

<file path=xl/sharedStrings.xml><?xml version="1.0" encoding="utf-8"?>
<sst xmlns="http://schemas.openxmlformats.org/spreadsheetml/2006/main" count="3791" uniqueCount="323">
  <si>
    <t>Country</t>
  </si>
  <si>
    <t>Currency</t>
  </si>
  <si>
    <t>Switzerland</t>
  </si>
  <si>
    <t>CHF</t>
  </si>
  <si>
    <t>Germany</t>
  </si>
  <si>
    <t>EUR</t>
  </si>
  <si>
    <t>USA</t>
  </si>
  <si>
    <t>USD</t>
  </si>
  <si>
    <t>UAE</t>
  </si>
  <si>
    <t>AED</t>
  </si>
  <si>
    <t>Jordan</t>
  </si>
  <si>
    <t>JOD</t>
  </si>
  <si>
    <t>Payment_Type</t>
  </si>
  <si>
    <t>Payroll</t>
  </si>
  <si>
    <t>Contractor_Fee</t>
  </si>
  <si>
    <t>Vendor_Invoice</t>
  </si>
  <si>
    <t>Grant_Disbursement</t>
  </si>
  <si>
    <t>Entity_Type</t>
  </si>
  <si>
    <t>Employee</t>
  </si>
  <si>
    <t>Contractor</t>
  </si>
  <si>
    <t>Vendor</t>
  </si>
  <si>
    <t>Sub-Grantee</t>
  </si>
  <si>
    <t>Record_ID</t>
  </si>
  <si>
    <t>Name</t>
  </si>
  <si>
    <t>Gross_Amount</t>
  </si>
  <si>
    <t>Bank_Account</t>
  </si>
  <si>
    <t>Month</t>
  </si>
  <si>
    <t>Omar Müller</t>
  </si>
  <si>
    <t>Feb-2026</t>
  </si>
  <si>
    <t>Ahmed Schmidt</t>
  </si>
  <si>
    <t>Mar-2026</t>
  </si>
  <si>
    <t>David Wilson</t>
  </si>
  <si>
    <t>John Smith</t>
  </si>
  <si>
    <t>Anna Khan</t>
  </si>
  <si>
    <t>David Haddad</t>
  </si>
  <si>
    <t>Jan-2026</t>
  </si>
  <si>
    <t>Anna Taylor</t>
  </si>
  <si>
    <t>David Khan</t>
  </si>
  <si>
    <t>Lina Wilson</t>
  </si>
  <si>
    <t>Michael Wilson</t>
  </si>
  <si>
    <t>David Smith</t>
  </si>
  <si>
    <t>Julia Smith</t>
  </si>
  <si>
    <t>Anna Schmidt</t>
  </si>
  <si>
    <t>Omar Brown</t>
  </si>
  <si>
    <t>Omar Schmidt</t>
  </si>
  <si>
    <t>Ahmed Haddad</t>
  </si>
  <si>
    <t>Omar Haddad</t>
  </si>
  <si>
    <t>Lina Schmidt</t>
  </si>
  <si>
    <t>Michael Taylor</t>
  </si>
  <si>
    <t>Julia Brown</t>
  </si>
  <si>
    <t>Ahmed Khan</t>
  </si>
  <si>
    <t>John Ali</t>
  </si>
  <si>
    <t>Michael Müller</t>
  </si>
  <si>
    <t>Laura Brown</t>
  </si>
  <si>
    <t>John Brown</t>
  </si>
  <si>
    <t>Omar Johnson</t>
  </si>
  <si>
    <t>John Khan</t>
  </si>
  <si>
    <t>Julia Johnson</t>
  </si>
  <si>
    <t>Lina Johnson</t>
  </si>
  <si>
    <t>Michael Smith</t>
  </si>
  <si>
    <t>Omar Khan</t>
  </si>
  <si>
    <t>David Schmidt</t>
  </si>
  <si>
    <t>David Ali</t>
  </si>
  <si>
    <t>Julia Haddad</t>
  </si>
  <si>
    <t>David Müller</t>
  </si>
  <si>
    <t>Anna Müller</t>
  </si>
  <si>
    <t>Julia Ali</t>
  </si>
  <si>
    <t>Julia Khan</t>
  </si>
  <si>
    <t>Sara Haddad</t>
  </si>
  <si>
    <t>Sara Khan</t>
  </si>
  <si>
    <t>Lina Brown</t>
  </si>
  <si>
    <t>Omar Wilson</t>
  </si>
  <si>
    <t>Lina Haddad</t>
  </si>
  <si>
    <t>Michael Haddad</t>
  </si>
  <si>
    <t>Sara Müller</t>
  </si>
  <si>
    <t>Laura Wilson</t>
  </si>
  <si>
    <t>Lina Taylor</t>
  </si>
  <si>
    <t>Ahmed Taylor</t>
  </si>
  <si>
    <t>Sara Ali</t>
  </si>
  <si>
    <t>Sara Johnson</t>
  </si>
  <si>
    <t>David Brown</t>
  </si>
  <si>
    <t>Sara Schmidt</t>
  </si>
  <si>
    <t>Laura Khan</t>
  </si>
  <si>
    <t>John Johnson</t>
  </si>
  <si>
    <t>John Müller</t>
  </si>
  <si>
    <t>Ahmed Smith</t>
  </si>
  <si>
    <t>John Wilson</t>
  </si>
  <si>
    <t>Ahmed Ali</t>
  </si>
  <si>
    <t>Lina Ali</t>
  </si>
  <si>
    <t>Ahmed Johnson</t>
  </si>
  <si>
    <t>Lina Müller</t>
  </si>
  <si>
    <t>Sara Taylor</t>
  </si>
  <si>
    <t>Anna Brown</t>
  </si>
  <si>
    <t>Anna Johnson</t>
  </si>
  <si>
    <t>Laura Haddad</t>
  </si>
  <si>
    <t>Anna Ali</t>
  </si>
  <si>
    <t>Ahmed Wilson</t>
  </si>
  <si>
    <t>John Taylor</t>
  </si>
  <si>
    <t>Sara Brown</t>
  </si>
  <si>
    <t>Laura Ali</t>
  </si>
  <si>
    <t>Laura Taylor</t>
  </si>
  <si>
    <t>Julia Schmidt</t>
  </si>
  <si>
    <t>Julia Wilson</t>
  </si>
  <si>
    <t>Sara Smith</t>
  </si>
  <si>
    <t>Michael Brown</t>
  </si>
  <si>
    <t>Laura Müller</t>
  </si>
  <si>
    <t>Ahmed Müller</t>
  </si>
  <si>
    <t>Julia Taylor</t>
  </si>
  <si>
    <t>Julia Müller</t>
  </si>
  <si>
    <t>Anna Haddad</t>
  </si>
  <si>
    <t>Anna Smith</t>
  </si>
  <si>
    <t>Ahmed Brown</t>
  </si>
  <si>
    <t>Laura Johnson</t>
  </si>
  <si>
    <t>Laura Schmidt</t>
  </si>
  <si>
    <t>Omar Taylor</t>
  </si>
  <si>
    <t>Lina Smith</t>
  </si>
  <si>
    <t>Michael Khan</t>
  </si>
  <si>
    <t>Laura Smith</t>
  </si>
  <si>
    <t>David Johnson</t>
  </si>
  <si>
    <t>Omar Ali</t>
  </si>
  <si>
    <t>Michael Schmidt</t>
  </si>
  <si>
    <t>BlueRiver IT Services</t>
  </si>
  <si>
    <t>Global Services Ltd</t>
  </si>
  <si>
    <t>Future Innovations FZ-LLC</t>
  </si>
  <si>
    <t>Bright Consulting LLC</t>
  </si>
  <si>
    <t>Tech Solutions GmbH</t>
  </si>
  <si>
    <t>Sunrise Media Agency</t>
  </si>
  <si>
    <t>Impact Partners</t>
  </si>
  <si>
    <t>NorthStar Logistics</t>
  </si>
  <si>
    <t>Safe Spaces NGO</t>
  </si>
  <si>
    <t>Health Access Initiative</t>
  </si>
  <si>
    <t>Inclusive Futures Org</t>
  </si>
  <si>
    <t>Community Support Association</t>
  </si>
  <si>
    <t>Regional Advocacy Network</t>
  </si>
  <si>
    <t>Equality &amp; Rights Foundation</t>
  </si>
  <si>
    <t>Youth Empowerment Center</t>
  </si>
  <si>
    <t>Total Transactions</t>
  </si>
  <si>
    <t>Amount Errors</t>
  </si>
  <si>
    <t>Donor_Code</t>
  </si>
  <si>
    <t>D-CH-2026</t>
  </si>
  <si>
    <t>D-USA-2026</t>
  </si>
  <si>
    <t>D-EC-2026</t>
  </si>
  <si>
    <t>D-MENA-2026</t>
  </si>
  <si>
    <t>Donor_Name</t>
  </si>
  <si>
    <t>European Commission</t>
  </si>
  <si>
    <t>Swiss Federal Support</t>
  </si>
  <si>
    <t>US Global Rights Fund</t>
  </si>
  <si>
    <t>MENA Regional Fund</t>
  </si>
  <si>
    <t>Agreement_Reference</t>
  </si>
  <si>
    <t>EC-GA-2026</t>
  </si>
  <si>
    <t>CH-GA-2026</t>
  </si>
  <si>
    <t>US-GA-2026</t>
  </si>
  <si>
    <t>MENA-GA-2026</t>
  </si>
  <si>
    <t>VAT_Applicable</t>
  </si>
  <si>
    <t>VAT_Rate</t>
  </si>
  <si>
    <t>VAT_Amount</t>
  </si>
  <si>
    <t>Net_Amount</t>
  </si>
  <si>
    <t>Invoice_Number</t>
  </si>
  <si>
    <t>Invoice_Date</t>
  </si>
  <si>
    <t>Due_Date</t>
  </si>
  <si>
    <t>Exchange_Rate</t>
  </si>
  <si>
    <t>Amount_CHF</t>
  </si>
  <si>
    <t>Default_VAT_Rate</t>
  </si>
  <si>
    <t>Yes</t>
  </si>
  <si>
    <t>Rate_to_CHF</t>
  </si>
  <si>
    <t>Status_List</t>
  </si>
  <si>
    <t>Pending</t>
  </si>
  <si>
    <t>Approved</t>
  </si>
  <si>
    <t>Rejected</t>
  </si>
  <si>
    <t>On Hold</t>
  </si>
  <si>
    <t>RequiredField_Validation</t>
  </si>
  <si>
    <t>Amount_Validation</t>
  </si>
  <si>
    <t>Currency_Validation</t>
  </si>
  <si>
    <t>ExchangeRate_Validation</t>
  </si>
  <si>
    <t>VAT_Validation</t>
  </si>
  <si>
    <t>Bank_Validation</t>
  </si>
  <si>
    <t>Duplicate_Validation</t>
  </si>
  <si>
    <t>Validation_Result</t>
  </si>
  <si>
    <t>Ready_For_Approval</t>
  </si>
  <si>
    <t>JO-IBAN-00024690</t>
  </si>
  <si>
    <t>US-RT-000004936-AC-0000022712</t>
  </si>
  <si>
    <t>US-RT-000006170-AC-0000028390</t>
  </si>
  <si>
    <t>DE890000000000081474</t>
  </si>
  <si>
    <t>DE890000000000095053</t>
  </si>
  <si>
    <t>JO-IBAN-00098760</t>
  </si>
  <si>
    <t>DE890000000000122211</t>
  </si>
  <si>
    <t>US-RT-000012340-AC-0000056780</t>
  </si>
  <si>
    <t>US-RT-000013574-AC-0000062458</t>
  </si>
  <si>
    <t>JO-IBAN-00148140</t>
  </si>
  <si>
    <t>CH930000000000320840</t>
  </si>
  <si>
    <t>DE890000000000190106</t>
  </si>
  <si>
    <t>DE890000000000203685</t>
  </si>
  <si>
    <t>AE-IBAN-00869136</t>
  </si>
  <si>
    <t>JO-IBAN-00209865</t>
  </si>
  <si>
    <t>CH930000000000444240</t>
  </si>
  <si>
    <t>JO-IBAN-00234555</t>
  </si>
  <si>
    <t>US-RT-000003702-AC-0000017034</t>
  </si>
  <si>
    <t>US-RT-000024680-AC-0000113560</t>
  </si>
  <si>
    <t>CH930000000000518280</t>
  </si>
  <si>
    <t>DE890000000000298738</t>
  </si>
  <si>
    <t>DE890000000000312317</t>
  </si>
  <si>
    <t>CH930000000000592320</t>
  </si>
  <si>
    <t>DE890000000000339475</t>
  </si>
  <si>
    <t>CH930000000000641680</t>
  </si>
  <si>
    <t>AE-IBAN-01520988</t>
  </si>
  <si>
    <t>CH930000000000715720</t>
  </si>
  <si>
    <t>DE890000000000366633</t>
  </si>
  <si>
    <t>CH930000000000740400</t>
  </si>
  <si>
    <t>JO-IBAN-00382695</t>
  </si>
  <si>
    <t>AE-IBAN-01738272</t>
  </si>
  <si>
    <t>AE-IBAN-01792593</t>
  </si>
  <si>
    <t>US-RT-000041956-AC-0000193052</t>
  </si>
  <si>
    <t>CH930000000000863800</t>
  </si>
  <si>
    <t>JO-IBAN-00444420</t>
  </si>
  <si>
    <t>AE-IBAN-02009877</t>
  </si>
  <si>
    <t>JO-IBAN-00469110</t>
  </si>
  <si>
    <t>CH930000000000962520</t>
  </si>
  <si>
    <t>AE-IBAN-02172840</t>
  </si>
  <si>
    <t>US-RT-000050594-AC-0000232798</t>
  </si>
  <si>
    <t>US-RT-000051828-AC-0000238476</t>
  </si>
  <si>
    <t>US-RT-000053062-AC-0000244154</t>
  </si>
  <si>
    <t>US-RT-000054296-AC-0000249832</t>
  </si>
  <si>
    <t>DE890000000000611055</t>
  </si>
  <si>
    <t>AE-IBAN-02498766</t>
  </si>
  <si>
    <t>CH930000000001159960</t>
  </si>
  <si>
    <t>AE-IBAN-02607408</t>
  </si>
  <si>
    <t>CH930000000001209320</t>
  </si>
  <si>
    <t>JO-IBAN-00617250</t>
  </si>
  <si>
    <t>US-RT-000062934-AC-0000289578</t>
  </si>
  <si>
    <t>JO-IBAN-00641940</t>
  </si>
  <si>
    <t>US-RT-000065402-AC-0000300934</t>
  </si>
  <si>
    <t>US-RT-000066636-AC-0000306612</t>
  </si>
  <si>
    <t>DE890000000000746845</t>
  </si>
  <si>
    <t>CH930000000001382080</t>
  </si>
  <si>
    <t>JO-IBAN-00703665</t>
  </si>
  <si>
    <t>US-RT-000071572-AC-0000329324</t>
  </si>
  <si>
    <t>JO-IBAN-00728355</t>
  </si>
  <si>
    <t>AE-IBAN-03259260</t>
  </si>
  <si>
    <t>AE-IBAN-03313581</t>
  </si>
  <si>
    <t>US-RT-000076508-AC-0000352036</t>
  </si>
  <si>
    <t>JO-IBAN-00777735</t>
  </si>
  <si>
    <t>JO-IBAN-00790080</t>
  </si>
  <si>
    <t>AE-IBAN-03530865</t>
  </si>
  <si>
    <t>CH930000000001628880</t>
  </si>
  <si>
    <t>JO-IBAN-00827115</t>
  </si>
  <si>
    <t>US-RT-000083912-AC-0000386104</t>
  </si>
  <si>
    <t>DE890000000000950530</t>
  </si>
  <si>
    <t>CH930000000001752280</t>
  </si>
  <si>
    <t>DE890000000000977688</t>
  </si>
  <si>
    <t>US-RT-000090082-AC-0000414494</t>
  </si>
  <si>
    <t>DE890000000001004846</t>
  </si>
  <si>
    <t>JO-IBAN-00938220</t>
  </si>
  <si>
    <t>JO-IBAN-00925875</t>
  </si>
  <si>
    <t>US-RT-000095018-AC-0000437206</t>
  </si>
  <si>
    <t>US-RT-000096252-AC-0000442884</t>
  </si>
  <si>
    <t>DE890000000001072741</t>
  </si>
  <si>
    <t>JO-IBAN-00987600</t>
  </si>
  <si>
    <t>AE-IBAN-04400001</t>
  </si>
  <si>
    <t>CH930000000002023760</t>
  </si>
  <si>
    <t>US-RT-000102422-AC-0000471274</t>
  </si>
  <si>
    <t>DE890000000001140636</t>
  </si>
  <si>
    <t>US-RT-000104890-AC-0000482630</t>
  </si>
  <si>
    <t>DE890000000001167794</t>
  </si>
  <si>
    <t>JO-IBAN-01074015</t>
  </si>
  <si>
    <t>AE-IBAN-04780248</t>
  </si>
  <si>
    <t>DE890000000001208531</t>
  </si>
  <si>
    <t>CH930000000002221200</t>
  </si>
  <si>
    <t>AE-IBAN-04943211</t>
  </si>
  <si>
    <t>CH930000000002270560</t>
  </si>
  <si>
    <t>CH930000000002295240</t>
  </si>
  <si>
    <t>JO-IBAN-01160430</t>
  </si>
  <si>
    <t>CH930000000002344600</t>
  </si>
  <si>
    <t>US-RT-000118464-AC-0000545088</t>
  </si>
  <si>
    <t>JO-IBAN-01197465</t>
  </si>
  <si>
    <t>US-RT-000120932-AC-0000556444</t>
  </si>
  <si>
    <t>JO-IBAN-01222155</t>
  </si>
  <si>
    <t>AE-IBAN-05432100</t>
  </si>
  <si>
    <t>CH930000000002492680</t>
  </si>
  <si>
    <t>US-RT-000125868-AC-0000579156</t>
  </si>
  <si>
    <t>DE890000000001398637</t>
  </si>
  <si>
    <t>CH930000000002566720</t>
  </si>
  <si>
    <t>JO-IBAN-01296225</t>
  </si>
  <si>
    <t>CH930000000002616080</t>
  </si>
  <si>
    <t>DE890000000001452953</t>
  </si>
  <si>
    <t>Employee_Count</t>
  </si>
  <si>
    <t>Paid_Amount</t>
  </si>
  <si>
    <t>Variance</t>
  </si>
  <si>
    <t>Status</t>
  </si>
  <si>
    <t>EOR_Provider</t>
  </si>
  <si>
    <t>Invoice_Total</t>
  </si>
  <si>
    <t>Employment_Model</t>
  </si>
  <si>
    <t>Direct</t>
  </si>
  <si>
    <t>EOR</t>
  </si>
  <si>
    <t>Oyster</t>
  </si>
  <si>
    <t>Deel</t>
  </si>
  <si>
    <t>Remote</t>
  </si>
  <si>
    <t>Expected_Payroll</t>
  </si>
  <si>
    <t>Employer_Tax_%</t>
  </si>
  <si>
    <t>Service_Fee_%</t>
  </si>
  <si>
    <t>AP CONTROL SUMMARY</t>
  </si>
  <si>
    <t>Ready For Approval</t>
  </si>
  <si>
    <t>Total EOR Invoices</t>
  </si>
  <si>
    <t>Total EOR Invoice Value</t>
  </si>
  <si>
    <t>Unreconciled Invoices</t>
  </si>
  <si>
    <t>Control Status</t>
  </si>
  <si>
    <t>Blocked Transactions</t>
  </si>
  <si>
    <t>Approval Rate %</t>
  </si>
  <si>
    <t>Required Field Errors</t>
  </si>
  <si>
    <t>Bank Errors</t>
  </si>
  <si>
    <t>Duplicate Errors</t>
  </si>
  <si>
    <t>Currency Errors</t>
  </si>
  <si>
    <t>Exchange Rate Errors</t>
  </si>
  <si>
    <t>VAT Errors</t>
  </si>
  <si>
    <t>Active_Status</t>
  </si>
  <si>
    <t>Donor Master Data</t>
  </si>
  <si>
    <t>VAT Configuration</t>
  </si>
  <si>
    <t>Entity Mapping</t>
  </si>
  <si>
    <t>FX Rates</t>
  </si>
  <si>
    <t>Status Configuration</t>
  </si>
  <si>
    <t>Created_Timestamp</t>
  </si>
  <si>
    <t>Created_By</t>
  </si>
  <si>
    <t>Waleed Farghal</t>
  </si>
  <si>
    <t>EOR CONTROL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</si>
</sst>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0.0%"/>
    <numFmt numFmtId="165" formatCode="mmm\-yyyy"/>
    <numFmt numFmtId="166" formatCode="0.00000"/>
    <numFmt numFmtId="167" formatCode="0.00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Unicode MS"/>
    </font>
    <font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0">
    <xf numFmtId="0" fontId="0" fillId="0" borderId="0" xfId="0"/>
    <xf numFmtId="14" fontId="0" fillId="0" borderId="0" xfId="0" applyNumberFormat="1"/>
    <xf numFmtId="0" fontId="0" fillId="0" borderId="0" xfId="0"/>
    <xf numFmtId="49" fontId="0" fillId="0" borderId="0" xfId="0" applyNumberFormat="1"/>
    <xf numFmtId="2" fontId="0" fillId="0" borderId="0" xfId="0" applyNumberFormat="1"/>
    <xf numFmtId="0" fontId="0" fillId="0" borderId="0" xfId="0" applyAlignment="1">
      <alignment vertical="center" wrapText="1"/>
    </xf>
    <xf numFmtId="164" fontId="6" fillId="0" borderId="0" xfId="1" applyNumberFormat="1" applyFont="1" applyAlignment="1">
      <alignment vertical="center"/>
    </xf>
    <xf numFmtId="165" fontId="0" fillId="0" borderId="0" xfId="0" applyNumberFormat="1"/>
    <xf numFmtId="49" fontId="0" fillId="3" borderId="3" xfId="0" applyNumberFormat="1" applyFont="1" applyFill="1" applyBorder="1"/>
    <xf numFmtId="49" fontId="0" fillId="4" borderId="3" xfId="0" applyNumberFormat="1" applyFont="1" applyFill="1" applyBorder="1"/>
    <xf numFmtId="0" fontId="1" fillId="0" borderId="0" xfId="0" applyFont="1" applyAlignment="1">
      <alignment horizontal="center" vertical="center" wrapText="1"/>
    </xf>
    <xf numFmtId="0" fontId="0" fillId="0" borderId="0" xfId="0" applyNumberFormat="1"/>
    <xf numFmtId="0" fontId="0" fillId="4" borderId="3" xfId="0" applyNumberFormat="1" applyFont="1" applyFill="1" applyBorder="1"/>
    <xf numFmtId="0" fontId="0" fillId="3" borderId="3" xfId="0" applyNumberFormat="1" applyFont="1" applyFill="1" applyBorder="1"/>
    <xf numFmtId="0" fontId="0" fillId="4" borderId="8" xfId="0" applyNumberFormat="1" applyFont="1" applyFill="1" applyBorder="1"/>
    <xf numFmtId="2" fontId="0" fillId="3" borderId="3" xfId="0" applyNumberFormat="1" applyFont="1" applyFill="1" applyBorder="1"/>
    <xf numFmtId="2" fontId="0" fillId="4" borderId="3" xfId="0" applyNumberFormat="1" applyFont="1" applyFill="1" applyBorder="1"/>
    <xf numFmtId="2" fontId="0" fillId="4" borderId="8" xfId="0" applyNumberFormat="1" applyFont="1" applyFill="1" applyBorder="1"/>
    <xf numFmtId="0" fontId="0" fillId="3" borderId="2" xfId="0" applyNumberFormat="1" applyFont="1" applyFill="1" applyBorder="1"/>
    <xf numFmtId="0" fontId="0" fillId="4" borderId="2" xfId="0" applyNumberFormat="1" applyFont="1" applyFill="1" applyBorder="1"/>
    <xf numFmtId="0" fontId="0" fillId="4" borderId="4" xfId="0" applyNumberFormat="1" applyFont="1" applyFill="1" applyBorder="1"/>
    <xf numFmtId="43" fontId="0" fillId="0" borderId="0" xfId="2" applyFont="1"/>
    <xf numFmtId="0" fontId="7" fillId="0" borderId="0" xfId="0" applyFont="1"/>
    <xf numFmtId="0" fontId="5" fillId="2" borderId="5" xfId="0" applyFont="1" applyFill="1" applyBorder="1" applyAlignment="1">
      <alignment horizontal="center" vertical="center" wrapText="1"/>
    </xf>
    <xf numFmtId="1" fontId="0" fillId="0" borderId="0" xfId="0" applyNumberFormat="1"/>
    <xf numFmtId="0" fontId="0" fillId="0" borderId="0" xfId="0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9" fontId="0" fillId="0" borderId="0" xfId="0" applyNumberFormat="1"/>
    <xf numFmtId="17" fontId="0" fillId="0" borderId="0" xfId="0" applyNumberFormat="1"/>
    <xf numFmtId="0" fontId="0" fillId="0" borderId="0" xfId="0" applyAlignment="1">
      <alignment horizontal="left" vertical="center" wrapText="1"/>
    </xf>
    <xf numFmtId="0" fontId="8" fillId="0" borderId="0" xfId="0" applyFont="1" applyAlignment="1">
      <alignment horizontal="center"/>
    </xf>
    <xf numFmtId="0" fontId="0" fillId="3" borderId="2" xfId="0" applyFont="1" applyFill="1" applyBorder="1" applyAlignment="1">
      <alignment horizontal="center" vertical="center" wrapText="1"/>
    </xf>
    <xf numFmtId="164" fontId="0" fillId="3" borderId="6" xfId="1" applyNumberFormat="1" applyFont="1" applyFill="1" applyBorder="1" applyAlignment="1">
      <alignment horizontal="center" vertical="center" wrapText="1"/>
    </xf>
    <xf numFmtId="0" fontId="0" fillId="4" borderId="2" xfId="0" applyFont="1" applyFill="1" applyBorder="1" applyAlignment="1">
      <alignment horizontal="center" vertical="center" wrapText="1"/>
    </xf>
    <xf numFmtId="164" fontId="0" fillId="4" borderId="6" xfId="1" applyNumberFormat="1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 wrapText="1"/>
    </xf>
    <xf numFmtId="164" fontId="0" fillId="3" borderId="7" xfId="1" applyNumberFormat="1" applyFont="1" applyFill="1" applyBorder="1" applyAlignment="1">
      <alignment horizontal="center" vertical="center" wrapText="1"/>
    </xf>
    <xf numFmtId="10" fontId="0" fillId="0" borderId="0" xfId="1" applyNumberFormat="1" applyFont="1" applyAlignment="1">
      <alignment horizontal="center" vertical="center" wrapText="1"/>
    </xf>
    <xf numFmtId="22" fontId="0" fillId="0" borderId="0" xfId="0" applyNumberFormat="1"/>
    <xf numFmtId="0" fontId="4" fillId="0" borderId="0" xfId="0" applyFont="1"/>
    <xf numFmtId="0" fontId="0" fillId="0" borderId="0" xfId="0" applyNumberFormat="1" applyAlignment="1">
      <alignment horizontal="center"/>
    </xf>
    <xf numFmtId="166" fontId="0" fillId="4" borderId="3" xfId="0" applyNumberFormat="1" applyFont="1" applyFill="1" applyBorder="1"/>
    <xf numFmtId="166" fontId="0" fillId="3" borderId="3" xfId="0" applyNumberFormat="1" applyFont="1" applyFill="1" applyBorder="1"/>
    <xf numFmtId="166" fontId="0" fillId="4" borderId="8" xfId="0" applyNumberFormat="1" applyFont="1" applyFill="1" applyBorder="1"/>
    <xf numFmtId="0" fontId="4" fillId="0" borderId="0" xfId="0" applyNumberFormat="1" applyFont="1"/>
    <xf numFmtId="2" fontId="4" fillId="0" borderId="0" xfId="0" applyNumberFormat="1" applyFont="1"/>
    <xf numFmtId="0" fontId="4" fillId="0" borderId="0" xfId="0" applyFont="1" applyAlignment="1">
      <alignment vertical="center"/>
    </xf>
    <xf numFmtId="2" fontId="7" fillId="0" borderId="0" xfId="0" applyNumberFormat="1" applyFont="1"/>
    <xf numFmtId="1" fontId="7" fillId="0" borderId="0" xfId="0" applyNumberFormat="1" applyFont="1"/>
    <xf numFmtId="165" fontId="7" fillId="0" borderId="0" xfId="0" applyNumberFormat="1" applyFont="1"/>
    <xf numFmtId="49" fontId="7" fillId="0" borderId="0" xfId="0" applyNumberFormat="1" applyFont="1"/>
    <xf numFmtId="14" fontId="7" fillId="0" borderId="0" xfId="0" applyNumberFormat="1" applyFont="1"/>
    <xf numFmtId="0" fontId="9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64" fontId="9" fillId="0" borderId="0" xfId="1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167" fontId="0" fillId="0" borderId="0" xfId="1" applyNumberFormat="1" applyFont="1"/>
    <xf numFmtId="0" fontId="3" fillId="5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0" fillId="6" borderId="0" xfId="0" applyFill="1"/>
  </cellXfs>
  <cellStyles count="3">
    <cellStyle name="Comma" xfId="2" builtinId="3"/>
    <cellStyle name="Normal" xfId="0" builtinId="0"/>
    <cellStyle name="Percent" xfId="1" builtinId="5"/>
  </cellStyles>
  <dxfs count="112"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"/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 outline="0">
        <top style="thin">
          <color theme="0"/>
        </top>
      </border>
    </dxf>
    <dxf>
      <border outline="0">
        <right style="thin">
          <color theme="0"/>
        </right>
      </border>
    </dxf>
    <dxf>
      <alignment horizontal="center" vertical="center" textRotation="0" wrapText="1" indent="0" justifyLastLine="0" shrinkToFit="0" readingOrder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67" formatCode="0.0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0.0%"/>
      <alignment horizontal="general" vertical="center" textRotation="0" wrapText="0" indent="0" justifyLastLine="0" shrinkToFit="0" readingOrder="0"/>
    </dxf>
    <dxf>
      <numFmt numFmtId="0" formatCode="General"/>
    </dxf>
    <dxf>
      <numFmt numFmtId="2" formatCode="0.00"/>
    </dxf>
    <dxf>
      <numFmt numFmtId="30" formatCode="@"/>
    </dxf>
    <dxf>
      <numFmt numFmtId="19" formatCode="m/d/yyyy"/>
    </dxf>
    <dxf>
      <numFmt numFmtId="19" formatCode="m/d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1" formatCode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</dxf>
  </dxfs>
  <tableStyles count="0" defaultTableStyle="TableStyleMedium9" defaultPivotStyle="PivotStyleLight16"/>
  <colors>
    <mruColors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484848484848485E-2"/>
          <c:y val="0"/>
          <c:w val="0.8666666666666667"/>
          <c:h val="0.82002374911817155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'05_Control_Dashboard'!$B$6:$B$12</c:f>
              <c:numCache>
                <c:formatCode>General</c:formatCode>
                <c:ptCount val="7"/>
                <c:pt idx="0">
                  <c:v>5</c:v>
                </c:pt>
                <c:pt idx="1">
                  <c:v>5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86-4CAB-B92A-E26E800F00A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136294832"/>
        <c:axId val="1136290672"/>
      </c:barChart>
      <c:catAx>
        <c:axId val="1136294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290672"/>
        <c:crosses val="autoZero"/>
        <c:auto val="1"/>
        <c:lblAlgn val="ctr"/>
        <c:lblOffset val="100"/>
        <c:noMultiLvlLbl val="0"/>
      </c:catAx>
      <c:valAx>
        <c:axId val="11362906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36294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243840</xdr:colOff>
      <xdr:row>5</xdr:row>
      <xdr:rowOff>30480</xdr:rowOff>
    </xdr:from>
    <xdr:to>
      <xdr:col>2</xdr:col>
      <xdr:colOff>2339340</xdr:colOff>
      <xdr:row>12</xdr:row>
      <xdr:rowOff>240030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e_Control_Model_FU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_README"/>
      <sheetName val="1_Raw_Input"/>
      <sheetName val="2_Data_Dictionary"/>
      <sheetName val="3_Master_Data"/>
    </sheetNames>
    <sheetDataSet>
      <sheetData sheetId="0" refreshError="1"/>
      <sheetData sheetId="1" refreshError="1"/>
      <sheetData sheetId="2" refreshError="1"/>
      <sheetData sheetId="3">
        <row r="2">
          <cell r="A2" t="str">
            <v>Switzerland</v>
          </cell>
          <cell r="D2" t="str">
            <v>Jan-2026</v>
          </cell>
          <cell r="F2" t="str">
            <v>Employee</v>
          </cell>
          <cell r="I2" t="str">
            <v>Payroll</v>
          </cell>
          <cell r="O2" t="str">
            <v>Finance</v>
          </cell>
          <cell r="Q2" t="str">
            <v>PRJ001</v>
          </cell>
        </row>
        <row r="3">
          <cell r="A3" t="str">
            <v>Germany</v>
          </cell>
          <cell r="D3" t="str">
            <v>Feb-2026</v>
          </cell>
          <cell r="F3" t="str">
            <v>Contractor</v>
          </cell>
          <cell r="I3" t="str">
            <v>Contractor_Fee</v>
          </cell>
          <cell r="O3" t="str">
            <v>HR</v>
          </cell>
          <cell r="Q3" t="str">
            <v>PRJ002</v>
          </cell>
        </row>
        <row r="4">
          <cell r="A4" t="str">
            <v>USA</v>
          </cell>
          <cell r="D4" t="str">
            <v>Mar-2026</v>
          </cell>
          <cell r="F4" t="str">
            <v>Vendor</v>
          </cell>
          <cell r="I4" t="str">
            <v>Vendor_Invoice</v>
          </cell>
          <cell r="O4" t="str">
            <v>Tech</v>
          </cell>
          <cell r="Q4" t="str">
            <v>PRJ003</v>
          </cell>
        </row>
        <row r="5">
          <cell r="A5" t="str">
            <v>UAE</v>
          </cell>
          <cell r="F5" t="str">
            <v>Sub-Grantee</v>
          </cell>
          <cell r="I5" t="str">
            <v>Grant_Disbursement</v>
          </cell>
          <cell r="O5" t="str">
            <v>Programs</v>
          </cell>
          <cell r="Q5" t="str">
            <v>PRJ004</v>
          </cell>
        </row>
        <row r="6">
          <cell r="A6" t="str">
            <v>Jordan</v>
          </cell>
          <cell r="O6" t="str">
            <v>Operations</v>
          </cell>
        </row>
      </sheetData>
    </sheetDataSet>
  </externalBook>
</externalLink>
</file>

<file path=xl/tables/table1.xml><?xml version="1.0" encoding="utf-8"?>
<table xmlns="http://schemas.openxmlformats.org/spreadsheetml/2006/main" id="12" name="EOR" displayName="EOR" ref="A1:N13" totalsRowShown="0" headerRowDxfId="111">
  <autoFilter ref="A1:N13"/>
  <tableColumns count="14">
    <tableColumn id="1" name="Month" dataDxfId="110"/>
    <tableColumn id="2" name="Country"/>
    <tableColumn id="11" name="Currency"/>
    <tableColumn id="3" name="EOR_Provider" dataDxfId="109">
      <calculatedColumnFormula>IF(B2="Jordan","Oyster",
IF(B2="Germany","Oyster",
IF(B2="USA","Remote",
IF(B2="UAE","Deel",""))))</calculatedColumnFormula>
    </tableColumn>
    <tableColumn id="4" name="Invoice_Number" dataDxfId="108">
      <calculatedColumnFormula>UPPER(LEFT(D2,3) &amp; "-" &amp; LEFT(B2,2) &amp; "-" &amp; TEXT(A2,"MMYY"))</calculatedColumnFormula>
    </tableColumn>
    <tableColumn id="5" name="Invoice_Date" dataDxfId="107">
      <calculatedColumnFormula>EOMONTH(A2,0)</calculatedColumnFormula>
    </tableColumn>
    <tableColumn id="6" name="Employee_Count" dataDxfId="106">
      <calculatedColumnFormula>COUNTIFS(
'02_Validation_Engine'!$G:$G,$A2,
'02_Validation_Engine'!$D:$D,$B2,
'02_Validation_Engine'!$C:$C,"Employee",
'02_Validation_Engine'!$W:$W,"Pass",
'02_Validation_Engine'!$X:$X,"Yes"
)</calculatedColumnFormula>
    </tableColumn>
    <tableColumn id="7" name="Expected_Payroll" dataDxfId="105">
      <calculatedColumnFormula>SUMIFS(
'02_Validation_Engine'!$M:$M,
'02_Validation_Engine'!$G:$G,$A2,
'02_Validation_Engine'!$D:$D,$B2,
'02_Validation_Engine'!$C:$C,"Employee",
'02_Validation_Engine'!$W:$W,"Pass",
'02_Validation_Engine'!$X:$X,"Yes"
)</calculatedColumnFormula>
    </tableColumn>
    <tableColumn id="14" name="Employer_Tax_%"/>
    <tableColumn id="13" name="Service_Fee_%"/>
    <tableColumn id="8" name="Invoice_Total" dataDxfId="104">
      <calculatedColumnFormula>H2*(1+I2+J2)</calculatedColumnFormula>
    </tableColumn>
    <tableColumn id="9" name="Paid_Amount" dataDxfId="103">
      <calculatedColumnFormula>'04_EOR_Reconciliation'!K2</calculatedColumnFormula>
    </tableColumn>
    <tableColumn id="10" name="Variance" dataDxfId="102">
      <calculatedColumnFormula>EOR[[#This Row],[Invoice_Total]]-EOR[[#This Row],[Paid_Amount]]</calculatedColumnFormula>
    </tableColumn>
    <tableColumn id="12" name="Status" dataDxfId="101">
      <calculatedColumnFormula>IF(K2=L2,"Reconciled","Not Reconciled")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9" name="Table9" displayName="Table9" ref="A1:J331" totalsRowShown="0" headerRowDxfId="100" dataDxfId="99" totalsRowDxfId="98">
  <autoFilter ref="A1:J331"/>
  <tableColumns count="10">
    <tableColumn id="1" name="Record_ID" dataDxfId="97" totalsRowDxfId="96"/>
    <tableColumn id="13" name="Month" dataDxfId="95" totalsRowDxfId="94">
      <calculatedColumnFormula>IFERROR(VLOOKUP($A2,'02_Validation_Engine'!$A:$X,7,FALSE),"")</calculatedColumnFormula>
    </tableColumn>
    <tableColumn id="2" name="Payment_Type" dataDxfId="93" totalsRowDxfId="92"/>
    <tableColumn id="3" name="Name" dataDxfId="91" totalsRowDxfId="90"/>
    <tableColumn id="4" name="Country" dataDxfId="89" totalsRowDxfId="88"/>
    <tableColumn id="5" name="Currency" dataDxfId="87" totalsRowDxfId="86"/>
    <tableColumn id="6" name="Gross_Amount" dataDxfId="85" totalsRowDxfId="84"/>
    <tableColumn id="7" name="Exchange_Rate" dataDxfId="83" totalsRowDxfId="82"/>
    <tableColumn id="8" name="Amount_CHF" dataDxfId="81" totalsRowDxfId="80"/>
    <tableColumn id="9" name="Bank_Account" dataDxfId="79" totalsRowDxfId="78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id="8" name="ValidationTable" displayName="ValidationTable" ref="A1:X351" totalsRowShown="0" headerRowDxfId="77">
  <autoFilter ref="A1:X351">
    <filterColumn colId="23">
      <filters>
        <filter val="Yes"/>
      </filters>
    </filterColumn>
  </autoFilter>
  <tableColumns count="24">
    <tableColumn id="1" name="Record_ID" dataDxfId="76">
      <calculatedColumnFormula>RawTable[[#This Row],[Record_ID]]</calculatedColumnFormula>
    </tableColumn>
    <tableColumn id="2" name="Payment_Type" dataDxfId="75">
      <calculatedColumnFormula>RawTable[[#This Row],[Payment_Type]]</calculatedColumnFormula>
    </tableColumn>
    <tableColumn id="3" name="Entity_Type" dataDxfId="74">
      <calculatedColumnFormula>RawTable[[#This Row],[Entity_Type]]</calculatedColumnFormula>
    </tableColumn>
    <tableColumn id="4" name="Country" dataDxfId="73">
      <calculatedColumnFormula>RawTable[[#This Row],[Country]]</calculatedColumnFormula>
    </tableColumn>
    <tableColumn id="5" name="Name" dataDxfId="72">
      <calculatedColumnFormula>RawTable[[#This Row],[Name]]</calculatedColumnFormula>
    </tableColumn>
    <tableColumn id="6" name="Bank_Account" dataDxfId="71">
      <calculatedColumnFormula>RawTable[[#This Row],[Bank_Account]]</calculatedColumnFormula>
    </tableColumn>
    <tableColumn id="7" name="Month" dataDxfId="70">
      <calculatedColumnFormula>RawTable[[#This Row],[Month]]</calculatedColumnFormula>
    </tableColumn>
    <tableColumn id="8" name="Currency" dataDxfId="69">
      <calculatedColumnFormula>RawTable[[#This Row],[Currency]]</calculatedColumnFormula>
    </tableColumn>
    <tableColumn id="9" name="Net_Amount" dataDxfId="68">
      <calculatedColumnFormula>RawTable[[#This Row],[Net_Amount]]</calculatedColumnFormula>
    </tableColumn>
    <tableColumn id="10" name="VAT_Applicable" dataDxfId="67">
      <calculatedColumnFormula>RawTable[[#This Row],[VAT_Applicable]]</calculatedColumnFormula>
    </tableColumn>
    <tableColumn id="11" name="VAT_Rate" dataDxfId="66">
      <calculatedColumnFormula>RawTable[[#This Row],[VAT_Rate]]</calculatedColumnFormula>
    </tableColumn>
    <tableColumn id="12" name="VAT_Amount" dataDxfId="65">
      <calculatedColumnFormula>RawTable[[#This Row],[VAT_Amount]]</calculatedColumnFormula>
    </tableColumn>
    <tableColumn id="13" name="Gross_Amount" dataDxfId="64">
      <calculatedColumnFormula>RawTable[[#This Row],[Gross_Amount]]</calculatedColumnFormula>
    </tableColumn>
    <tableColumn id="14" name="Exchange_Rate" dataDxfId="63">
      <calculatedColumnFormula>RawTable[[#This Row],[Exchange_Rate]]</calculatedColumnFormula>
    </tableColumn>
    <tableColumn id="15" name="Amount_CHF" dataDxfId="62">
      <calculatedColumnFormula>RawTable[[#This Row],[Amount_CHF]]</calculatedColumnFormula>
    </tableColumn>
    <tableColumn id="20" name="RequiredField_Validation" dataDxfId="61">
      <calculatedColumnFormula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calculatedColumnFormula>
    </tableColumn>
    <tableColumn id="21" name="Amount_Validation" dataDxfId="60">
      <calculatedColumnFormula>IF(
OR(ValidationTable[[#This Row],[Net_Amount]]&lt;=0,
ROUND(ValidationTable[[#This Row],[Net_Amount]]+ValidationTable[[#This Row],[VAT_Amount]],2)&lt;&gt;ROUND(ValidationTable[[#This Row],[Gross_Amount]],2)
),
"Fail",
"Pass"
)</calculatedColumnFormula>
    </tableColumn>
    <tableColumn id="22" name="Currency_Validation" dataDxfId="59">
      <calculatedColumnFormula>IF(ValidationTable[[#This Row],[Currency]]="","Fail","Pass")</calculatedColumnFormula>
    </tableColumn>
    <tableColumn id="23" name="ExchangeRate_Validation" dataDxfId="58">
      <calculatedColumnFormula>IF(
ValidationTable[[#This Row],[Currency]]="CHF",
IF(ValidationTable[[#This Row],[Exchange_Rate]]&lt;&gt;1,"Fail","Pass"),
IF(ValidationTable[[#This Row],[Exchange_Rate]]&lt;=0,"Fail","Pass")
)</calculatedColumnFormula>
    </tableColumn>
    <tableColumn id="24" name="VAT_Validation" dataDxfId="57">
      <calculatedColumnFormula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calculatedColumnFormula>
    </tableColumn>
    <tableColumn id="26" name="Bank_Validation" dataDxfId="56">
      <calculatedColumnFormula>IF(LEN(TRIM(ValidationTable[[#This Row],[Bank_Account]]))=0,"Fail","Pass")</calculatedColumnFormula>
    </tableColumn>
    <tableColumn id="27" name="Duplicate_Validation" dataDxfId="55">
      <calculatedColumnFormula>IF(
COUNTIF(ValidationTable[Record_ID],ValidationTable[[#This Row],[Record_ID]])&gt;1,
"Fail",
"Pass"
)</calculatedColumnFormula>
    </tableColumn>
    <tableColumn id="29" name="Validation_Result" dataDxfId="54">
      <calculatedColumnFormula>IF(
COUNTIF(ValidationTable[[#This Row],[RequiredField_Validation]]:ValidationTable[[#This Row],[Duplicate_Validation]],"Fail")&gt;0,
"Fail",
"Pass"
)</calculatedColumnFormula>
    </tableColumn>
    <tableColumn id="30" name="Ready_For_Approval" dataDxfId="53">
      <calculatedColumnFormula>IF(ValidationTable[[#This Row],[Validation_Result]]="Pass","Yes","No")</calculatedColumnFormula>
    </tableColumn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id="3" name="RawTable" displayName="RawTable" ref="A1:T351" totalsRowShown="0" headerRowDxfId="52">
  <autoFilter ref="A1:T351"/>
  <tableColumns count="20">
    <tableColumn id="1" name="Record_ID" dataDxfId="51"/>
    <tableColumn id="2" name="Month" dataDxfId="50"/>
    <tableColumn id="3" name="Entity_Type" dataDxfId="49"/>
    <tableColumn id="4" name="Payment_Type" dataDxfId="48">
      <calculatedColumnFormula>IFERROR(VLOOKUP(RawTable[[#This Row],[Entity_Type]], EntityMap[], 2, FALSE), "")</calculatedColumnFormula>
    </tableColumn>
    <tableColumn id="5" name="Country" dataDxfId="47"/>
    <tableColumn id="6" name="Name" dataDxfId="46"/>
    <tableColumn id="7" name="Bank_Account" dataDxfId="45">
      <calculatedColumnFormula>IFERROR(VLOOKUP(RawTable[[#This Row],[Name]], Name_Master!$A:$E, 4, FALSE), "")</calculatedColumnFormula>
    </tableColumn>
    <tableColumn id="8" name="Invoice_Number" dataDxfId="44">
      <calculatedColumnFormula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calculatedColumnFormula>
    </tableColumn>
    <tableColumn id="9" name="Invoice_Date" dataDxfId="43">
      <calculatedColumnFormula>IF(RawTable[[#This Row],[Month]]="","",DATE(YEAR(RawTable[[#This Row],[Month]]),MONTH(RawTable[[#This Row],[Month]]),1))</calculatedColumnFormula>
    </tableColumn>
    <tableColumn id="10" name="Due_Date" dataDxfId="42">
      <calculatedColumnFormula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calculatedColumnFormula>
    </tableColumn>
    <tableColumn id="11" name="Currency" dataDxfId="41"/>
    <tableColumn id="16" name="Net_Amount" dataDxfId="40"/>
    <tableColumn id="17" name="VAT_Applicable" dataDxfId="39">
      <calculatedColumnFormula>IF(RawTable[[#This Row],[Net_Amount]]="","",IF(RawTable[[#This Row],[Payment_Type]]="Vendor_Invoice","Yes","No"))</calculatedColumnFormula>
    </tableColumn>
    <tableColumn id="18" name="VAT_Rate" dataDxfId="38" dataCellStyle="Percent">
      <calculatedColumnFormula>IF(D2="Vendor_Invoice",
     IFERROR(
         INDEX(System_Master_Data!$B$9:$B$14,
               MATCH(E2,System_Master_Data!$A$9:$A$14,0)
         ),
     0),
0)</calculatedColumnFormula>
    </tableColumn>
    <tableColumn id="19" name="VAT_Amount" dataDxfId="37">
      <calculatedColumnFormula>N2*L2</calculatedColumnFormula>
    </tableColumn>
    <tableColumn id="20" name="Gross_Amount" dataDxfId="36">
      <calculatedColumnFormula>O2+L2</calculatedColumnFormula>
    </tableColumn>
    <tableColumn id="21" name="Exchange_Rate" dataDxfId="35" dataCellStyle="Percent">
      <calculatedColumnFormula>IFERROR(VLOOKUP(RawTable[[#This Row],[Currency]], System_Master_Data!$A$24:$B$29, 2, FALSE), "")</calculatedColumnFormula>
    </tableColumn>
    <tableColumn id="22" name="Amount_CHF" dataDxfId="34">
      <calculatedColumnFormula>IF(RawTable[[#This Row],[Exchange_Rate]]="","",ROUND(RawTable[[#This Row],[Gross_Amount]]*RawTable[[#This Row],[Exchange_Rate]],2))</calculatedColumnFormula>
    </tableColumn>
    <tableColumn id="15" name="Employment_Model" dataDxfId="33">
      <calculatedColumnFormula>IF(RawTable[[#This Row],[Entity_Type]]&lt;&gt;"Employee",RawTable[[#This Row],[Entity_Type]],
IF(RawTable[[#This Row],[Country]]="Switzerland","Direct","EOR")
)</calculatedColumnFormula>
    </tableColumn>
    <tableColumn id="23" name="EOR_Provider" dataDxfId="32">
      <calculatedColumnFormula>IF(RawTable[[#This Row],[Employment_Model]]&lt;&gt;"EOR","",
IFERROR(VLOOKUP(RawTable[[#This Row],[Country]],EORMap[#All],3,FALSE),"")
)</calculatedColumnFormula>
    </tableColumn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id="11" name="EORMap" displayName="EORMap" ref="A1:C6" totalsRowShown="0" headerRowDxfId="31" dataDxfId="30">
  <autoFilter ref="A1:C6"/>
  <tableColumns count="3">
    <tableColumn id="1" name="Country" dataDxfId="29"/>
    <tableColumn id="2" name="Employment_Model" dataDxfId="28"/>
    <tableColumn id="3" name="EOR_Provider" dataDxfId="27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id="14" name="NameMaster" displayName="NameMaster" ref="A1:E107" totalsRowShown="0">
  <autoFilter ref="A1:E107"/>
  <tableColumns count="5">
    <tableColumn id="1" name="Name" dataDxfId="26"/>
    <tableColumn id="2" name="Entity_Type">
      <calculatedColumnFormula>INDEX('01_Raw_Input'!C:C, MATCH(A2, '01_Raw_Input'!F:F, 0))</calculatedColumnFormula>
    </tableColumn>
    <tableColumn id="3" name="Country">
      <calculatedColumnFormula>INDEX('01_Raw_Input'!E:E, MATCH(A2, '01_Raw_Input'!F:F, 0))</calculatedColumnFormula>
    </tableColumn>
    <tableColumn id="4" name="Bank_Account">
      <calculatedColumnFormula>IF(C2="Germany","DE89"&amp;TEXT(ROW()*13579,"0000000000000000"),
IF(C2="Switzerland","CH93"&amp;TEXT(ROW()*24680,"0000000000000000"),
IF(C2="Jordan","JO-IBAN-"&amp;TEXT(ROW()*12345,"00000000"),
IF(C2="UAE","AE-IBAN-"&amp;TEXT(ROW()*54321,"00000000"),
IF(C2="USA","US-RT-"&amp;TEXT(ROW()*1234,"000000000")&amp;"-AC-"&amp;TEXT(ROW()*5678,"0000000000"),
"")))))</calculatedColumnFormula>
    </tableColumn>
    <tableColumn id="5" name="Active_Status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id="2" name="DonorMaster" displayName="DonorMaster" ref="A2:C6" totalsRowShown="0" headerRowDxfId="25" dataDxfId="24">
  <autoFilter ref="A2:C6"/>
  <tableColumns count="3">
    <tableColumn id="1" name="Donor_Code" dataDxfId="23"/>
    <tableColumn id="2" name="Donor_Name" dataDxfId="22"/>
    <tableColumn id="3" name="Agreement_Reference" dataDxfId="21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id="4" name="CountryList" displayName="CountryList" ref="A9:B14" totalsRowShown="0" headerRowDxfId="20" dataDxfId="18" headerRowBorderDxfId="19" tableBorderDxfId="17" totalsRowBorderDxfId="16">
  <autoFilter ref="A9:B14"/>
  <tableColumns count="2">
    <tableColumn id="1" name="Country" dataDxfId="15"/>
    <tableColumn id="2" name="Default_VAT_Rate" dataDxfId="14" dataCellStyle="Percent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id="5" name="EntityMap" displayName="EntityMap" ref="A17:B21" totalsRowShown="0" headerRowDxfId="13" dataDxfId="12">
  <autoFilter ref="A17:B21"/>
  <tableColumns count="2">
    <tableColumn id="1" name="Entity_Type" dataDxfId="11"/>
    <tableColumn id="2" name="Payment_Type" dataDxfId="10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id="6" name="ExchangeRate" displayName="ExchangeRate" ref="A24:B29" totalsRowShown="0" headerRowDxfId="9" dataDxfId="8">
  <autoFilter ref="A24:B29"/>
  <tableColumns count="2">
    <tableColumn id="1" name="Currency" dataDxfId="7"/>
    <tableColumn id="2" name="Rate_to_CHF" dataDxfId="6" dataCellStyle="Percent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id="7" name="Apr" displayName="Apr" ref="A32:A36" totalsRowShown="0" headerRowDxfId="5" dataDxfId="4">
  <autoFilter ref="A32:A36"/>
  <tableColumns count="1">
    <tableColumn id="1" name="Status_List" dataDxfId="3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E14"/>
  <sheetViews>
    <sheetView showGridLines="0" tabSelected="1" workbookViewId="0">
      <pane ySplit="1" topLeftCell="A2" activePane="bottomLeft" state="frozen"/>
      <selection pane="bottomLeft" sqref="A1:B1"/>
    </sheetView>
  </sheetViews>
  <sheetFormatPr defaultRowHeight="14.4"/>
  <cols>
    <col min="1" max="1" width="27.44140625" bestFit="1" customWidth="1"/>
    <col min="2" max="2" width="8.77734375" bestFit="1" customWidth="1"/>
    <col min="3" max="4" width="37.109375" bestFit="1" customWidth="1"/>
    <col min="5" max="5" width="35.5546875" bestFit="1" customWidth="1"/>
  </cols>
  <sheetData>
    <row r="1" spans="1:5" ht="18">
      <c r="A1" s="57" t="s">
        <v>299</v>
      </c>
      <c r="B1" s="57"/>
      <c r="D1" s="57" t="s">
        <v>322</v>
      </c>
      <c r="E1" s="57"/>
    </row>
    <row r="2" spans="1:5" ht="21">
      <c r="A2" s="39" t="s">
        <v>136</v>
      </c>
      <c r="B2" s="52">
        <f>COUNTA('02_Validation_Engine'!A:A)-1</f>
        <v>350</v>
      </c>
      <c r="D2" s="39" t="s">
        <v>301</v>
      </c>
      <c r="E2" s="53">
        <f>COUNTA('04_EOR_Reconciliation'!E:E)-1</f>
        <v>12</v>
      </c>
    </row>
    <row r="3" spans="1:5" s="2" customFormat="1" ht="21">
      <c r="A3" s="39" t="s">
        <v>305</v>
      </c>
      <c r="B3" s="52">
        <f>COUNTIF('02_Validation_Engine'!W:W,"Fail")</f>
        <v>15</v>
      </c>
      <c r="D3" s="39" t="s">
        <v>302</v>
      </c>
      <c r="E3" s="55">
        <f>SUM('04_EOR_Reconciliation'!K:K)</f>
        <v>1642753.5599999998</v>
      </c>
    </row>
    <row r="4" spans="1:5" ht="21">
      <c r="A4" s="39" t="s">
        <v>300</v>
      </c>
      <c r="B4" s="53">
        <f>COUNTIF('02_Validation_Engine'!X:X,"Yes")</f>
        <v>335</v>
      </c>
      <c r="D4" s="39" t="s">
        <v>303</v>
      </c>
      <c r="E4" s="53">
        <f>COUNTIF('04_EOR_Reconciliation'!K:K,"Not Reconciled")</f>
        <v>0</v>
      </c>
    </row>
    <row r="5" spans="1:5" s="2" customFormat="1" ht="21">
      <c r="A5" s="39" t="s">
        <v>306</v>
      </c>
      <c r="B5" s="54">
        <f>IF(B2=0,0,B4/B2)</f>
        <v>0.95714285714285718</v>
      </c>
      <c r="D5" s="39" t="s">
        <v>304</v>
      </c>
      <c r="E5" s="52" t="str">
        <f>IF(E4=0,"All EOR invoices reconciled","Attention Required")</f>
        <v>All EOR invoices reconciled</v>
      </c>
    </row>
    <row r="6" spans="1:5" s="2" customFormat="1" ht="21">
      <c r="A6" s="39" t="s">
        <v>307</v>
      </c>
      <c r="B6" s="52">
        <f>COUNTIF('02_Validation_Engine'!P:P,"Fail")</f>
        <v>5</v>
      </c>
      <c r="D6" s="39"/>
      <c r="E6" s="52"/>
    </row>
    <row r="7" spans="1:5" s="2" customFormat="1" ht="21">
      <c r="A7" s="39" t="s">
        <v>137</v>
      </c>
      <c r="B7" s="52">
        <f>COUNTIF('02_Validation_Engine'!Q:Q,"Fail")</f>
        <v>5</v>
      </c>
    </row>
    <row r="8" spans="1:5" s="2" customFormat="1" ht="21">
      <c r="A8" s="39" t="s">
        <v>308</v>
      </c>
      <c r="B8" s="52">
        <f>COUNTIF('02_Validation_Engine'!U:U,"Fail")</f>
        <v>2</v>
      </c>
    </row>
    <row r="9" spans="1:5" s="2" customFormat="1" ht="21">
      <c r="A9" s="39" t="s">
        <v>309</v>
      </c>
      <c r="B9" s="52">
        <f>COUNTIF('02_Validation_Engine'!V:V,"Fail")</f>
        <v>2</v>
      </c>
    </row>
    <row r="10" spans="1:5" s="2" customFormat="1" ht="21">
      <c r="A10" s="39" t="s">
        <v>310</v>
      </c>
      <c r="B10" s="52">
        <f>COUNTIF('02_Validation_Engine'!R:R,"Fail")</f>
        <v>1</v>
      </c>
    </row>
    <row r="11" spans="1:5" s="2" customFormat="1" ht="21">
      <c r="A11" s="39" t="s">
        <v>312</v>
      </c>
      <c r="B11" s="52">
        <f>COUNTIF('02_Validation_Engine'!T:T,"Fail")</f>
        <v>1</v>
      </c>
    </row>
    <row r="12" spans="1:5" s="2" customFormat="1" ht="21">
      <c r="A12" s="39" t="s">
        <v>311</v>
      </c>
      <c r="B12" s="52">
        <f>COUNTIF('02_Validation_Engine'!S:S,"Fail")</f>
        <v>0</v>
      </c>
    </row>
    <row r="13" spans="1:5" s="2" customFormat="1"/>
    <row r="14" spans="1:5" s="2" customFormat="1"/>
  </sheetData>
  <mergeCells count="2">
    <mergeCell ref="A1:B1"/>
    <mergeCell ref="D1:E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N13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9.5546875" bestFit="1" customWidth="1"/>
    <col min="2" max="2" width="10.6640625" style="2" bestFit="1" customWidth="1"/>
    <col min="3" max="3" width="11.44140625" style="2" bestFit="1" customWidth="1"/>
    <col min="4" max="4" width="16.21875" style="2" bestFit="1" customWidth="1"/>
    <col min="5" max="5" width="18.5546875" style="2" bestFit="1" customWidth="1"/>
    <col min="6" max="6" width="15.44140625" style="2" bestFit="1" customWidth="1"/>
    <col min="7" max="7" width="19.21875" style="2" bestFit="1" customWidth="1"/>
    <col min="8" max="8" width="19.44140625" style="2" bestFit="1" customWidth="1"/>
    <col min="9" max="9" width="19.21875" style="2" bestFit="1" customWidth="1"/>
    <col min="10" max="10" width="16.88671875" style="2" bestFit="1" customWidth="1"/>
    <col min="11" max="11" width="15.77734375" style="2" bestFit="1" customWidth="1"/>
    <col min="12" max="12" width="16.109375" style="2" bestFit="1" customWidth="1"/>
    <col min="13" max="13" width="11.33203125" style="2" bestFit="1" customWidth="1"/>
    <col min="14" max="14" width="9.88671875" style="2" bestFit="1" customWidth="1"/>
  </cols>
  <sheetData>
    <row r="1" spans="1:14" ht="15.6">
      <c r="A1" s="39" t="s">
        <v>26</v>
      </c>
      <c r="B1" s="39" t="s">
        <v>0</v>
      </c>
      <c r="C1" s="39" t="s">
        <v>1</v>
      </c>
      <c r="D1" s="39" t="s">
        <v>288</v>
      </c>
      <c r="E1" s="39" t="s">
        <v>157</v>
      </c>
      <c r="F1" s="39" t="s">
        <v>158</v>
      </c>
      <c r="G1" s="39" t="s">
        <v>284</v>
      </c>
      <c r="H1" s="39" t="s">
        <v>296</v>
      </c>
      <c r="I1" s="39" t="s">
        <v>297</v>
      </c>
      <c r="J1" s="39" t="s">
        <v>298</v>
      </c>
      <c r="K1" s="39" t="s">
        <v>289</v>
      </c>
      <c r="L1" s="39" t="s">
        <v>285</v>
      </c>
      <c r="M1" s="39" t="s">
        <v>286</v>
      </c>
      <c r="N1" s="39" t="s">
        <v>287</v>
      </c>
    </row>
    <row r="2" spans="1:14">
      <c r="A2" s="28">
        <v>46023</v>
      </c>
      <c r="B2" t="s">
        <v>10</v>
      </c>
      <c r="C2" s="2" t="s">
        <v>11</v>
      </c>
      <c r="D2" s="2" t="str">
        <f t="shared" ref="D2:D13" si="0">IF(B2="Jordan","Oyster",
IF(B2="Germany","Oyster",
IF(B2="USA","Remote",
IF(B2="UAE","Deel",""))))</f>
        <v>Oyster</v>
      </c>
      <c r="E2" s="2" t="str">
        <f t="shared" ref="E2:E13" si="1">UPPER(LEFT(D2,3) &amp; "-" &amp; LEFT(B2,2) &amp; "-" &amp; TEXT(A2,"MMYY"))</f>
        <v>OYS-JO-0126</v>
      </c>
      <c r="F2" s="1">
        <f t="shared" ref="F2:F13" si="2">EOMONTH(A2,0)</f>
        <v>46053</v>
      </c>
      <c r="G2" s="2">
        <f>COUNTIFS(
'02_Validation_Engine'!$G:$G,$A2,
'02_Validation_Engine'!$D:$D,$B2,
'02_Validation_Engine'!$C:$C,"Employee",
'02_Validation_Engine'!$W:$W,"Pass",
'02_Validation_Engine'!$X:$X,"Yes"
)</f>
        <v>15</v>
      </c>
      <c r="H2" s="2">
        <f>SUMIFS(
'02_Validation_Engine'!$M:$M,
'02_Validation_Engine'!$G:$G,$A2,
'02_Validation_Engine'!$D:$D,$B2,
'02_Validation_Engine'!$C:$C,"Employee",
'02_Validation_Engine'!$W:$W,"Pass",
'02_Validation_Engine'!$X:$X,"Yes"
)</f>
        <v>27437.819999999996</v>
      </c>
      <c r="I2" s="27">
        <v>0.15</v>
      </c>
      <c r="J2" s="27">
        <v>0.05</v>
      </c>
      <c r="K2" s="4">
        <f t="shared" ref="K2:K13" si="3">H2*(1+I2+J2)</f>
        <v>32925.383999999991</v>
      </c>
      <c r="L2" s="4">
        <f>'04_EOR_Reconciliation'!K2</f>
        <v>32925.383999999991</v>
      </c>
      <c r="M2" s="2">
        <f>EOR[[#This Row],[Invoice_Total]]-EOR[[#This Row],[Paid_Amount]]</f>
        <v>0</v>
      </c>
      <c r="N2" t="str">
        <f t="shared" ref="N2:N13" si="4">IF(K2=L2,"Reconciled","Not Reconciled")</f>
        <v>Reconciled</v>
      </c>
    </row>
    <row r="3" spans="1:14">
      <c r="A3" s="28">
        <v>46023</v>
      </c>
      <c r="B3" t="s">
        <v>6</v>
      </c>
      <c r="C3" s="2" t="s">
        <v>7</v>
      </c>
      <c r="D3" s="2" t="str">
        <f t="shared" si="0"/>
        <v>Remote</v>
      </c>
      <c r="E3" s="2" t="str">
        <f t="shared" si="1"/>
        <v>REM-US-0126</v>
      </c>
      <c r="F3" s="1">
        <f t="shared" si="2"/>
        <v>46053</v>
      </c>
      <c r="G3" s="2">
        <f>COUNTIFS(
'02_Validation_Engine'!$G:$G,$A3,
'02_Validation_Engine'!$D:$D,$B3,
'02_Validation_Engine'!$C:$C,"Employee",
'02_Validation_Engine'!$W:$W,"Pass",
'02_Validation_Engine'!$X:$X,"Yes"
)</f>
        <v>18</v>
      </c>
      <c r="H3" s="59">
        <f>SUMIFS(
'02_Validation_Engine'!$M:$M,
'02_Validation_Engine'!$G:$G,$A3,
'02_Validation_Engine'!$D:$D,$B3,
'02_Validation_Engine'!$C:$C,"Employee",
'02_Validation_Engine'!$W:$W,"Pass",
'02_Validation_Engine'!$X:$X,"Yes"
)</f>
        <v>127990.63999999998</v>
      </c>
      <c r="I3" s="27">
        <v>0.15</v>
      </c>
      <c r="J3" s="27">
        <v>0.05</v>
      </c>
      <c r="K3" s="4">
        <f t="shared" si="3"/>
        <v>153588.76799999998</v>
      </c>
      <c r="L3" s="4">
        <f>'04_EOR_Reconciliation'!K3</f>
        <v>153588.76799999998</v>
      </c>
      <c r="M3" s="2">
        <f>EOR[[#This Row],[Invoice_Total]]-EOR[[#This Row],[Paid_Amount]]</f>
        <v>0</v>
      </c>
      <c r="N3" s="2" t="str">
        <f t="shared" si="4"/>
        <v>Reconciled</v>
      </c>
    </row>
    <row r="4" spans="1:14">
      <c r="A4" s="28">
        <v>46023</v>
      </c>
      <c r="B4" t="s">
        <v>4</v>
      </c>
      <c r="C4" s="2" t="s">
        <v>5</v>
      </c>
      <c r="D4" s="2" t="str">
        <f t="shared" si="0"/>
        <v>Oyster</v>
      </c>
      <c r="E4" s="2" t="str">
        <f t="shared" si="1"/>
        <v>OYS-GE-0126</v>
      </c>
      <c r="F4" s="1">
        <f t="shared" si="2"/>
        <v>46053</v>
      </c>
      <c r="G4" s="2">
        <f>COUNTIFS(
'02_Validation_Engine'!$G:$G,$A4,
'02_Validation_Engine'!$D:$D,$B4,
'02_Validation_Engine'!$C:$C,"Employee",
'02_Validation_Engine'!$W:$W,"Pass",
'02_Validation_Engine'!$X:$X,"Yes"
)</f>
        <v>12</v>
      </c>
      <c r="H4" s="2">
        <f>SUMIFS(
'02_Validation_Engine'!$M:$M,
'02_Validation_Engine'!$G:$G,$A4,
'02_Validation_Engine'!$D:$D,$B4,
'02_Validation_Engine'!$C:$C,"Employee",
'02_Validation_Engine'!$W:$W,"Pass",
'02_Validation_Engine'!$X:$X,"Yes"
)</f>
        <v>72844.14</v>
      </c>
      <c r="I4" s="27">
        <v>0.15</v>
      </c>
      <c r="J4" s="27">
        <v>0.05</v>
      </c>
      <c r="K4" s="4">
        <f t="shared" si="3"/>
        <v>87412.967999999993</v>
      </c>
      <c r="L4" s="4">
        <f>'04_EOR_Reconciliation'!K4</f>
        <v>87412.967999999993</v>
      </c>
      <c r="M4" s="2">
        <f>EOR[[#This Row],[Invoice_Total]]-EOR[[#This Row],[Paid_Amount]]</f>
        <v>0</v>
      </c>
      <c r="N4" s="2" t="str">
        <f t="shared" si="4"/>
        <v>Reconciled</v>
      </c>
    </row>
    <row r="5" spans="1:14">
      <c r="A5" s="28">
        <v>46023</v>
      </c>
      <c r="B5" t="s">
        <v>8</v>
      </c>
      <c r="C5" s="2" t="s">
        <v>9</v>
      </c>
      <c r="D5" s="2" t="str">
        <f t="shared" si="0"/>
        <v>Deel</v>
      </c>
      <c r="E5" s="2" t="str">
        <f t="shared" si="1"/>
        <v>DEE-UA-0126</v>
      </c>
      <c r="F5" s="1">
        <f t="shared" si="2"/>
        <v>46053</v>
      </c>
      <c r="G5" s="2">
        <f>COUNTIFS(
'02_Validation_Engine'!$G:$G,$A5,
'02_Validation_Engine'!$D:$D,$B5,
'02_Validation_Engine'!$C:$C,"Employee",
'02_Validation_Engine'!$W:$W,"Pass",
'02_Validation_Engine'!$X:$X,"Yes"
)</f>
        <v>17</v>
      </c>
      <c r="H5" s="2">
        <f>SUMIFS(
'02_Validation_Engine'!$M:$M,
'02_Validation_Engine'!$G:$G,$A5,
'02_Validation_Engine'!$D:$D,$B5,
'02_Validation_Engine'!$C:$C,"Employee",
'02_Validation_Engine'!$W:$W,"Pass",
'02_Validation_Engine'!$X:$X,"Yes"
)</f>
        <v>371120.55</v>
      </c>
      <c r="I5" s="27">
        <v>0.15</v>
      </c>
      <c r="J5" s="27">
        <v>0.05</v>
      </c>
      <c r="K5" s="4">
        <f t="shared" si="3"/>
        <v>445344.66</v>
      </c>
      <c r="L5" s="4">
        <f>'04_EOR_Reconciliation'!K5</f>
        <v>445344.66</v>
      </c>
      <c r="M5" s="2">
        <f>EOR[[#This Row],[Invoice_Total]]-EOR[[#This Row],[Paid_Amount]]</f>
        <v>0</v>
      </c>
      <c r="N5" s="2" t="str">
        <f t="shared" si="4"/>
        <v>Reconciled</v>
      </c>
    </row>
    <row r="6" spans="1:14">
      <c r="A6" s="28">
        <v>46054</v>
      </c>
      <c r="B6" s="2" t="s">
        <v>10</v>
      </c>
      <c r="C6" s="2" t="s">
        <v>11</v>
      </c>
      <c r="D6" s="2" t="str">
        <f t="shared" si="0"/>
        <v>Oyster</v>
      </c>
      <c r="E6" s="2" t="str">
        <f t="shared" si="1"/>
        <v>OYS-JO-0226</v>
      </c>
      <c r="F6" s="1">
        <f t="shared" si="2"/>
        <v>46081</v>
      </c>
      <c r="G6" s="2">
        <f>COUNTIFS(
'02_Validation_Engine'!$G:$G,$A6,
'02_Validation_Engine'!$D:$D,$B6,
'02_Validation_Engine'!$C:$C,"Employee",
'02_Validation_Engine'!$W:$W,"Pass",
'02_Validation_Engine'!$X:$X,"Yes"
)</f>
        <v>15</v>
      </c>
      <c r="H6" s="2">
        <f>SUMIFS(
'02_Validation_Engine'!$M:$M,
'02_Validation_Engine'!$G:$G,$A6,
'02_Validation_Engine'!$D:$D,$B6,
'02_Validation_Engine'!$C:$C,"Employee",
'02_Validation_Engine'!$W:$W,"Pass",
'02_Validation_Engine'!$X:$X,"Yes"
)</f>
        <v>27442.469999999998</v>
      </c>
      <c r="I6" s="27">
        <v>0.15</v>
      </c>
      <c r="J6" s="27">
        <v>0.05</v>
      </c>
      <c r="K6" s="4">
        <f t="shared" si="3"/>
        <v>32930.963999999993</v>
      </c>
      <c r="L6" s="4">
        <f>'04_EOR_Reconciliation'!K6</f>
        <v>32930.963999999993</v>
      </c>
      <c r="M6" s="2">
        <f>EOR[[#This Row],[Invoice_Total]]-EOR[[#This Row],[Paid_Amount]]</f>
        <v>0</v>
      </c>
      <c r="N6" s="2" t="str">
        <f t="shared" si="4"/>
        <v>Reconciled</v>
      </c>
    </row>
    <row r="7" spans="1:14">
      <c r="A7" s="28">
        <v>46054</v>
      </c>
      <c r="B7" s="2" t="s">
        <v>6</v>
      </c>
      <c r="C7" s="2" t="s">
        <v>7</v>
      </c>
      <c r="D7" s="2" t="str">
        <f t="shared" si="0"/>
        <v>Remote</v>
      </c>
      <c r="E7" s="2" t="str">
        <f t="shared" si="1"/>
        <v>REM-US-0226</v>
      </c>
      <c r="F7" s="1">
        <f t="shared" si="2"/>
        <v>46081</v>
      </c>
      <c r="G7" s="2">
        <f>COUNTIFS(
'02_Validation_Engine'!$G:$G,$A7,
'02_Validation_Engine'!$D:$D,$B7,
'02_Validation_Engine'!$C:$C,"Employee",
'02_Validation_Engine'!$W:$W,"Pass",
'02_Validation_Engine'!$X:$X,"Yes"
)</f>
        <v>13</v>
      </c>
      <c r="H7" s="2">
        <f>SUMIFS(
'02_Validation_Engine'!$M:$M,
'02_Validation_Engine'!$G:$G,$A7,
'02_Validation_Engine'!$D:$D,$B7,
'02_Validation_Engine'!$C:$C,"Employee",
'02_Validation_Engine'!$W:$W,"Pass",
'02_Validation_Engine'!$X:$X,"Yes"
)</f>
        <v>92854.43</v>
      </c>
      <c r="I7" s="27">
        <v>0.15</v>
      </c>
      <c r="J7" s="27">
        <v>0.05</v>
      </c>
      <c r="K7" s="4">
        <f t="shared" si="3"/>
        <v>111425.31599999999</v>
      </c>
      <c r="L7" s="4">
        <f>'04_EOR_Reconciliation'!K7</f>
        <v>111425.31599999999</v>
      </c>
      <c r="M7" s="2">
        <f>EOR[[#This Row],[Invoice_Total]]-EOR[[#This Row],[Paid_Amount]]</f>
        <v>0</v>
      </c>
      <c r="N7" s="2" t="str">
        <f t="shared" si="4"/>
        <v>Reconciled</v>
      </c>
    </row>
    <row r="8" spans="1:14">
      <c r="A8" s="28">
        <v>46054</v>
      </c>
      <c r="B8" s="2" t="s">
        <v>4</v>
      </c>
      <c r="C8" s="2" t="s">
        <v>5</v>
      </c>
      <c r="D8" s="2" t="str">
        <f t="shared" si="0"/>
        <v>Oyster</v>
      </c>
      <c r="E8" s="2" t="str">
        <f t="shared" si="1"/>
        <v>OYS-GE-0226</v>
      </c>
      <c r="F8" s="1">
        <f t="shared" si="2"/>
        <v>46081</v>
      </c>
      <c r="G8" s="2">
        <f>COUNTIFS(
'02_Validation_Engine'!$G:$G,$A8,
'02_Validation_Engine'!$D:$D,$B8,
'02_Validation_Engine'!$C:$C,"Employee",
'02_Validation_Engine'!$W:$W,"Pass",
'02_Validation_Engine'!$X:$X,"Yes"
)</f>
        <v>13</v>
      </c>
      <c r="H8" s="2">
        <f>SUMIFS(
'02_Validation_Engine'!$M:$M,
'02_Validation_Engine'!$G:$G,$A8,
'02_Validation_Engine'!$D:$D,$B8,
'02_Validation_Engine'!$C:$C,"Employee",
'02_Validation_Engine'!$W:$W,"Pass",
'02_Validation_Engine'!$X:$X,"Yes"
)</f>
        <v>78234.169999999984</v>
      </c>
      <c r="I8" s="27">
        <v>0.15</v>
      </c>
      <c r="J8" s="27">
        <v>0.05</v>
      </c>
      <c r="K8" s="4">
        <f t="shared" si="3"/>
        <v>93881.003999999972</v>
      </c>
      <c r="L8" s="4">
        <f>'04_EOR_Reconciliation'!K8</f>
        <v>93881.003999999972</v>
      </c>
      <c r="M8" s="2">
        <f>EOR[[#This Row],[Invoice_Total]]-EOR[[#This Row],[Paid_Amount]]</f>
        <v>0</v>
      </c>
      <c r="N8" s="2" t="str">
        <f t="shared" si="4"/>
        <v>Reconciled</v>
      </c>
    </row>
    <row r="9" spans="1:14">
      <c r="A9" s="28">
        <v>46054</v>
      </c>
      <c r="B9" s="2" t="s">
        <v>8</v>
      </c>
      <c r="C9" s="2" t="s">
        <v>9</v>
      </c>
      <c r="D9" s="2" t="str">
        <f t="shared" si="0"/>
        <v>Deel</v>
      </c>
      <c r="E9" s="2" t="str">
        <f t="shared" si="1"/>
        <v>DEE-UA-0226</v>
      </c>
      <c r="F9" s="1">
        <f t="shared" si="2"/>
        <v>46081</v>
      </c>
      <c r="G9" s="2">
        <f>COUNTIFS(
'02_Validation_Engine'!$G:$G,$A9,
'02_Validation_Engine'!$D:$D,$B9,
'02_Validation_Engine'!$C:$C,"Employee",
'02_Validation_Engine'!$W:$W,"Pass",
'02_Validation_Engine'!$X:$X,"Yes"
)</f>
        <v>10</v>
      </c>
      <c r="H9" s="2">
        <f>SUMIFS(
'02_Validation_Engine'!$M:$M,
'02_Validation_Engine'!$G:$G,$A9,
'02_Validation_Engine'!$D:$D,$B9,
'02_Validation_Engine'!$C:$C,"Employee",
'02_Validation_Engine'!$W:$W,"Pass",
'02_Validation_Engine'!$X:$X,"Yes"
)</f>
        <v>226770.84</v>
      </c>
      <c r="I9" s="27">
        <v>0.15</v>
      </c>
      <c r="J9" s="27">
        <v>0.05</v>
      </c>
      <c r="K9" s="4">
        <f t="shared" si="3"/>
        <v>272125.00799999997</v>
      </c>
      <c r="L9" s="4">
        <f>'04_EOR_Reconciliation'!K9</f>
        <v>272125.00799999997</v>
      </c>
      <c r="M9" s="2">
        <f>EOR[[#This Row],[Invoice_Total]]-EOR[[#This Row],[Paid_Amount]]</f>
        <v>0</v>
      </c>
      <c r="N9" s="2" t="str">
        <f t="shared" si="4"/>
        <v>Reconciled</v>
      </c>
    </row>
    <row r="10" spans="1:14">
      <c r="A10" s="28">
        <v>46082</v>
      </c>
      <c r="B10" s="2" t="s">
        <v>10</v>
      </c>
      <c r="C10" s="2" t="s">
        <v>11</v>
      </c>
      <c r="D10" s="2" t="str">
        <f t="shared" si="0"/>
        <v>Oyster</v>
      </c>
      <c r="E10" s="2" t="str">
        <f t="shared" si="1"/>
        <v>OYS-JO-0326</v>
      </c>
      <c r="F10" s="1">
        <f t="shared" si="2"/>
        <v>46112</v>
      </c>
      <c r="G10" s="2">
        <f>COUNTIFS(
'02_Validation_Engine'!$G:$G,$A10,
'02_Validation_Engine'!$D:$D,$B10,
'02_Validation_Engine'!$C:$C,"Employee",
'02_Validation_Engine'!$W:$W,"Pass",
'02_Validation_Engine'!$X:$X,"Yes"
)</f>
        <v>10</v>
      </c>
      <c r="H10" s="2">
        <f>SUMIFS(
'02_Validation_Engine'!$M:$M,
'02_Validation_Engine'!$G:$G,$A10,
'02_Validation_Engine'!$D:$D,$B10,
'02_Validation_Engine'!$C:$C,"Employee",
'02_Validation_Engine'!$W:$W,"Pass",
'02_Validation_Engine'!$X:$X,"Yes"
)</f>
        <v>18005.800000000003</v>
      </c>
      <c r="I10" s="27">
        <v>0.15</v>
      </c>
      <c r="J10" s="27">
        <v>0.05</v>
      </c>
      <c r="K10" s="4">
        <f t="shared" si="3"/>
        <v>21606.960000000003</v>
      </c>
      <c r="L10" s="4">
        <f>'04_EOR_Reconciliation'!K10</f>
        <v>21606.960000000003</v>
      </c>
      <c r="M10" s="2">
        <f>EOR[[#This Row],[Invoice_Total]]-EOR[[#This Row],[Paid_Amount]]</f>
        <v>0</v>
      </c>
      <c r="N10" s="2" t="str">
        <f t="shared" si="4"/>
        <v>Reconciled</v>
      </c>
    </row>
    <row r="11" spans="1:14">
      <c r="A11" s="28">
        <v>46082</v>
      </c>
      <c r="B11" s="2" t="s">
        <v>6</v>
      </c>
      <c r="C11" s="2" t="s">
        <v>7</v>
      </c>
      <c r="D11" s="2" t="str">
        <f t="shared" si="0"/>
        <v>Remote</v>
      </c>
      <c r="E11" s="2" t="str">
        <f t="shared" si="1"/>
        <v>REM-US-0326</v>
      </c>
      <c r="F11" s="1">
        <f t="shared" si="2"/>
        <v>46112</v>
      </c>
      <c r="G11" s="2">
        <f>COUNTIFS(
'02_Validation_Engine'!$G:$G,$A11,
'02_Validation_Engine'!$D:$D,$B11,
'02_Validation_Engine'!$C:$C,"Employee",
'02_Validation_Engine'!$W:$W,"Pass",
'02_Validation_Engine'!$X:$X,"Yes"
)</f>
        <v>12</v>
      </c>
      <c r="H11" s="2">
        <f>SUMIFS(
'02_Validation_Engine'!$M:$M,
'02_Validation_Engine'!$G:$G,$A11,
'02_Validation_Engine'!$D:$D,$B11,
'02_Validation_Engine'!$C:$C,"Employee",
'02_Validation_Engine'!$W:$W,"Pass",
'02_Validation_Engine'!$X:$X,"Yes"
)</f>
        <v>86738.079999999987</v>
      </c>
      <c r="I11" s="27">
        <v>0.15</v>
      </c>
      <c r="J11" s="27">
        <v>0.05</v>
      </c>
      <c r="K11" s="4">
        <f t="shared" si="3"/>
        <v>104085.69599999998</v>
      </c>
      <c r="L11" s="4">
        <f>'04_EOR_Reconciliation'!K11</f>
        <v>104085.69599999998</v>
      </c>
      <c r="M11" s="2">
        <f>EOR[[#This Row],[Invoice_Total]]-EOR[[#This Row],[Paid_Amount]]</f>
        <v>0</v>
      </c>
      <c r="N11" s="2" t="str">
        <f t="shared" si="4"/>
        <v>Reconciled</v>
      </c>
    </row>
    <row r="12" spans="1:14">
      <c r="A12" s="28">
        <v>46082</v>
      </c>
      <c r="B12" s="2" t="s">
        <v>4</v>
      </c>
      <c r="C12" s="2" t="s">
        <v>5</v>
      </c>
      <c r="D12" s="2" t="str">
        <f t="shared" si="0"/>
        <v>Oyster</v>
      </c>
      <c r="E12" s="2" t="str">
        <f t="shared" si="1"/>
        <v>OYS-GE-0326</v>
      </c>
      <c r="F12" s="1">
        <f t="shared" si="2"/>
        <v>46112</v>
      </c>
      <c r="G12" s="2">
        <f>COUNTIFS(
'02_Validation_Engine'!$G:$G,$A12,
'02_Validation_Engine'!$D:$D,$B12,
'02_Validation_Engine'!$C:$C,"Employee",
'02_Validation_Engine'!$W:$W,"Pass",
'02_Validation_Engine'!$X:$X,"Yes"
)</f>
        <v>10</v>
      </c>
      <c r="H12" s="59">
        <f>SUMIFS(
'02_Validation_Engine'!$M:$M,
'02_Validation_Engine'!$G:$G,$A12,
'02_Validation_Engine'!$D:$D,$B12,
'02_Validation_Engine'!$C:$C,"Employee",
'02_Validation_Engine'!$W:$W,"Pass",
'02_Validation_Engine'!$X:$X,"Yes"
)</f>
        <v>61273.14</v>
      </c>
      <c r="I12" s="27">
        <v>0.15</v>
      </c>
      <c r="J12" s="27">
        <v>0.05</v>
      </c>
      <c r="K12" s="4">
        <f t="shared" si="3"/>
        <v>73527.767999999996</v>
      </c>
      <c r="L12" s="4">
        <f>'04_EOR_Reconciliation'!K12</f>
        <v>73527.767999999996</v>
      </c>
      <c r="M12" s="2">
        <f>EOR[[#This Row],[Invoice_Total]]-EOR[[#This Row],[Paid_Amount]]</f>
        <v>0</v>
      </c>
      <c r="N12" s="2" t="str">
        <f t="shared" si="4"/>
        <v>Reconciled</v>
      </c>
    </row>
    <row r="13" spans="1:14">
      <c r="A13" s="28">
        <v>46082</v>
      </c>
      <c r="B13" s="2" t="s">
        <v>8</v>
      </c>
      <c r="C13" s="2" t="s">
        <v>9</v>
      </c>
      <c r="D13" s="2" t="str">
        <f t="shared" si="0"/>
        <v>Deel</v>
      </c>
      <c r="E13" s="2" t="str">
        <f t="shared" si="1"/>
        <v>DEE-UA-0326</v>
      </c>
      <c r="F13" s="1">
        <f t="shared" si="2"/>
        <v>46112</v>
      </c>
      <c r="G13" s="2">
        <f>COUNTIFS(
'02_Validation_Engine'!$G:$G,$A13,
'02_Validation_Engine'!$D:$D,$B13,
'02_Validation_Engine'!$C:$C,"Employee",
'02_Validation_Engine'!$W:$W,"Pass",
'02_Validation_Engine'!$X:$X,"Yes"
)</f>
        <v>8</v>
      </c>
      <c r="H13" s="2">
        <f>SUMIFS(
'02_Validation_Engine'!$M:$M,
'02_Validation_Engine'!$G:$G,$A13,
'02_Validation_Engine'!$D:$D,$B13,
'02_Validation_Engine'!$C:$C,"Employee",
'02_Validation_Engine'!$W:$W,"Pass",
'02_Validation_Engine'!$X:$X,"Yes"
)</f>
        <v>178249.21999999997</v>
      </c>
      <c r="I13" s="27">
        <v>0.15</v>
      </c>
      <c r="J13" s="27">
        <v>0.05</v>
      </c>
      <c r="K13" s="4">
        <f t="shared" si="3"/>
        <v>213899.06399999995</v>
      </c>
      <c r="L13" s="4">
        <f>'04_EOR_Reconciliation'!K13</f>
        <v>213899.06399999995</v>
      </c>
      <c r="M13" s="2">
        <f>EOR[[#This Row],[Invoice_Total]]-EOR[[#This Row],[Paid_Amount]]</f>
        <v>0</v>
      </c>
      <c r="N13" s="2" t="str">
        <f t="shared" si="4"/>
        <v>Reconciled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CC00"/>
  </sheetPr>
  <dimension ref="A1:L331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2.77734375" bestFit="1" customWidth="1"/>
    <col min="2" max="2" width="9.5546875" style="2" bestFit="1" customWidth="1"/>
    <col min="3" max="3" width="17.88671875" bestFit="1" customWidth="1"/>
    <col min="4" max="4" width="27.33203125" bestFit="1" customWidth="1"/>
    <col min="5" max="5" width="10.6640625" bestFit="1" customWidth="1"/>
    <col min="6" max="6" width="11.44140625" bestFit="1" customWidth="1"/>
    <col min="7" max="7" width="17.21875" bestFit="1" customWidth="1"/>
    <col min="8" max="8" width="17.33203125" bestFit="1" customWidth="1"/>
    <col min="9" max="9" width="15.6640625" bestFit="1" customWidth="1"/>
    <col min="10" max="10" width="29.77734375" bestFit="1" customWidth="1"/>
    <col min="11" max="11" width="8.88671875" style="2"/>
    <col min="12" max="12" width="14" bestFit="1" customWidth="1"/>
  </cols>
  <sheetData>
    <row r="1" spans="1:12" ht="15.6">
      <c r="A1" s="39" t="s">
        <v>22</v>
      </c>
      <c r="B1" s="39" t="s">
        <v>26</v>
      </c>
      <c r="C1" s="39" t="s">
        <v>12</v>
      </c>
      <c r="D1" s="39" t="s">
        <v>23</v>
      </c>
      <c r="E1" s="39" t="s">
        <v>0</v>
      </c>
      <c r="F1" s="39" t="s">
        <v>1</v>
      </c>
      <c r="G1" s="39" t="s">
        <v>24</v>
      </c>
      <c r="H1" s="39" t="s">
        <v>160</v>
      </c>
      <c r="I1" s="39" t="s">
        <v>161</v>
      </c>
      <c r="J1" s="46" t="s">
        <v>25</v>
      </c>
    </row>
    <row r="2" spans="1:12">
      <c r="A2" s="18">
        <v>1</v>
      </c>
      <c r="B2" s="18" t="str">
        <f>IFERROR(VLOOKUP($A2,'02_Validation_Engine'!$A:$X,7,FALSE),"")</f>
        <v>Feb-2026</v>
      </c>
      <c r="C2" s="13" t="s">
        <v>13</v>
      </c>
      <c r="D2" s="13" t="s">
        <v>27</v>
      </c>
      <c r="E2" s="13" t="s">
        <v>10</v>
      </c>
      <c r="F2" s="13" t="s">
        <v>11</v>
      </c>
      <c r="G2" s="15">
        <v>1687.14</v>
      </c>
      <c r="H2" s="42">
        <v>1.08643</v>
      </c>
      <c r="I2" s="15">
        <v>1832.96</v>
      </c>
      <c r="J2" s="13" t="s">
        <v>179</v>
      </c>
    </row>
    <row r="3" spans="1:12">
      <c r="A3" s="19">
        <v>3</v>
      </c>
      <c r="B3" s="19" t="str">
        <f>IFERROR(VLOOKUP($A3,'02_Validation_Engine'!$A:$X,7,FALSE),"")</f>
        <v>Feb-2026</v>
      </c>
      <c r="C3" s="12" t="s">
        <v>13</v>
      </c>
      <c r="D3" s="12" t="s">
        <v>31</v>
      </c>
      <c r="E3" s="12" t="s">
        <v>6</v>
      </c>
      <c r="F3" s="12" t="s">
        <v>7</v>
      </c>
      <c r="G3" s="16">
        <v>7521.5</v>
      </c>
      <c r="H3" s="41">
        <v>0.77017999999999998</v>
      </c>
      <c r="I3" s="16">
        <v>5792.91</v>
      </c>
      <c r="J3" s="12" t="s">
        <v>180</v>
      </c>
      <c r="L3" s="21"/>
    </row>
    <row r="4" spans="1:12">
      <c r="A4" s="18">
        <v>4</v>
      </c>
      <c r="B4" s="18" t="str">
        <f>IFERROR(VLOOKUP($A4,'02_Validation_Engine'!$A:$X,7,FALSE),"")</f>
        <v>Mar-2026</v>
      </c>
      <c r="C4" s="13" t="s">
        <v>13</v>
      </c>
      <c r="D4" s="13" t="s">
        <v>32</v>
      </c>
      <c r="E4" s="13" t="s">
        <v>6</v>
      </c>
      <c r="F4" s="13" t="s">
        <v>7</v>
      </c>
      <c r="G4" s="15">
        <v>7077</v>
      </c>
      <c r="H4" s="42">
        <v>0.77017999999999998</v>
      </c>
      <c r="I4" s="15">
        <v>5450.56</v>
      </c>
      <c r="J4" s="13" t="s">
        <v>181</v>
      </c>
      <c r="L4" s="21"/>
    </row>
    <row r="5" spans="1:12">
      <c r="A5" s="19">
        <v>5</v>
      </c>
      <c r="B5" s="19" t="str">
        <f>IFERROR(VLOOKUP($A5,'02_Validation_Engine'!$A:$X,7,FALSE),"")</f>
        <v>Feb-2026</v>
      </c>
      <c r="C5" s="12" t="s">
        <v>13</v>
      </c>
      <c r="D5" s="12" t="s">
        <v>33</v>
      </c>
      <c r="E5" s="12" t="s">
        <v>4</v>
      </c>
      <c r="F5" s="12" t="s">
        <v>5</v>
      </c>
      <c r="G5" s="16">
        <v>5455.2</v>
      </c>
      <c r="H5" s="41">
        <v>0.90888000000000002</v>
      </c>
      <c r="I5" s="16">
        <v>4958.12</v>
      </c>
      <c r="J5" s="12" t="s">
        <v>182</v>
      </c>
    </row>
    <row r="6" spans="1:12">
      <c r="A6" s="18">
        <v>6</v>
      </c>
      <c r="B6" s="18" t="str">
        <f>IFERROR(VLOOKUP($A6,'02_Validation_Engine'!$A:$X,7,FALSE),"")</f>
        <v>Jan-2026</v>
      </c>
      <c r="C6" s="13" t="s">
        <v>13</v>
      </c>
      <c r="D6" s="13" t="s">
        <v>34</v>
      </c>
      <c r="E6" s="13" t="s">
        <v>4</v>
      </c>
      <c r="F6" s="13" t="s">
        <v>5</v>
      </c>
      <c r="G6" s="15">
        <v>5775</v>
      </c>
      <c r="H6" s="42">
        <v>0.90888000000000002</v>
      </c>
      <c r="I6" s="15">
        <v>5248.78</v>
      </c>
      <c r="J6" s="13" t="s">
        <v>183</v>
      </c>
      <c r="L6" s="1"/>
    </row>
    <row r="7" spans="1:12">
      <c r="A7" s="19">
        <v>7</v>
      </c>
      <c r="B7" s="19" t="str">
        <f>IFERROR(VLOOKUP($A7,'02_Validation_Engine'!$A:$X,7,FALSE),"")</f>
        <v>Mar-2026</v>
      </c>
      <c r="C7" s="12" t="s">
        <v>13</v>
      </c>
      <c r="D7" s="12" t="s">
        <v>36</v>
      </c>
      <c r="E7" s="12" t="s">
        <v>10</v>
      </c>
      <c r="F7" s="12" t="s">
        <v>11</v>
      </c>
      <c r="G7" s="16">
        <v>1837.8</v>
      </c>
      <c r="H7" s="41">
        <v>1.08643</v>
      </c>
      <c r="I7" s="16">
        <v>1996.64</v>
      </c>
      <c r="J7" s="12" t="s">
        <v>184</v>
      </c>
    </row>
    <row r="8" spans="1:12">
      <c r="A8" s="18">
        <v>8</v>
      </c>
      <c r="B8" s="18" t="str">
        <f>IFERROR(VLOOKUP($A8,'02_Validation_Engine'!$A:$X,7,FALSE),"")</f>
        <v>Mar-2026</v>
      </c>
      <c r="C8" s="13" t="s">
        <v>13</v>
      </c>
      <c r="D8" s="13" t="s">
        <v>37</v>
      </c>
      <c r="E8" s="13" t="s">
        <v>4</v>
      </c>
      <c r="F8" s="13" t="s">
        <v>5</v>
      </c>
      <c r="G8" s="15">
        <v>6138.6</v>
      </c>
      <c r="H8" s="42">
        <v>0.90888000000000002</v>
      </c>
      <c r="I8" s="15">
        <v>5579.25</v>
      </c>
      <c r="J8" s="13" t="s">
        <v>185</v>
      </c>
    </row>
    <row r="9" spans="1:12">
      <c r="A9" s="19">
        <v>9</v>
      </c>
      <c r="B9" s="19" t="str">
        <f>IFERROR(VLOOKUP($A9,'02_Validation_Engine'!$A:$X,7,FALSE),"")</f>
        <v>Mar-2026</v>
      </c>
      <c r="C9" s="12" t="s">
        <v>13</v>
      </c>
      <c r="D9" s="12" t="s">
        <v>38</v>
      </c>
      <c r="E9" s="12" t="s">
        <v>6</v>
      </c>
      <c r="F9" s="12" t="s">
        <v>7</v>
      </c>
      <c r="G9" s="16">
        <v>7459.9</v>
      </c>
      <c r="H9" s="41">
        <v>0.77017999999999998</v>
      </c>
      <c r="I9" s="16">
        <v>5745.47</v>
      </c>
      <c r="J9" s="12" t="s">
        <v>186</v>
      </c>
    </row>
    <row r="10" spans="1:12">
      <c r="A10" s="18">
        <v>10</v>
      </c>
      <c r="B10" s="18" t="str">
        <f>IFERROR(VLOOKUP($A10,'02_Validation_Engine'!$A:$X,7,FALSE),"")</f>
        <v>Mar-2026</v>
      </c>
      <c r="C10" s="13" t="s">
        <v>13</v>
      </c>
      <c r="D10" s="13" t="s">
        <v>39</v>
      </c>
      <c r="E10" s="13" t="s">
        <v>6</v>
      </c>
      <c r="F10" s="13" t="s">
        <v>7</v>
      </c>
      <c r="G10" s="15">
        <v>7142.8</v>
      </c>
      <c r="H10" s="42">
        <v>0.77017999999999998</v>
      </c>
      <c r="I10" s="15">
        <v>5501.24</v>
      </c>
      <c r="J10" s="13" t="s">
        <v>187</v>
      </c>
    </row>
    <row r="11" spans="1:12">
      <c r="A11" s="19">
        <v>11</v>
      </c>
      <c r="B11" s="19" t="str">
        <f>IFERROR(VLOOKUP($A11,'02_Validation_Engine'!$A:$X,7,FALSE),"")</f>
        <v>Feb-2026</v>
      </c>
      <c r="C11" s="12" t="s">
        <v>13</v>
      </c>
      <c r="D11" s="12" t="s">
        <v>40</v>
      </c>
      <c r="E11" s="12" t="s">
        <v>10</v>
      </c>
      <c r="F11" s="12" t="s">
        <v>11</v>
      </c>
      <c r="G11" s="16">
        <v>1971.72</v>
      </c>
      <c r="H11" s="41">
        <v>1.08643</v>
      </c>
      <c r="I11" s="16">
        <v>2142.14</v>
      </c>
      <c r="J11" s="12" t="s">
        <v>188</v>
      </c>
    </row>
    <row r="12" spans="1:12">
      <c r="A12" s="18">
        <v>12</v>
      </c>
      <c r="B12" s="18" t="str">
        <f>IFERROR(VLOOKUP($A12,'02_Validation_Engine'!$A:$X,7,FALSE),"")</f>
        <v>Jan-2026</v>
      </c>
      <c r="C12" s="13" t="s">
        <v>13</v>
      </c>
      <c r="D12" s="13" t="s">
        <v>39</v>
      </c>
      <c r="E12" s="13" t="s">
        <v>6</v>
      </c>
      <c r="F12" s="13" t="s">
        <v>7</v>
      </c>
      <c r="G12" s="15">
        <v>7249.94</v>
      </c>
      <c r="H12" s="42">
        <v>0.77017999999999998</v>
      </c>
      <c r="I12" s="15">
        <v>5583.76</v>
      </c>
      <c r="J12" s="13" t="s">
        <v>187</v>
      </c>
    </row>
    <row r="13" spans="1:12">
      <c r="A13" s="19">
        <v>13</v>
      </c>
      <c r="B13" s="19" t="str">
        <f>IFERROR(VLOOKUP($A13,'02_Validation_Engine'!$A:$X,7,FALSE),"")</f>
        <v>Jan-2026</v>
      </c>
      <c r="C13" s="12" t="s">
        <v>13</v>
      </c>
      <c r="D13" s="12" t="s">
        <v>41</v>
      </c>
      <c r="E13" s="12" t="s">
        <v>2</v>
      </c>
      <c r="F13" s="12" t="s">
        <v>3</v>
      </c>
      <c r="G13" s="16">
        <v>6364.8</v>
      </c>
      <c r="H13" s="41">
        <v>1</v>
      </c>
      <c r="I13" s="16">
        <v>6364.8</v>
      </c>
      <c r="J13" s="12" t="s">
        <v>189</v>
      </c>
    </row>
    <row r="14" spans="1:12">
      <c r="A14" s="18">
        <v>14</v>
      </c>
      <c r="B14" s="18" t="str">
        <f>IFERROR(VLOOKUP($A14,'02_Validation_Engine'!$A:$X,7,FALSE),"")</f>
        <v>Mar-2026</v>
      </c>
      <c r="C14" s="13" t="s">
        <v>13</v>
      </c>
      <c r="D14" s="13" t="s">
        <v>42</v>
      </c>
      <c r="E14" s="13" t="s">
        <v>4</v>
      </c>
      <c r="F14" s="13" t="s">
        <v>5</v>
      </c>
      <c r="G14" s="15">
        <v>6234</v>
      </c>
      <c r="H14" s="42">
        <v>0.90888000000000002</v>
      </c>
      <c r="I14" s="15">
        <v>5665.96</v>
      </c>
      <c r="J14" s="13" t="s">
        <v>190</v>
      </c>
    </row>
    <row r="15" spans="1:12">
      <c r="A15" s="19">
        <v>15</v>
      </c>
      <c r="B15" s="19" t="str">
        <f>IFERROR(VLOOKUP($A15,'02_Validation_Engine'!$A:$X,7,FALSE),"")</f>
        <v>Mar-2026</v>
      </c>
      <c r="C15" s="12" t="s">
        <v>13</v>
      </c>
      <c r="D15" s="12" t="s">
        <v>43</v>
      </c>
      <c r="E15" s="12" t="s">
        <v>4</v>
      </c>
      <c r="F15" s="12" t="s">
        <v>5</v>
      </c>
      <c r="G15" s="16">
        <v>6423</v>
      </c>
      <c r="H15" s="41">
        <v>0.90888000000000002</v>
      </c>
      <c r="I15" s="16">
        <v>5837.74</v>
      </c>
      <c r="J15" s="12" t="s">
        <v>191</v>
      </c>
    </row>
    <row r="16" spans="1:12">
      <c r="A16" s="18">
        <v>16</v>
      </c>
      <c r="B16" s="18" t="str">
        <f>IFERROR(VLOOKUP($A16,'02_Validation_Engine'!$A:$X,7,FALSE),"")</f>
        <v>Jan-2026</v>
      </c>
      <c r="C16" s="13" t="s">
        <v>13</v>
      </c>
      <c r="D16" s="13" t="s">
        <v>44</v>
      </c>
      <c r="E16" s="13" t="s">
        <v>8</v>
      </c>
      <c r="F16" s="13" t="s">
        <v>9</v>
      </c>
      <c r="G16" s="15">
        <v>23839.200000000001</v>
      </c>
      <c r="H16" s="42">
        <v>0.21065</v>
      </c>
      <c r="I16" s="15">
        <v>5021.7299999999996</v>
      </c>
      <c r="J16" s="13" t="s">
        <v>192</v>
      </c>
    </row>
    <row r="17" spans="1:10">
      <c r="A17" s="19">
        <v>17</v>
      </c>
      <c r="B17" s="19" t="str">
        <f>IFERROR(VLOOKUP($A17,'02_Validation_Engine'!$A:$X,7,FALSE),"")</f>
        <v>Feb-2026</v>
      </c>
      <c r="C17" s="12" t="s">
        <v>13</v>
      </c>
      <c r="D17" s="12" t="s">
        <v>45</v>
      </c>
      <c r="E17" s="12" t="s">
        <v>10</v>
      </c>
      <c r="F17" s="12" t="s">
        <v>11</v>
      </c>
      <c r="G17" s="16">
        <v>1873.8</v>
      </c>
      <c r="H17" s="41">
        <v>1.08643</v>
      </c>
      <c r="I17" s="16">
        <v>2035.75</v>
      </c>
      <c r="J17" s="12" t="s">
        <v>193</v>
      </c>
    </row>
    <row r="18" spans="1:10">
      <c r="A18" s="18">
        <v>18</v>
      </c>
      <c r="B18" s="18" t="str">
        <f>IFERROR(VLOOKUP($A18,'02_Validation_Engine'!$A:$X,7,FALSE),"")</f>
        <v>Jan-2026</v>
      </c>
      <c r="C18" s="13" t="s">
        <v>13</v>
      </c>
      <c r="D18" s="13" t="s">
        <v>46</v>
      </c>
      <c r="E18" s="13" t="s">
        <v>2</v>
      </c>
      <c r="F18" s="13" t="s">
        <v>3</v>
      </c>
      <c r="G18" s="15">
        <v>6985.55</v>
      </c>
      <c r="H18" s="42">
        <v>1</v>
      </c>
      <c r="I18" s="15">
        <v>6985.55</v>
      </c>
      <c r="J18" s="13" t="s">
        <v>194</v>
      </c>
    </row>
    <row r="19" spans="1:10">
      <c r="A19" s="19">
        <v>19</v>
      </c>
      <c r="B19" s="19" t="str">
        <f>IFERROR(VLOOKUP($A19,'02_Validation_Engine'!$A:$X,7,FALSE),"")</f>
        <v>Mar-2026</v>
      </c>
      <c r="C19" s="12" t="s">
        <v>13</v>
      </c>
      <c r="D19" s="12" t="s">
        <v>43</v>
      </c>
      <c r="E19" s="12" t="s">
        <v>8</v>
      </c>
      <c r="F19" s="12" t="s">
        <v>9</v>
      </c>
      <c r="G19" s="16">
        <v>23551</v>
      </c>
      <c r="H19" s="41">
        <v>0.21065</v>
      </c>
      <c r="I19" s="16">
        <v>4961.0200000000004</v>
      </c>
      <c r="J19" s="12" t="s">
        <v>191</v>
      </c>
    </row>
    <row r="20" spans="1:10">
      <c r="A20" s="18">
        <v>20</v>
      </c>
      <c r="B20" s="18" t="str">
        <f>IFERROR(VLOOKUP($A20,'02_Validation_Engine'!$A:$X,7,FALSE),"")</f>
        <v>Mar-2026</v>
      </c>
      <c r="C20" s="13" t="s">
        <v>13</v>
      </c>
      <c r="D20" s="13" t="s">
        <v>47</v>
      </c>
      <c r="E20" s="13" t="s">
        <v>10</v>
      </c>
      <c r="F20" s="13" t="s">
        <v>11</v>
      </c>
      <c r="G20" s="15">
        <v>1958.94</v>
      </c>
      <c r="H20" s="42">
        <v>1.08643</v>
      </c>
      <c r="I20" s="15">
        <v>2128.25</v>
      </c>
      <c r="J20" s="13" t="s">
        <v>195</v>
      </c>
    </row>
    <row r="21" spans="1:10">
      <c r="A21" s="19">
        <v>21</v>
      </c>
      <c r="B21" s="19" t="str">
        <f>IFERROR(VLOOKUP($A21,'02_Validation_Engine'!$A:$X,7,FALSE),"")</f>
        <v>Jan-2026</v>
      </c>
      <c r="C21" s="12" t="s">
        <v>13</v>
      </c>
      <c r="D21" s="12" t="s">
        <v>29</v>
      </c>
      <c r="E21" s="12" t="s">
        <v>10</v>
      </c>
      <c r="F21" s="12" t="s">
        <v>11</v>
      </c>
      <c r="G21" s="16">
        <v>1805.94</v>
      </c>
      <c r="H21" s="41">
        <v>1.08643</v>
      </c>
      <c r="I21" s="16">
        <v>1962.03</v>
      </c>
      <c r="J21" s="12" t="s">
        <v>196</v>
      </c>
    </row>
    <row r="22" spans="1:10">
      <c r="A22" s="18">
        <v>22</v>
      </c>
      <c r="B22" s="18" t="str">
        <f>IFERROR(VLOOKUP($A22,'02_Validation_Engine'!$A:$X,7,FALSE),"")</f>
        <v>Jan-2026</v>
      </c>
      <c r="C22" s="13" t="s">
        <v>13</v>
      </c>
      <c r="D22" s="13" t="s">
        <v>48</v>
      </c>
      <c r="E22" s="13" t="s">
        <v>6</v>
      </c>
      <c r="F22" s="13" t="s">
        <v>7</v>
      </c>
      <c r="G22" s="15">
        <v>7464.1</v>
      </c>
      <c r="H22" s="42">
        <v>0.77017999999999998</v>
      </c>
      <c r="I22" s="15">
        <v>5748.7</v>
      </c>
      <c r="J22" s="13" t="s">
        <v>197</v>
      </c>
    </row>
    <row r="23" spans="1:10">
      <c r="A23" s="19">
        <v>23</v>
      </c>
      <c r="B23" s="19" t="str">
        <f>IFERROR(VLOOKUP($A23,'02_Validation_Engine'!$A:$X,7,FALSE),"")</f>
        <v>Mar-2026</v>
      </c>
      <c r="C23" s="12" t="s">
        <v>13</v>
      </c>
      <c r="D23" s="12" t="s">
        <v>49</v>
      </c>
      <c r="E23" s="12" t="s">
        <v>2</v>
      </c>
      <c r="F23" s="12" t="s">
        <v>3</v>
      </c>
      <c r="G23" s="16">
        <v>6494.8</v>
      </c>
      <c r="H23" s="41">
        <v>1</v>
      </c>
      <c r="I23" s="16">
        <v>6494.8</v>
      </c>
      <c r="J23" s="12" t="s">
        <v>198</v>
      </c>
    </row>
    <row r="24" spans="1:10">
      <c r="A24" s="18">
        <v>24</v>
      </c>
      <c r="B24" s="18" t="str">
        <f>IFERROR(VLOOKUP($A24,'02_Validation_Engine'!$A:$X,7,FALSE),"")</f>
        <v>Feb-2026</v>
      </c>
      <c r="C24" s="13" t="s">
        <v>13</v>
      </c>
      <c r="D24" s="13" t="s">
        <v>50</v>
      </c>
      <c r="E24" s="13" t="s">
        <v>4</v>
      </c>
      <c r="F24" s="13" t="s">
        <v>5</v>
      </c>
      <c r="G24" s="15">
        <v>6219.6</v>
      </c>
      <c r="H24" s="42">
        <v>0.90888000000000002</v>
      </c>
      <c r="I24" s="15">
        <v>5652.87</v>
      </c>
      <c r="J24" s="13" t="s">
        <v>199</v>
      </c>
    </row>
    <row r="25" spans="1:10">
      <c r="A25" s="19">
        <v>25</v>
      </c>
      <c r="B25" s="19" t="str">
        <f>IFERROR(VLOOKUP($A25,'02_Validation_Engine'!$A:$X,7,FALSE),"")</f>
        <v>Mar-2026</v>
      </c>
      <c r="C25" s="12" t="s">
        <v>13</v>
      </c>
      <c r="D25" s="12" t="s">
        <v>51</v>
      </c>
      <c r="E25" s="12" t="s">
        <v>4</v>
      </c>
      <c r="F25" s="12" t="s">
        <v>5</v>
      </c>
      <c r="G25" s="16">
        <v>5759.4</v>
      </c>
      <c r="H25" s="41">
        <v>0.90888000000000002</v>
      </c>
      <c r="I25" s="16">
        <v>5234.6000000000004</v>
      </c>
      <c r="J25" s="12" t="s">
        <v>200</v>
      </c>
    </row>
    <row r="26" spans="1:10">
      <c r="A26" s="18">
        <v>26</v>
      </c>
      <c r="B26" s="18" t="str">
        <f>IFERROR(VLOOKUP($A26,'02_Validation_Engine'!$A:$X,7,FALSE),"")</f>
        <v>Mar-2026</v>
      </c>
      <c r="C26" s="13" t="s">
        <v>13</v>
      </c>
      <c r="D26" s="13" t="s">
        <v>36</v>
      </c>
      <c r="E26" s="13" t="s">
        <v>2</v>
      </c>
      <c r="F26" s="13" t="s">
        <v>3</v>
      </c>
      <c r="G26" s="15">
        <v>6636.5</v>
      </c>
      <c r="H26" s="42">
        <v>1</v>
      </c>
      <c r="I26" s="15">
        <v>6636.5</v>
      </c>
      <c r="J26" s="13" t="s">
        <v>184</v>
      </c>
    </row>
    <row r="27" spans="1:10">
      <c r="A27" s="19">
        <v>27</v>
      </c>
      <c r="B27" s="19" t="str">
        <f>IFERROR(VLOOKUP($A27,'02_Validation_Engine'!$A:$X,7,FALSE),"")</f>
        <v>Feb-2026</v>
      </c>
      <c r="C27" s="12" t="s">
        <v>13</v>
      </c>
      <c r="D27" s="12" t="s">
        <v>52</v>
      </c>
      <c r="E27" s="12" t="s">
        <v>2</v>
      </c>
      <c r="F27" s="12" t="s">
        <v>3</v>
      </c>
      <c r="G27" s="16">
        <v>6427.85</v>
      </c>
      <c r="H27" s="41">
        <v>1</v>
      </c>
      <c r="I27" s="16">
        <v>6427.85</v>
      </c>
      <c r="J27" s="12" t="s">
        <v>201</v>
      </c>
    </row>
    <row r="28" spans="1:10">
      <c r="A28" s="18">
        <v>28</v>
      </c>
      <c r="B28" s="18" t="str">
        <f>IFERROR(VLOOKUP($A28,'02_Validation_Engine'!$A:$X,7,FALSE),"")</f>
        <v>Feb-2026</v>
      </c>
      <c r="C28" s="13" t="s">
        <v>13</v>
      </c>
      <c r="D28" s="13" t="s">
        <v>53</v>
      </c>
      <c r="E28" s="13" t="s">
        <v>4</v>
      </c>
      <c r="F28" s="13" t="s">
        <v>5</v>
      </c>
      <c r="G28" s="15">
        <v>6018.6</v>
      </c>
      <c r="H28" s="42">
        <v>0.90888000000000002</v>
      </c>
      <c r="I28" s="15">
        <v>5470.19</v>
      </c>
      <c r="J28" s="13" t="s">
        <v>202</v>
      </c>
    </row>
    <row r="29" spans="1:10">
      <c r="A29" s="19">
        <v>29</v>
      </c>
      <c r="B29" s="19" t="str">
        <f>IFERROR(VLOOKUP($A29,'02_Validation_Engine'!$A:$X,7,FALSE),"")</f>
        <v>Jan-2026</v>
      </c>
      <c r="C29" s="12" t="s">
        <v>13</v>
      </c>
      <c r="D29" s="12" t="s">
        <v>54</v>
      </c>
      <c r="E29" s="12" t="s">
        <v>2</v>
      </c>
      <c r="F29" s="12" t="s">
        <v>3</v>
      </c>
      <c r="G29" s="16">
        <v>6904.3</v>
      </c>
      <c r="H29" s="41">
        <v>1</v>
      </c>
      <c r="I29" s="16">
        <v>6904.3</v>
      </c>
      <c r="J29" s="12" t="s">
        <v>203</v>
      </c>
    </row>
    <row r="30" spans="1:10">
      <c r="A30" s="18">
        <v>31</v>
      </c>
      <c r="B30" s="18" t="str">
        <f>IFERROR(VLOOKUP($A30,'02_Validation_Engine'!$A:$X,7,FALSE),"")</f>
        <v>Mar-2026</v>
      </c>
      <c r="C30" s="13" t="s">
        <v>13</v>
      </c>
      <c r="D30" s="13" t="s">
        <v>56</v>
      </c>
      <c r="E30" s="13" t="s">
        <v>8</v>
      </c>
      <c r="F30" s="13" t="s">
        <v>9</v>
      </c>
      <c r="G30" s="15">
        <v>23348.6</v>
      </c>
      <c r="H30" s="42">
        <v>0.21065</v>
      </c>
      <c r="I30" s="15">
        <v>4918.38</v>
      </c>
      <c r="J30" s="13" t="s">
        <v>204</v>
      </c>
    </row>
    <row r="31" spans="1:10">
      <c r="A31" s="19">
        <v>32</v>
      </c>
      <c r="B31" s="19" t="str">
        <f>IFERROR(VLOOKUP($A31,'02_Validation_Engine'!$A:$X,7,FALSE),"")</f>
        <v>Jan-2026</v>
      </c>
      <c r="C31" s="12" t="s">
        <v>13</v>
      </c>
      <c r="D31" s="12" t="s">
        <v>57</v>
      </c>
      <c r="E31" s="12" t="s">
        <v>2</v>
      </c>
      <c r="F31" s="12" t="s">
        <v>3</v>
      </c>
      <c r="G31" s="16">
        <v>7104.5</v>
      </c>
      <c r="H31" s="41">
        <v>1</v>
      </c>
      <c r="I31" s="16">
        <v>7104.5</v>
      </c>
      <c r="J31" s="12" t="s">
        <v>205</v>
      </c>
    </row>
    <row r="32" spans="1:10">
      <c r="A32" s="18">
        <v>33</v>
      </c>
      <c r="B32" s="18" t="str">
        <f>IFERROR(VLOOKUP($A32,'02_Validation_Engine'!$A:$X,7,FALSE),"")</f>
        <v>Feb-2026</v>
      </c>
      <c r="C32" s="13" t="s">
        <v>13</v>
      </c>
      <c r="D32" s="13" t="s">
        <v>55</v>
      </c>
      <c r="E32" s="13" t="s">
        <v>6</v>
      </c>
      <c r="F32" s="13" t="s">
        <v>7</v>
      </c>
      <c r="G32" s="15">
        <v>7047.6</v>
      </c>
      <c r="H32" s="42">
        <v>0.77017999999999998</v>
      </c>
      <c r="I32" s="15">
        <v>5427.92</v>
      </c>
      <c r="J32" s="13" t="s">
        <v>206</v>
      </c>
    </row>
    <row r="33" spans="1:10">
      <c r="A33" s="19">
        <v>34</v>
      </c>
      <c r="B33" s="19" t="str">
        <f>IFERROR(VLOOKUP($A33,'02_Validation_Engine'!$A:$X,7,FALSE),"")</f>
        <v>Feb-2026</v>
      </c>
      <c r="C33" s="12" t="s">
        <v>13</v>
      </c>
      <c r="D33" s="12" t="s">
        <v>34</v>
      </c>
      <c r="E33" s="12" t="s">
        <v>2</v>
      </c>
      <c r="F33" s="12" t="s">
        <v>3</v>
      </c>
      <c r="G33" s="16">
        <v>6256.25</v>
      </c>
      <c r="H33" s="41">
        <v>1</v>
      </c>
      <c r="I33" s="16">
        <v>6256.25</v>
      </c>
      <c r="J33" s="12" t="s">
        <v>183</v>
      </c>
    </row>
    <row r="34" spans="1:10">
      <c r="A34" s="18">
        <v>35</v>
      </c>
      <c r="B34" s="18" t="str">
        <f>IFERROR(VLOOKUP($A34,'02_Validation_Engine'!$A:$X,7,FALSE),"")</f>
        <v>Feb-2026</v>
      </c>
      <c r="C34" s="13" t="s">
        <v>13</v>
      </c>
      <c r="D34" s="13" t="s">
        <v>58</v>
      </c>
      <c r="E34" s="13" t="s">
        <v>2</v>
      </c>
      <c r="F34" s="13" t="s">
        <v>3</v>
      </c>
      <c r="G34" s="15">
        <v>6693.05</v>
      </c>
      <c r="H34" s="42">
        <v>1</v>
      </c>
      <c r="I34" s="15">
        <v>6693.05</v>
      </c>
      <c r="J34" s="13" t="s">
        <v>207</v>
      </c>
    </row>
    <row r="35" spans="1:10">
      <c r="A35" s="19">
        <v>36</v>
      </c>
      <c r="B35" s="19" t="str">
        <f>IFERROR(VLOOKUP($A35,'02_Validation_Engine'!$A:$X,7,FALSE),"")</f>
        <v>Jan-2026</v>
      </c>
      <c r="C35" s="12" t="s">
        <v>13</v>
      </c>
      <c r="D35" s="12" t="s">
        <v>59</v>
      </c>
      <c r="E35" s="12" t="s">
        <v>10</v>
      </c>
      <c r="F35" s="12" t="s">
        <v>11</v>
      </c>
      <c r="G35" s="16">
        <v>1645.56</v>
      </c>
      <c r="H35" s="41">
        <v>1.08643</v>
      </c>
      <c r="I35" s="16">
        <v>1787.79</v>
      </c>
      <c r="J35" s="12" t="s">
        <v>208</v>
      </c>
    </row>
    <row r="36" spans="1:10">
      <c r="A36" s="18">
        <v>37</v>
      </c>
      <c r="B36" s="18" t="str">
        <f>IFERROR(VLOOKUP($A36,'02_Validation_Engine'!$A:$X,7,FALSE),"")</f>
        <v>Mar-2026</v>
      </c>
      <c r="C36" s="13" t="s">
        <v>13</v>
      </c>
      <c r="D36" s="13" t="s">
        <v>39</v>
      </c>
      <c r="E36" s="13" t="s">
        <v>8</v>
      </c>
      <c r="F36" s="13" t="s">
        <v>9</v>
      </c>
      <c r="G36" s="15">
        <v>22448.799999999999</v>
      </c>
      <c r="H36" s="42">
        <v>0.21065</v>
      </c>
      <c r="I36" s="15">
        <v>4728.84</v>
      </c>
      <c r="J36" s="13" t="s">
        <v>187</v>
      </c>
    </row>
    <row r="37" spans="1:10">
      <c r="A37" s="19">
        <v>38</v>
      </c>
      <c r="B37" s="19" t="str">
        <f>IFERROR(VLOOKUP($A37,'02_Validation_Engine'!$A:$X,7,FALSE),"")</f>
        <v>Jan-2026</v>
      </c>
      <c r="C37" s="12" t="s">
        <v>13</v>
      </c>
      <c r="D37" s="12" t="s">
        <v>60</v>
      </c>
      <c r="E37" s="12" t="s">
        <v>8</v>
      </c>
      <c r="F37" s="12" t="s">
        <v>9</v>
      </c>
      <c r="G37" s="16">
        <v>20748.2</v>
      </c>
      <c r="H37" s="41">
        <v>0.21065</v>
      </c>
      <c r="I37" s="16">
        <v>4370.6099999999997</v>
      </c>
      <c r="J37" s="12" t="s">
        <v>209</v>
      </c>
    </row>
    <row r="38" spans="1:10">
      <c r="A38" s="18">
        <v>39</v>
      </c>
      <c r="B38" s="18" t="str">
        <f>IFERROR(VLOOKUP($A38,'02_Validation_Engine'!$A:$X,7,FALSE),"")</f>
        <v>Jan-2026</v>
      </c>
      <c r="C38" s="13" t="s">
        <v>13</v>
      </c>
      <c r="D38" s="13" t="s">
        <v>61</v>
      </c>
      <c r="E38" s="13" t="s">
        <v>8</v>
      </c>
      <c r="F38" s="13" t="s">
        <v>9</v>
      </c>
      <c r="G38" s="15">
        <v>22055</v>
      </c>
      <c r="H38" s="42">
        <v>0.21065</v>
      </c>
      <c r="I38" s="15">
        <v>4645.8900000000003</v>
      </c>
      <c r="J38" s="13" t="s">
        <v>210</v>
      </c>
    </row>
    <row r="39" spans="1:10">
      <c r="A39" s="19">
        <v>40</v>
      </c>
      <c r="B39" s="19" t="str">
        <f>IFERROR(VLOOKUP($A39,'02_Validation_Engine'!$A:$X,7,FALSE),"")</f>
        <v>Feb-2026</v>
      </c>
      <c r="C39" s="12" t="s">
        <v>13</v>
      </c>
      <c r="D39" s="12" t="s">
        <v>62</v>
      </c>
      <c r="E39" s="12" t="s">
        <v>6</v>
      </c>
      <c r="F39" s="12" t="s">
        <v>7</v>
      </c>
      <c r="G39" s="16">
        <v>7366.1</v>
      </c>
      <c r="H39" s="41">
        <v>0.77017999999999998</v>
      </c>
      <c r="I39" s="16">
        <v>5673.22</v>
      </c>
      <c r="J39" s="12" t="s">
        <v>211</v>
      </c>
    </row>
    <row r="40" spans="1:10">
      <c r="A40" s="18">
        <v>41</v>
      </c>
      <c r="B40" s="18" t="str">
        <f>IFERROR(VLOOKUP($A40,'02_Validation_Engine'!$A:$X,7,FALSE),"")</f>
        <v>Jan-2026</v>
      </c>
      <c r="C40" s="13" t="s">
        <v>13</v>
      </c>
      <c r="D40" s="13" t="s">
        <v>63</v>
      </c>
      <c r="E40" s="13" t="s">
        <v>2</v>
      </c>
      <c r="F40" s="13" t="s">
        <v>3</v>
      </c>
      <c r="G40" s="15">
        <v>6855.55</v>
      </c>
      <c r="H40" s="42">
        <v>1</v>
      </c>
      <c r="I40" s="15">
        <v>6855.55</v>
      </c>
      <c r="J40" s="13" t="s">
        <v>212</v>
      </c>
    </row>
    <row r="41" spans="1:10">
      <c r="A41" s="19">
        <v>42</v>
      </c>
      <c r="B41" s="19" t="str">
        <f>IFERROR(VLOOKUP($A41,'02_Validation_Engine'!$A:$X,7,FALSE),"")</f>
        <v>Jan-2026</v>
      </c>
      <c r="C41" s="12" t="s">
        <v>13</v>
      </c>
      <c r="D41" s="12" t="s">
        <v>64</v>
      </c>
      <c r="E41" s="12" t="s">
        <v>10</v>
      </c>
      <c r="F41" s="12" t="s">
        <v>11</v>
      </c>
      <c r="G41" s="16">
        <v>1929.6</v>
      </c>
      <c r="H41" s="41">
        <v>1.08643</v>
      </c>
      <c r="I41" s="16">
        <v>2096.38</v>
      </c>
      <c r="J41" s="12" t="s">
        <v>213</v>
      </c>
    </row>
    <row r="42" spans="1:10">
      <c r="A42" s="18">
        <v>43</v>
      </c>
      <c r="B42" s="18" t="str">
        <f>IFERROR(VLOOKUP($A42,'02_Validation_Engine'!$A:$X,7,FALSE),"")</f>
        <v>Jan-2026</v>
      </c>
      <c r="C42" s="13" t="s">
        <v>13</v>
      </c>
      <c r="D42" s="13" t="s">
        <v>65</v>
      </c>
      <c r="E42" s="13" t="s">
        <v>8</v>
      </c>
      <c r="F42" s="13" t="s">
        <v>9</v>
      </c>
      <c r="G42" s="15">
        <v>21131</v>
      </c>
      <c r="H42" s="42">
        <v>0.21065</v>
      </c>
      <c r="I42" s="15">
        <v>4451.25</v>
      </c>
      <c r="J42" s="13" t="s">
        <v>214</v>
      </c>
    </row>
    <row r="43" spans="1:10">
      <c r="A43" s="19">
        <v>44</v>
      </c>
      <c r="B43" s="19" t="str">
        <f>IFERROR(VLOOKUP($A43,'02_Validation_Engine'!$A:$X,7,FALSE),"")</f>
        <v>Jan-2026</v>
      </c>
      <c r="C43" s="12" t="s">
        <v>13</v>
      </c>
      <c r="D43" s="12" t="s">
        <v>66</v>
      </c>
      <c r="E43" s="12" t="s">
        <v>10</v>
      </c>
      <c r="F43" s="12" t="s">
        <v>11</v>
      </c>
      <c r="G43" s="16">
        <v>1893.06</v>
      </c>
      <c r="H43" s="41">
        <v>1.08643</v>
      </c>
      <c r="I43" s="16">
        <v>2056.6799999999998</v>
      </c>
      <c r="J43" s="12" t="s">
        <v>215</v>
      </c>
    </row>
    <row r="44" spans="1:10">
      <c r="A44" s="18">
        <v>45</v>
      </c>
      <c r="B44" s="18" t="str">
        <f>IFERROR(VLOOKUP($A44,'02_Validation_Engine'!$A:$X,7,FALSE),"")</f>
        <v>Jan-2026</v>
      </c>
      <c r="C44" s="13" t="s">
        <v>13</v>
      </c>
      <c r="D44" s="13" t="s">
        <v>67</v>
      </c>
      <c r="E44" s="13" t="s">
        <v>2</v>
      </c>
      <c r="F44" s="13" t="s">
        <v>3</v>
      </c>
      <c r="G44" s="15">
        <v>7097.35</v>
      </c>
      <c r="H44" s="42">
        <v>1</v>
      </c>
      <c r="I44" s="15">
        <v>7097.35</v>
      </c>
      <c r="J44" s="13" t="s">
        <v>216</v>
      </c>
    </row>
    <row r="45" spans="1:10">
      <c r="A45" s="19">
        <v>46</v>
      </c>
      <c r="B45" s="19" t="str">
        <f>IFERROR(VLOOKUP($A45,'02_Validation_Engine'!$A:$X,7,FALSE),"")</f>
        <v>Feb-2026</v>
      </c>
      <c r="C45" s="12" t="s">
        <v>13</v>
      </c>
      <c r="D45" s="12" t="s">
        <v>68</v>
      </c>
      <c r="E45" s="12" t="s">
        <v>8</v>
      </c>
      <c r="F45" s="12" t="s">
        <v>9</v>
      </c>
      <c r="G45" s="16">
        <v>23579.599999999999</v>
      </c>
      <c r="H45" s="41">
        <v>0.21065</v>
      </c>
      <c r="I45" s="16">
        <v>4967.04</v>
      </c>
      <c r="J45" s="12" t="s">
        <v>217</v>
      </c>
    </row>
    <row r="46" spans="1:10">
      <c r="A46" s="18">
        <v>47</v>
      </c>
      <c r="B46" s="18" t="str">
        <f>IFERROR(VLOOKUP($A46,'02_Validation_Engine'!$A:$X,7,FALSE),"")</f>
        <v>Feb-2026</v>
      </c>
      <c r="C46" s="13" t="s">
        <v>13</v>
      </c>
      <c r="D46" s="13" t="s">
        <v>69</v>
      </c>
      <c r="E46" s="13" t="s">
        <v>6</v>
      </c>
      <c r="F46" s="13" t="s">
        <v>7</v>
      </c>
      <c r="G46" s="15">
        <v>6708.8</v>
      </c>
      <c r="H46" s="42">
        <v>0.77017999999999998</v>
      </c>
      <c r="I46" s="15">
        <v>5166.9799999999996</v>
      </c>
      <c r="J46" s="13" t="s">
        <v>218</v>
      </c>
    </row>
    <row r="47" spans="1:10">
      <c r="A47" s="19">
        <v>48</v>
      </c>
      <c r="B47" s="19" t="str">
        <f>IFERROR(VLOOKUP($A47,'02_Validation_Engine'!$A:$X,7,FALSE),"")</f>
        <v>Mar-2026</v>
      </c>
      <c r="C47" s="12" t="s">
        <v>13</v>
      </c>
      <c r="D47" s="12" t="s">
        <v>47</v>
      </c>
      <c r="E47" s="12" t="s">
        <v>2</v>
      </c>
      <c r="F47" s="12" t="s">
        <v>3</v>
      </c>
      <c r="G47" s="16">
        <v>7073.95</v>
      </c>
      <c r="H47" s="41">
        <v>1</v>
      </c>
      <c r="I47" s="16">
        <v>7073.95</v>
      </c>
      <c r="J47" s="12" t="s">
        <v>195</v>
      </c>
    </row>
    <row r="48" spans="1:10">
      <c r="A48" s="18">
        <v>49</v>
      </c>
      <c r="B48" s="18" t="str">
        <f>IFERROR(VLOOKUP($A48,'02_Validation_Engine'!$A:$X,7,FALSE),"")</f>
        <v>Jan-2026</v>
      </c>
      <c r="C48" s="13" t="s">
        <v>13</v>
      </c>
      <c r="D48" s="13" t="s">
        <v>70</v>
      </c>
      <c r="E48" s="13" t="s">
        <v>6</v>
      </c>
      <c r="F48" s="13" t="s">
        <v>7</v>
      </c>
      <c r="G48" s="15">
        <v>7567</v>
      </c>
      <c r="H48" s="42">
        <v>0.77017999999999998</v>
      </c>
      <c r="I48" s="15">
        <v>5827.95</v>
      </c>
      <c r="J48" s="13" t="s">
        <v>219</v>
      </c>
    </row>
    <row r="49" spans="1:10">
      <c r="A49" s="19">
        <v>50</v>
      </c>
      <c r="B49" s="19" t="str">
        <f>IFERROR(VLOOKUP($A49,'02_Validation_Engine'!$A:$X,7,FALSE),"")</f>
        <v>Feb-2026</v>
      </c>
      <c r="C49" s="12" t="s">
        <v>13</v>
      </c>
      <c r="D49" s="12" t="s">
        <v>45</v>
      </c>
      <c r="E49" s="12" t="s">
        <v>10</v>
      </c>
      <c r="F49" s="12" t="s">
        <v>11</v>
      </c>
      <c r="G49" s="16">
        <v>1901.91</v>
      </c>
      <c r="H49" s="41">
        <v>1.08643</v>
      </c>
      <c r="I49" s="16">
        <v>2066.29</v>
      </c>
      <c r="J49" s="12" t="s">
        <v>193</v>
      </c>
    </row>
    <row r="50" spans="1:10">
      <c r="A50" s="18">
        <v>51</v>
      </c>
      <c r="B50" s="18" t="str">
        <f>IFERROR(VLOOKUP($A50,'02_Validation_Engine'!$A:$X,7,FALSE),"")</f>
        <v>Feb-2026</v>
      </c>
      <c r="C50" s="13" t="s">
        <v>13</v>
      </c>
      <c r="D50" s="13" t="s">
        <v>71</v>
      </c>
      <c r="E50" s="13" t="s">
        <v>6</v>
      </c>
      <c r="F50" s="13" t="s">
        <v>7</v>
      </c>
      <c r="G50" s="15">
        <v>6624.8</v>
      </c>
      <c r="H50" s="42">
        <v>0.77017999999999998</v>
      </c>
      <c r="I50" s="15">
        <v>5102.29</v>
      </c>
      <c r="J50" s="13" t="s">
        <v>220</v>
      </c>
    </row>
    <row r="51" spans="1:10">
      <c r="A51" s="19">
        <v>52</v>
      </c>
      <c r="B51" s="19" t="str">
        <f>IFERROR(VLOOKUP($A51,'02_Validation_Engine'!$A:$X,7,FALSE),"")</f>
        <v>Feb-2026</v>
      </c>
      <c r="C51" s="12" t="s">
        <v>13</v>
      </c>
      <c r="D51" s="12" t="s">
        <v>72</v>
      </c>
      <c r="E51" s="12" t="s">
        <v>6</v>
      </c>
      <c r="F51" s="12" t="s">
        <v>7</v>
      </c>
      <c r="G51" s="16">
        <v>6711.6</v>
      </c>
      <c r="H51" s="41">
        <v>0.77017999999999998</v>
      </c>
      <c r="I51" s="16">
        <v>5169.1400000000003</v>
      </c>
      <c r="J51" s="12" t="s">
        <v>221</v>
      </c>
    </row>
    <row r="52" spans="1:10">
      <c r="A52" s="18">
        <v>53</v>
      </c>
      <c r="B52" s="18" t="str">
        <f>IFERROR(VLOOKUP($A52,'02_Validation_Engine'!$A:$X,7,FALSE),"")</f>
        <v>Jan-2026</v>
      </c>
      <c r="C52" s="13" t="s">
        <v>13</v>
      </c>
      <c r="D52" s="13" t="s">
        <v>34</v>
      </c>
      <c r="E52" s="13" t="s">
        <v>4</v>
      </c>
      <c r="F52" s="13" t="s">
        <v>5</v>
      </c>
      <c r="G52" s="15">
        <v>5861.62</v>
      </c>
      <c r="H52" s="42">
        <v>0.90888000000000002</v>
      </c>
      <c r="I52" s="15">
        <v>5327.51</v>
      </c>
      <c r="J52" s="13" t="s">
        <v>183</v>
      </c>
    </row>
    <row r="53" spans="1:10">
      <c r="A53" s="19">
        <v>54</v>
      </c>
      <c r="B53" s="19" t="str">
        <f>IFERROR(VLOOKUP($A53,'02_Validation_Engine'!$A:$X,7,FALSE),"")</f>
        <v>Mar-2026</v>
      </c>
      <c r="C53" s="12" t="s">
        <v>13</v>
      </c>
      <c r="D53" s="12" t="s">
        <v>66</v>
      </c>
      <c r="E53" s="12" t="s">
        <v>2</v>
      </c>
      <c r="F53" s="12" t="s">
        <v>3</v>
      </c>
      <c r="G53" s="16">
        <v>6836.05</v>
      </c>
      <c r="H53" s="41">
        <v>1</v>
      </c>
      <c r="I53" s="16">
        <v>6836.05</v>
      </c>
      <c r="J53" s="12" t="s">
        <v>215</v>
      </c>
    </row>
    <row r="54" spans="1:10">
      <c r="A54" s="18">
        <v>55</v>
      </c>
      <c r="B54" s="18" t="str">
        <f>IFERROR(VLOOKUP($A54,'02_Validation_Engine'!$A:$X,7,FALSE),"")</f>
        <v>Jan-2026</v>
      </c>
      <c r="C54" s="13" t="s">
        <v>13</v>
      </c>
      <c r="D54" s="13" t="s">
        <v>63</v>
      </c>
      <c r="E54" s="13" t="s">
        <v>10</v>
      </c>
      <c r="F54" s="13" t="s">
        <v>11</v>
      </c>
      <c r="G54" s="15">
        <v>1898.46</v>
      </c>
      <c r="H54" s="42">
        <v>1.08643</v>
      </c>
      <c r="I54" s="15">
        <v>2062.54</v>
      </c>
      <c r="J54" s="13" t="s">
        <v>212</v>
      </c>
    </row>
    <row r="55" spans="1:10">
      <c r="A55" s="19">
        <v>56</v>
      </c>
      <c r="B55" s="19" t="str">
        <f>IFERROR(VLOOKUP($A55,'02_Validation_Engine'!$A:$X,7,FALSE),"")</f>
        <v>Feb-2026</v>
      </c>
      <c r="C55" s="12" t="s">
        <v>13</v>
      </c>
      <c r="D55" s="12" t="s">
        <v>64</v>
      </c>
      <c r="E55" s="12" t="s">
        <v>8</v>
      </c>
      <c r="F55" s="12" t="s">
        <v>9</v>
      </c>
      <c r="G55" s="16">
        <v>23584</v>
      </c>
      <c r="H55" s="41">
        <v>0.21065</v>
      </c>
      <c r="I55" s="16">
        <v>4967.97</v>
      </c>
      <c r="J55" s="12" t="s">
        <v>213</v>
      </c>
    </row>
    <row r="56" spans="1:10">
      <c r="A56" s="18">
        <v>57</v>
      </c>
      <c r="B56" s="18" t="str">
        <f>IFERROR(VLOOKUP($A56,'02_Validation_Engine'!$A:$X,7,FALSE),"")</f>
        <v>Feb-2026</v>
      </c>
      <c r="C56" s="13" t="s">
        <v>13</v>
      </c>
      <c r="D56" s="13" t="s">
        <v>73</v>
      </c>
      <c r="E56" s="13" t="s">
        <v>4</v>
      </c>
      <c r="F56" s="13" t="s">
        <v>5</v>
      </c>
      <c r="G56" s="15">
        <v>5902.8</v>
      </c>
      <c r="H56" s="42">
        <v>0.90888000000000002</v>
      </c>
      <c r="I56" s="15">
        <v>5364.94</v>
      </c>
      <c r="J56" s="13" t="s">
        <v>222</v>
      </c>
    </row>
    <row r="57" spans="1:10">
      <c r="A57" s="19">
        <v>58</v>
      </c>
      <c r="B57" s="19" t="str">
        <f>IFERROR(VLOOKUP($A57,'02_Validation_Engine'!$A:$X,7,FALSE),"")</f>
        <v>Jan-2026</v>
      </c>
      <c r="C57" s="12" t="s">
        <v>13</v>
      </c>
      <c r="D57" s="12" t="s">
        <v>44</v>
      </c>
      <c r="E57" s="12" t="s">
        <v>10</v>
      </c>
      <c r="F57" s="12" t="s">
        <v>11</v>
      </c>
      <c r="G57" s="16">
        <v>1950.48</v>
      </c>
      <c r="H57" s="41">
        <v>1.08643</v>
      </c>
      <c r="I57" s="16">
        <v>2119.06</v>
      </c>
      <c r="J57" s="12" t="s">
        <v>192</v>
      </c>
    </row>
    <row r="58" spans="1:10">
      <c r="A58" s="18">
        <v>59</v>
      </c>
      <c r="B58" s="18" t="str">
        <f>IFERROR(VLOOKUP($A58,'02_Validation_Engine'!$A:$X,7,FALSE),"")</f>
        <v>Jan-2026</v>
      </c>
      <c r="C58" s="13" t="s">
        <v>13</v>
      </c>
      <c r="D58" s="13" t="s">
        <v>44</v>
      </c>
      <c r="E58" s="13" t="s">
        <v>4</v>
      </c>
      <c r="F58" s="13" t="s">
        <v>5</v>
      </c>
      <c r="G58" s="15">
        <v>6501.6</v>
      </c>
      <c r="H58" s="42">
        <v>0.90888000000000002</v>
      </c>
      <c r="I58" s="15">
        <v>5909.17</v>
      </c>
      <c r="J58" s="13" t="s">
        <v>192</v>
      </c>
    </row>
    <row r="59" spans="1:10">
      <c r="A59" s="19">
        <v>60</v>
      </c>
      <c r="B59" s="19" t="str">
        <f>IFERROR(VLOOKUP($A59,'02_Validation_Engine'!$A:$X,7,FALSE),"")</f>
        <v>Mar-2026</v>
      </c>
      <c r="C59" s="12" t="s">
        <v>13</v>
      </c>
      <c r="D59" s="12" t="s">
        <v>74</v>
      </c>
      <c r="E59" s="12" t="s">
        <v>8</v>
      </c>
      <c r="F59" s="12" t="s">
        <v>9</v>
      </c>
      <c r="G59" s="16">
        <v>23806.2</v>
      </c>
      <c r="H59" s="41">
        <v>0.21065</v>
      </c>
      <c r="I59" s="16">
        <v>5014.78</v>
      </c>
      <c r="J59" s="12" t="s">
        <v>223</v>
      </c>
    </row>
    <row r="60" spans="1:10">
      <c r="A60" s="18">
        <v>61</v>
      </c>
      <c r="B60" s="18" t="str">
        <f>IFERROR(VLOOKUP($A60,'02_Validation_Engine'!$A:$X,7,FALSE),"")</f>
        <v>Jan-2026</v>
      </c>
      <c r="C60" s="13" t="s">
        <v>13</v>
      </c>
      <c r="D60" s="13" t="s">
        <v>75</v>
      </c>
      <c r="E60" s="13" t="s">
        <v>2</v>
      </c>
      <c r="F60" s="13" t="s">
        <v>3</v>
      </c>
      <c r="G60" s="15">
        <v>6689.8</v>
      </c>
      <c r="H60" s="42">
        <v>1</v>
      </c>
      <c r="I60" s="15">
        <v>6689.8</v>
      </c>
      <c r="J60" s="13" t="s">
        <v>224</v>
      </c>
    </row>
    <row r="61" spans="1:10">
      <c r="A61" s="19">
        <v>62</v>
      </c>
      <c r="B61" s="19" t="str">
        <f>IFERROR(VLOOKUP($A61,'02_Validation_Engine'!$A:$X,7,FALSE),"")</f>
        <v>Jan-2026</v>
      </c>
      <c r="C61" s="12" t="s">
        <v>13</v>
      </c>
      <c r="D61" s="12" t="s">
        <v>76</v>
      </c>
      <c r="E61" s="12" t="s">
        <v>8</v>
      </c>
      <c r="F61" s="12" t="s">
        <v>9</v>
      </c>
      <c r="G61" s="16">
        <v>20497.400000000001</v>
      </c>
      <c r="H61" s="41">
        <v>0.21065</v>
      </c>
      <c r="I61" s="16">
        <v>4317.78</v>
      </c>
      <c r="J61" s="12" t="s">
        <v>225</v>
      </c>
    </row>
    <row r="62" spans="1:10">
      <c r="A62" s="18">
        <v>63</v>
      </c>
      <c r="B62" s="18" t="str">
        <f>IFERROR(VLOOKUP($A62,'02_Validation_Engine'!$A:$X,7,FALSE),"")</f>
        <v>Feb-2026</v>
      </c>
      <c r="C62" s="13" t="s">
        <v>13</v>
      </c>
      <c r="D62" s="13" t="s">
        <v>77</v>
      </c>
      <c r="E62" s="13" t="s">
        <v>2</v>
      </c>
      <c r="F62" s="13" t="s">
        <v>3</v>
      </c>
      <c r="G62" s="15">
        <v>6815.25</v>
      </c>
      <c r="H62" s="42">
        <v>1</v>
      </c>
      <c r="I62" s="15">
        <v>6815.25</v>
      </c>
      <c r="J62" s="13" t="s">
        <v>226</v>
      </c>
    </row>
    <row r="63" spans="1:10">
      <c r="A63" s="19">
        <v>64</v>
      </c>
      <c r="B63" s="19" t="str">
        <f>IFERROR(VLOOKUP($A63,'02_Validation_Engine'!$A:$X,7,FALSE),"")</f>
        <v>Jan-2026</v>
      </c>
      <c r="C63" s="12" t="s">
        <v>13</v>
      </c>
      <c r="D63" s="12" t="s">
        <v>59</v>
      </c>
      <c r="E63" s="12" t="s">
        <v>8</v>
      </c>
      <c r="F63" s="12" t="s">
        <v>9</v>
      </c>
      <c r="G63" s="16">
        <v>20112.400000000001</v>
      </c>
      <c r="H63" s="41">
        <v>0.21065</v>
      </c>
      <c r="I63" s="16">
        <v>4236.68</v>
      </c>
      <c r="J63" s="12" t="s">
        <v>208</v>
      </c>
    </row>
    <row r="64" spans="1:10">
      <c r="A64" s="18">
        <v>65</v>
      </c>
      <c r="B64" s="18" t="str">
        <f>IFERROR(VLOOKUP($A64,'02_Validation_Engine'!$A:$X,7,FALSE),"")</f>
        <v>Feb-2026</v>
      </c>
      <c r="C64" s="13" t="s">
        <v>13</v>
      </c>
      <c r="D64" s="13" t="s">
        <v>59</v>
      </c>
      <c r="E64" s="13" t="s">
        <v>8</v>
      </c>
      <c r="F64" s="13" t="s">
        <v>9</v>
      </c>
      <c r="G64" s="15">
        <v>20414.09</v>
      </c>
      <c r="H64" s="42">
        <v>0.21065</v>
      </c>
      <c r="I64" s="15">
        <v>4300.2299999999996</v>
      </c>
      <c r="J64" s="13" t="s">
        <v>208</v>
      </c>
    </row>
    <row r="65" spans="1:10">
      <c r="A65" s="19">
        <v>66</v>
      </c>
      <c r="B65" s="19" t="str">
        <f>IFERROR(VLOOKUP($A65,'02_Validation_Engine'!$A:$X,7,FALSE),"")</f>
        <v>Mar-2026</v>
      </c>
      <c r="C65" s="12" t="s">
        <v>13</v>
      </c>
      <c r="D65" s="12" t="s">
        <v>44</v>
      </c>
      <c r="E65" s="12" t="s">
        <v>2</v>
      </c>
      <c r="F65" s="12" t="s">
        <v>3</v>
      </c>
      <c r="G65" s="16">
        <v>7043.4</v>
      </c>
      <c r="H65" s="41">
        <v>1</v>
      </c>
      <c r="I65" s="16">
        <v>7043.4</v>
      </c>
      <c r="J65" s="12" t="s">
        <v>192</v>
      </c>
    </row>
    <row r="66" spans="1:10">
      <c r="A66" s="18">
        <v>67</v>
      </c>
      <c r="B66" s="18" t="str">
        <f>IFERROR(VLOOKUP($A66,'02_Validation_Engine'!$A:$X,7,FALSE),"")</f>
        <v>Jan-2026</v>
      </c>
      <c r="C66" s="13" t="s">
        <v>13</v>
      </c>
      <c r="D66" s="13" t="s">
        <v>54</v>
      </c>
      <c r="E66" s="13" t="s">
        <v>10</v>
      </c>
      <c r="F66" s="13" t="s">
        <v>11</v>
      </c>
      <c r="G66" s="15">
        <v>1911.96</v>
      </c>
      <c r="H66" s="42">
        <v>1.08643</v>
      </c>
      <c r="I66" s="15">
        <v>2077.21</v>
      </c>
      <c r="J66" s="13" t="s">
        <v>203</v>
      </c>
    </row>
    <row r="67" spans="1:10">
      <c r="A67" s="19">
        <v>68</v>
      </c>
      <c r="B67" s="19" t="str">
        <f>IFERROR(VLOOKUP($A67,'02_Validation_Engine'!$A:$X,7,FALSE),"")</f>
        <v>Mar-2026</v>
      </c>
      <c r="C67" s="12" t="s">
        <v>13</v>
      </c>
      <c r="D67" s="12" t="s">
        <v>78</v>
      </c>
      <c r="E67" s="12" t="s">
        <v>10</v>
      </c>
      <c r="F67" s="12" t="s">
        <v>11</v>
      </c>
      <c r="G67" s="16">
        <v>1689.12</v>
      </c>
      <c r="H67" s="41">
        <v>1.08643</v>
      </c>
      <c r="I67" s="16">
        <v>1835.11</v>
      </c>
      <c r="J67" s="12" t="s">
        <v>227</v>
      </c>
    </row>
    <row r="68" spans="1:10">
      <c r="A68" s="18">
        <v>69</v>
      </c>
      <c r="B68" s="18" t="str">
        <f>IFERROR(VLOOKUP($A68,'02_Validation_Engine'!$A:$X,7,FALSE),"")</f>
        <v>Feb-2026</v>
      </c>
      <c r="C68" s="13" t="s">
        <v>13</v>
      </c>
      <c r="D68" s="13" t="s">
        <v>37</v>
      </c>
      <c r="E68" s="13" t="s">
        <v>2</v>
      </c>
      <c r="F68" s="13" t="s">
        <v>3</v>
      </c>
      <c r="G68" s="15">
        <v>6650.15</v>
      </c>
      <c r="H68" s="42">
        <v>1</v>
      </c>
      <c r="I68" s="15">
        <v>6650.15</v>
      </c>
      <c r="J68" s="13" t="s">
        <v>185</v>
      </c>
    </row>
    <row r="69" spans="1:10">
      <c r="A69" s="19">
        <v>70</v>
      </c>
      <c r="B69" s="19" t="str">
        <f>IFERROR(VLOOKUP($A69,'02_Validation_Engine'!$A:$X,7,FALSE),"")</f>
        <v>Jan-2026</v>
      </c>
      <c r="C69" s="12" t="s">
        <v>13</v>
      </c>
      <c r="D69" s="12" t="s">
        <v>63</v>
      </c>
      <c r="E69" s="12" t="s">
        <v>6</v>
      </c>
      <c r="F69" s="12" t="s">
        <v>7</v>
      </c>
      <c r="G69" s="16">
        <v>7382.9</v>
      </c>
      <c r="H69" s="41">
        <v>0.77017999999999998</v>
      </c>
      <c r="I69" s="16">
        <v>5686.16</v>
      </c>
      <c r="J69" s="12" t="s">
        <v>212</v>
      </c>
    </row>
    <row r="70" spans="1:10">
      <c r="A70" s="18">
        <v>71</v>
      </c>
      <c r="B70" s="18" t="str">
        <f>IFERROR(VLOOKUP($A70,'02_Validation_Engine'!$A:$X,7,FALSE),"")</f>
        <v>Jan-2026</v>
      </c>
      <c r="C70" s="13" t="s">
        <v>13</v>
      </c>
      <c r="D70" s="13" t="s">
        <v>79</v>
      </c>
      <c r="E70" s="13" t="s">
        <v>6</v>
      </c>
      <c r="F70" s="13" t="s">
        <v>7</v>
      </c>
      <c r="G70" s="15">
        <v>7151.9</v>
      </c>
      <c r="H70" s="42">
        <v>0.77017999999999998</v>
      </c>
      <c r="I70" s="15">
        <v>5508.25</v>
      </c>
      <c r="J70" s="13" t="s">
        <v>228</v>
      </c>
    </row>
    <row r="71" spans="1:10">
      <c r="A71" s="19">
        <v>72</v>
      </c>
      <c r="B71" s="19" t="str">
        <f>IFERROR(VLOOKUP($A71,'02_Validation_Engine'!$A:$X,7,FALSE),"")</f>
        <v>Feb-2026</v>
      </c>
      <c r="C71" s="12" t="s">
        <v>13</v>
      </c>
      <c r="D71" s="12" t="s">
        <v>36</v>
      </c>
      <c r="E71" s="12" t="s">
        <v>4</v>
      </c>
      <c r="F71" s="12" t="s">
        <v>5</v>
      </c>
      <c r="G71" s="16">
        <v>6126</v>
      </c>
      <c r="H71" s="41">
        <v>0.90888000000000002</v>
      </c>
      <c r="I71" s="16">
        <v>5567.8</v>
      </c>
      <c r="J71" s="12" t="s">
        <v>184</v>
      </c>
    </row>
    <row r="72" spans="1:10">
      <c r="A72" s="18">
        <v>73</v>
      </c>
      <c r="B72" s="18" t="str">
        <f>IFERROR(VLOOKUP($A72,'02_Validation_Engine'!$A:$X,7,FALSE),"")</f>
        <v>Mar-2026</v>
      </c>
      <c r="C72" s="13" t="s">
        <v>13</v>
      </c>
      <c r="D72" s="13" t="s">
        <v>80</v>
      </c>
      <c r="E72" s="13" t="s">
        <v>10</v>
      </c>
      <c r="F72" s="13" t="s">
        <v>11</v>
      </c>
      <c r="G72" s="15">
        <v>1701.9</v>
      </c>
      <c r="H72" s="42">
        <v>1.08643</v>
      </c>
      <c r="I72" s="15">
        <v>1849</v>
      </c>
      <c r="J72" s="13" t="s">
        <v>229</v>
      </c>
    </row>
    <row r="73" spans="1:10">
      <c r="A73" s="19">
        <v>74</v>
      </c>
      <c r="B73" s="19" t="str">
        <f>IFERROR(VLOOKUP($A73,'02_Validation_Engine'!$A:$X,7,FALSE),"")</f>
        <v>Jan-2026</v>
      </c>
      <c r="C73" s="12" t="s">
        <v>13</v>
      </c>
      <c r="D73" s="12" t="s">
        <v>46</v>
      </c>
      <c r="E73" s="12" t="s">
        <v>6</v>
      </c>
      <c r="F73" s="12" t="s">
        <v>7</v>
      </c>
      <c r="G73" s="16">
        <v>7522.9</v>
      </c>
      <c r="H73" s="41">
        <v>0.77017999999999998</v>
      </c>
      <c r="I73" s="16">
        <v>5793.99</v>
      </c>
      <c r="J73" s="12" t="s">
        <v>194</v>
      </c>
    </row>
    <row r="74" spans="1:10">
      <c r="A74" s="18">
        <v>75</v>
      </c>
      <c r="B74" s="18" t="str">
        <f>IFERROR(VLOOKUP($A74,'02_Validation_Engine'!$A:$X,7,FALSE),"")</f>
        <v>Feb-2026</v>
      </c>
      <c r="C74" s="13" t="s">
        <v>13</v>
      </c>
      <c r="D74" s="13" t="s">
        <v>48</v>
      </c>
      <c r="E74" s="13" t="s">
        <v>6</v>
      </c>
      <c r="F74" s="13" t="s">
        <v>7</v>
      </c>
      <c r="G74" s="15">
        <v>7576.06</v>
      </c>
      <c r="H74" s="42">
        <v>0.77017999999999998</v>
      </c>
      <c r="I74" s="15">
        <v>5834.93</v>
      </c>
      <c r="J74" s="13" t="s">
        <v>197</v>
      </c>
    </row>
    <row r="75" spans="1:10">
      <c r="A75" s="19">
        <v>76</v>
      </c>
      <c r="B75" s="19" t="str">
        <f>IFERROR(VLOOKUP($A75,'02_Validation_Engine'!$A:$X,7,FALSE),"")</f>
        <v>Mar-2026</v>
      </c>
      <c r="C75" s="12" t="s">
        <v>13</v>
      </c>
      <c r="D75" s="12" t="s">
        <v>77</v>
      </c>
      <c r="E75" s="12" t="s">
        <v>6</v>
      </c>
      <c r="F75" s="12" t="s">
        <v>7</v>
      </c>
      <c r="G75" s="16">
        <v>7339.5</v>
      </c>
      <c r="H75" s="41">
        <v>0.77017999999999998</v>
      </c>
      <c r="I75" s="16">
        <v>5652.74</v>
      </c>
      <c r="J75" s="12" t="s">
        <v>226</v>
      </c>
    </row>
    <row r="76" spans="1:10">
      <c r="A76" s="18">
        <v>77</v>
      </c>
      <c r="B76" s="18" t="str">
        <f>IFERROR(VLOOKUP($A76,'02_Validation_Engine'!$A:$X,7,FALSE),"")</f>
        <v>Mar-2026</v>
      </c>
      <c r="C76" s="13" t="s">
        <v>13</v>
      </c>
      <c r="D76" s="13" t="s">
        <v>31</v>
      </c>
      <c r="E76" s="13" t="s">
        <v>4</v>
      </c>
      <c r="F76" s="13" t="s">
        <v>5</v>
      </c>
      <c r="G76" s="15">
        <v>6447</v>
      </c>
      <c r="H76" s="42">
        <v>0.90888000000000002</v>
      </c>
      <c r="I76" s="15">
        <v>5859.55</v>
      </c>
      <c r="J76" s="13" t="s">
        <v>180</v>
      </c>
    </row>
    <row r="77" spans="1:10">
      <c r="A77" s="19">
        <v>78</v>
      </c>
      <c r="B77" s="19" t="str">
        <f>IFERROR(VLOOKUP($A77,'02_Validation_Engine'!$A:$X,7,FALSE),"")</f>
        <v>Jan-2026</v>
      </c>
      <c r="C77" s="12" t="s">
        <v>13</v>
      </c>
      <c r="D77" s="12" t="s">
        <v>81</v>
      </c>
      <c r="E77" s="12" t="s">
        <v>6</v>
      </c>
      <c r="F77" s="12" t="s">
        <v>7</v>
      </c>
      <c r="G77" s="16">
        <v>7287.7</v>
      </c>
      <c r="H77" s="41">
        <v>0.77017999999999998</v>
      </c>
      <c r="I77" s="16">
        <v>5612.84</v>
      </c>
      <c r="J77" s="12" t="s">
        <v>230</v>
      </c>
    </row>
    <row r="78" spans="1:10">
      <c r="A78" s="18">
        <v>79</v>
      </c>
      <c r="B78" s="18" t="str">
        <f>IFERROR(VLOOKUP($A78,'02_Validation_Engine'!$A:$X,7,FALSE),"")</f>
        <v>Mar-2026</v>
      </c>
      <c r="C78" s="13" t="s">
        <v>13</v>
      </c>
      <c r="D78" s="13" t="s">
        <v>60</v>
      </c>
      <c r="E78" s="13" t="s">
        <v>2</v>
      </c>
      <c r="F78" s="13" t="s">
        <v>3</v>
      </c>
      <c r="G78" s="15">
        <v>6130.15</v>
      </c>
      <c r="H78" s="42">
        <v>1</v>
      </c>
      <c r="I78" s="15">
        <v>6130.15</v>
      </c>
      <c r="J78" s="13" t="s">
        <v>209</v>
      </c>
    </row>
    <row r="79" spans="1:10">
      <c r="A79" s="19">
        <v>80</v>
      </c>
      <c r="B79" s="19" t="str">
        <f>IFERROR(VLOOKUP($A79,'02_Validation_Engine'!$A:$X,7,FALSE),"")</f>
        <v>Jan-2026</v>
      </c>
      <c r="C79" s="12" t="s">
        <v>13</v>
      </c>
      <c r="D79" s="12" t="s">
        <v>52</v>
      </c>
      <c r="E79" s="12" t="s">
        <v>10</v>
      </c>
      <c r="F79" s="12" t="s">
        <v>11</v>
      </c>
      <c r="G79" s="16">
        <v>1780.02</v>
      </c>
      <c r="H79" s="41">
        <v>1.08643</v>
      </c>
      <c r="I79" s="16">
        <v>1933.87</v>
      </c>
      <c r="J79" s="12" t="s">
        <v>201</v>
      </c>
    </row>
    <row r="80" spans="1:10">
      <c r="A80" s="18">
        <v>81</v>
      </c>
      <c r="B80" s="18" t="str">
        <f>IFERROR(VLOOKUP($A80,'02_Validation_Engine'!$A:$X,7,FALSE),"")</f>
        <v>Feb-2026</v>
      </c>
      <c r="C80" s="13" t="s">
        <v>13</v>
      </c>
      <c r="D80" s="13" t="s">
        <v>81</v>
      </c>
      <c r="E80" s="13" t="s">
        <v>4</v>
      </c>
      <c r="F80" s="13" t="s">
        <v>5</v>
      </c>
      <c r="G80" s="15">
        <v>6246.6</v>
      </c>
      <c r="H80" s="42">
        <v>0.90888000000000002</v>
      </c>
      <c r="I80" s="15">
        <v>5677.41</v>
      </c>
      <c r="J80" s="13" t="s">
        <v>230</v>
      </c>
    </row>
    <row r="81" spans="1:10">
      <c r="A81" s="19">
        <v>82</v>
      </c>
      <c r="B81" s="19" t="str">
        <f>IFERROR(VLOOKUP($A81,'02_Validation_Engine'!$A:$X,7,FALSE),"")</f>
        <v>Jan-2026</v>
      </c>
      <c r="C81" s="12" t="s">
        <v>13</v>
      </c>
      <c r="D81" s="12" t="s">
        <v>82</v>
      </c>
      <c r="E81" s="12" t="s">
        <v>6</v>
      </c>
      <c r="F81" s="12" t="s">
        <v>7</v>
      </c>
      <c r="G81" s="16">
        <v>7380.8</v>
      </c>
      <c r="H81" s="41">
        <v>0.77017999999999998</v>
      </c>
      <c r="I81" s="16">
        <v>5684.54</v>
      </c>
      <c r="J81" s="12" t="s">
        <v>231</v>
      </c>
    </row>
    <row r="82" spans="1:10">
      <c r="A82" s="18">
        <v>83</v>
      </c>
      <c r="B82" s="18" t="str">
        <f>IFERROR(VLOOKUP($A82,'02_Validation_Engine'!$A:$X,7,FALSE),"")</f>
        <v>Jan-2026</v>
      </c>
      <c r="C82" s="13" t="s">
        <v>13</v>
      </c>
      <c r="D82" s="13" t="s">
        <v>47</v>
      </c>
      <c r="E82" s="13" t="s">
        <v>8</v>
      </c>
      <c r="F82" s="13" t="s">
        <v>9</v>
      </c>
      <c r="G82" s="15">
        <v>23942.6</v>
      </c>
      <c r="H82" s="42">
        <v>0.21065</v>
      </c>
      <c r="I82" s="15">
        <v>5043.51</v>
      </c>
      <c r="J82" s="13" t="s">
        <v>195</v>
      </c>
    </row>
    <row r="83" spans="1:10">
      <c r="A83" s="19">
        <v>84</v>
      </c>
      <c r="B83" s="19" t="str">
        <f>IFERROR(VLOOKUP($A83,'02_Validation_Engine'!$A:$X,7,FALSE),"")</f>
        <v>Feb-2026</v>
      </c>
      <c r="C83" s="12" t="s">
        <v>13</v>
      </c>
      <c r="D83" s="12" t="s">
        <v>41</v>
      </c>
      <c r="E83" s="12" t="s">
        <v>4</v>
      </c>
      <c r="F83" s="12" t="s">
        <v>5</v>
      </c>
      <c r="G83" s="16">
        <v>5875.2</v>
      </c>
      <c r="H83" s="41">
        <v>0.90888000000000002</v>
      </c>
      <c r="I83" s="16">
        <v>5339.85</v>
      </c>
      <c r="J83" s="12" t="s">
        <v>189</v>
      </c>
    </row>
    <row r="84" spans="1:10">
      <c r="A84" s="18">
        <v>85</v>
      </c>
      <c r="B84" s="18" t="str">
        <f>IFERROR(VLOOKUP($A84,'02_Validation_Engine'!$A:$X,7,FALSE),"")</f>
        <v>Jan-2026</v>
      </c>
      <c r="C84" s="13" t="s">
        <v>13</v>
      </c>
      <c r="D84" s="13" t="s">
        <v>78</v>
      </c>
      <c r="E84" s="13" t="s">
        <v>2</v>
      </c>
      <c r="F84" s="13" t="s">
        <v>3</v>
      </c>
      <c r="G84" s="15">
        <v>6099.6</v>
      </c>
      <c r="H84" s="42">
        <v>1</v>
      </c>
      <c r="I84" s="15">
        <v>6099.6</v>
      </c>
      <c r="J84" s="13" t="s">
        <v>227</v>
      </c>
    </row>
    <row r="85" spans="1:10">
      <c r="A85" s="19">
        <v>86</v>
      </c>
      <c r="B85" s="19" t="str">
        <f>IFERROR(VLOOKUP($A85,'02_Validation_Engine'!$A:$X,7,FALSE),"")</f>
        <v>Jan-2026</v>
      </c>
      <c r="C85" s="12" t="s">
        <v>13</v>
      </c>
      <c r="D85" s="12" t="s">
        <v>53</v>
      </c>
      <c r="E85" s="12" t="s">
        <v>8</v>
      </c>
      <c r="F85" s="12" t="s">
        <v>9</v>
      </c>
      <c r="G85" s="16">
        <v>22068.2</v>
      </c>
      <c r="H85" s="41">
        <v>0.21065</v>
      </c>
      <c r="I85" s="16">
        <v>4648.67</v>
      </c>
      <c r="J85" s="12" t="s">
        <v>202</v>
      </c>
    </row>
    <row r="86" spans="1:10">
      <c r="A86" s="18">
        <v>87</v>
      </c>
      <c r="B86" s="18" t="str">
        <f>IFERROR(VLOOKUP($A86,'02_Validation_Engine'!$A:$X,7,FALSE),"")</f>
        <v>Jan-2026</v>
      </c>
      <c r="C86" s="13" t="s">
        <v>13</v>
      </c>
      <c r="D86" s="13" t="s">
        <v>83</v>
      </c>
      <c r="E86" s="13" t="s">
        <v>4</v>
      </c>
      <c r="F86" s="13" t="s">
        <v>5</v>
      </c>
      <c r="G86" s="15">
        <v>5938.2</v>
      </c>
      <c r="H86" s="42">
        <v>0.90888000000000002</v>
      </c>
      <c r="I86" s="15">
        <v>5397.11</v>
      </c>
      <c r="J86" s="13" t="s">
        <v>232</v>
      </c>
    </row>
    <row r="87" spans="1:10">
      <c r="A87" s="19">
        <v>88</v>
      </c>
      <c r="B87" s="19" t="str">
        <f>IFERROR(VLOOKUP($A87,'02_Validation_Engine'!$A:$X,7,FALSE),"")</f>
        <v>Mar-2026</v>
      </c>
      <c r="C87" s="12" t="s">
        <v>13</v>
      </c>
      <c r="D87" s="12" t="s">
        <v>62</v>
      </c>
      <c r="E87" s="12" t="s">
        <v>2</v>
      </c>
      <c r="F87" s="12" t="s">
        <v>3</v>
      </c>
      <c r="G87" s="16">
        <v>6839.95</v>
      </c>
      <c r="H87" s="41">
        <v>1</v>
      </c>
      <c r="I87" s="16">
        <v>6839.95</v>
      </c>
      <c r="J87" s="12" t="s">
        <v>211</v>
      </c>
    </row>
    <row r="88" spans="1:10">
      <c r="A88" s="18">
        <v>90</v>
      </c>
      <c r="B88" s="18" t="str">
        <f>IFERROR(VLOOKUP($A88,'02_Validation_Engine'!$A:$X,7,FALSE),"")</f>
        <v>Feb-2026</v>
      </c>
      <c r="C88" s="13" t="s">
        <v>13</v>
      </c>
      <c r="D88" s="13" t="s">
        <v>81</v>
      </c>
      <c r="E88" s="13" t="s">
        <v>8</v>
      </c>
      <c r="F88" s="13" t="s">
        <v>9</v>
      </c>
      <c r="G88" s="15">
        <v>22904.2</v>
      </c>
      <c r="H88" s="42">
        <v>0.21065</v>
      </c>
      <c r="I88" s="15">
        <v>4824.7700000000004</v>
      </c>
      <c r="J88" s="13" t="s">
        <v>230</v>
      </c>
    </row>
    <row r="89" spans="1:10">
      <c r="A89" s="19">
        <v>91</v>
      </c>
      <c r="B89" s="19" t="str">
        <f>IFERROR(VLOOKUP($A89,'02_Validation_Engine'!$A:$X,7,FALSE),"")</f>
        <v>Mar-2026</v>
      </c>
      <c r="C89" s="12" t="s">
        <v>13</v>
      </c>
      <c r="D89" s="12" t="s">
        <v>82</v>
      </c>
      <c r="E89" s="12" t="s">
        <v>2</v>
      </c>
      <c r="F89" s="12" t="s">
        <v>3</v>
      </c>
      <c r="G89" s="16">
        <v>6853.6</v>
      </c>
      <c r="H89" s="41">
        <v>1</v>
      </c>
      <c r="I89" s="16">
        <v>6853.6</v>
      </c>
      <c r="J89" s="12" t="s">
        <v>231</v>
      </c>
    </row>
    <row r="90" spans="1:10">
      <c r="A90" s="18">
        <v>92</v>
      </c>
      <c r="B90" s="18" t="str">
        <f>IFERROR(VLOOKUP($A90,'02_Validation_Engine'!$A:$X,7,FALSE),"")</f>
        <v>Jan-2026</v>
      </c>
      <c r="C90" s="13" t="s">
        <v>13</v>
      </c>
      <c r="D90" s="13" t="s">
        <v>59</v>
      </c>
      <c r="E90" s="13" t="s">
        <v>4</v>
      </c>
      <c r="F90" s="13" t="s">
        <v>5</v>
      </c>
      <c r="G90" s="15">
        <v>5485.2</v>
      </c>
      <c r="H90" s="42">
        <v>0.90888000000000002</v>
      </c>
      <c r="I90" s="15">
        <v>4985.3900000000003</v>
      </c>
      <c r="J90" s="13" t="s">
        <v>208</v>
      </c>
    </row>
    <row r="91" spans="1:10">
      <c r="A91" s="19">
        <v>93</v>
      </c>
      <c r="B91" s="19" t="str">
        <f>IFERROR(VLOOKUP($A91,'02_Validation_Engine'!$A:$X,7,FALSE),"")</f>
        <v>Feb-2026</v>
      </c>
      <c r="C91" s="12" t="s">
        <v>13</v>
      </c>
      <c r="D91" s="12" t="s">
        <v>33</v>
      </c>
      <c r="E91" s="12" t="s">
        <v>10</v>
      </c>
      <c r="F91" s="12" t="s">
        <v>11</v>
      </c>
      <c r="G91" s="16">
        <v>1636.56</v>
      </c>
      <c r="H91" s="41">
        <v>1.08643</v>
      </c>
      <c r="I91" s="16">
        <v>1778.01</v>
      </c>
      <c r="J91" s="12" t="s">
        <v>182</v>
      </c>
    </row>
    <row r="92" spans="1:10">
      <c r="A92" s="18">
        <v>94</v>
      </c>
      <c r="B92" s="18" t="str">
        <f>IFERROR(VLOOKUP($A92,'02_Validation_Engine'!$A:$X,7,FALSE),"")</f>
        <v>Jan-2026</v>
      </c>
      <c r="C92" s="13" t="s">
        <v>13</v>
      </c>
      <c r="D92" s="13" t="s">
        <v>42</v>
      </c>
      <c r="E92" s="13" t="s">
        <v>8</v>
      </c>
      <c r="F92" s="13" t="s">
        <v>9</v>
      </c>
      <c r="G92" s="15">
        <v>22858</v>
      </c>
      <c r="H92" s="42">
        <v>0.21065</v>
      </c>
      <c r="I92" s="15">
        <v>4815.04</v>
      </c>
      <c r="J92" s="13" t="s">
        <v>190</v>
      </c>
    </row>
    <row r="93" spans="1:10">
      <c r="A93" s="19">
        <v>95</v>
      </c>
      <c r="B93" s="19" t="str">
        <f>IFERROR(VLOOKUP($A93,'02_Validation_Engine'!$A:$X,7,FALSE),"")</f>
        <v>Mar-2026</v>
      </c>
      <c r="C93" s="12" t="s">
        <v>13</v>
      </c>
      <c r="D93" s="12" t="s">
        <v>40</v>
      </c>
      <c r="E93" s="12" t="s">
        <v>6</v>
      </c>
      <c r="F93" s="12" t="s">
        <v>7</v>
      </c>
      <c r="G93" s="16">
        <v>7667.8</v>
      </c>
      <c r="H93" s="41">
        <v>0.77017999999999998</v>
      </c>
      <c r="I93" s="16">
        <v>5905.59</v>
      </c>
      <c r="J93" s="12" t="s">
        <v>188</v>
      </c>
    </row>
    <row r="94" spans="1:10">
      <c r="A94" s="18">
        <v>96</v>
      </c>
      <c r="B94" s="18" t="str">
        <f>IFERROR(VLOOKUP($A94,'02_Validation_Engine'!$A:$X,7,FALSE),"")</f>
        <v>Jan-2026</v>
      </c>
      <c r="C94" s="13" t="s">
        <v>13</v>
      </c>
      <c r="D94" s="13" t="s">
        <v>84</v>
      </c>
      <c r="E94" s="13" t="s">
        <v>2</v>
      </c>
      <c r="F94" s="13" t="s">
        <v>3</v>
      </c>
      <c r="G94" s="15">
        <v>6286.15</v>
      </c>
      <c r="H94" s="42">
        <v>1</v>
      </c>
      <c r="I94" s="15">
        <v>6286.15</v>
      </c>
      <c r="J94" s="13" t="s">
        <v>233</v>
      </c>
    </row>
    <row r="95" spans="1:10">
      <c r="A95" s="19">
        <v>97</v>
      </c>
      <c r="B95" s="19" t="str">
        <f>IFERROR(VLOOKUP($A95,'02_Validation_Engine'!$A:$X,7,FALSE),"")</f>
        <v>Jan-2026</v>
      </c>
      <c r="C95" s="12" t="s">
        <v>13</v>
      </c>
      <c r="D95" s="12" t="s">
        <v>43</v>
      </c>
      <c r="E95" s="12" t="s">
        <v>2</v>
      </c>
      <c r="F95" s="12" t="s">
        <v>3</v>
      </c>
      <c r="G95" s="16">
        <v>6958.25</v>
      </c>
      <c r="H95" s="41">
        <v>1</v>
      </c>
      <c r="I95" s="16">
        <v>6958.25</v>
      </c>
      <c r="J95" s="12" t="s">
        <v>191</v>
      </c>
    </row>
    <row r="96" spans="1:10">
      <c r="A96" s="18">
        <v>98</v>
      </c>
      <c r="B96" s="18" t="str">
        <f>IFERROR(VLOOKUP($A96,'02_Validation_Engine'!$A:$X,7,FALSE),"")</f>
        <v>Mar-2026</v>
      </c>
      <c r="C96" s="13" t="s">
        <v>13</v>
      </c>
      <c r="D96" s="13" t="s">
        <v>50</v>
      </c>
      <c r="E96" s="13" t="s">
        <v>2</v>
      </c>
      <c r="F96" s="13" t="s">
        <v>3</v>
      </c>
      <c r="G96" s="15">
        <v>6737.9</v>
      </c>
      <c r="H96" s="42">
        <v>1</v>
      </c>
      <c r="I96" s="15">
        <v>6737.9</v>
      </c>
      <c r="J96" s="13" t="s">
        <v>199</v>
      </c>
    </row>
    <row r="97" spans="1:10">
      <c r="A97" s="19">
        <v>99</v>
      </c>
      <c r="B97" s="19" t="str">
        <f>IFERROR(VLOOKUP($A97,'02_Validation_Engine'!$A:$X,7,FALSE),"")</f>
        <v>Mar-2026</v>
      </c>
      <c r="C97" s="12" t="s">
        <v>13</v>
      </c>
      <c r="D97" s="12" t="s">
        <v>85</v>
      </c>
      <c r="E97" s="12" t="s">
        <v>10</v>
      </c>
      <c r="F97" s="12" t="s">
        <v>11</v>
      </c>
      <c r="G97" s="16">
        <v>1681.92</v>
      </c>
      <c r="H97" s="41">
        <v>1.08643</v>
      </c>
      <c r="I97" s="16">
        <v>1827.29</v>
      </c>
      <c r="J97" s="12" t="s">
        <v>234</v>
      </c>
    </row>
    <row r="98" spans="1:10">
      <c r="A98" s="18">
        <v>100</v>
      </c>
      <c r="B98" s="18" t="str">
        <f>IFERROR(VLOOKUP($A98,'02_Validation_Engine'!$A:$X,7,FALSE),"")</f>
        <v>Jan-2026</v>
      </c>
      <c r="C98" s="13" t="s">
        <v>13</v>
      </c>
      <c r="D98" s="13" t="s">
        <v>31</v>
      </c>
      <c r="E98" s="13" t="s">
        <v>6</v>
      </c>
      <c r="F98" s="13" t="s">
        <v>7</v>
      </c>
      <c r="G98" s="15">
        <v>7634.32</v>
      </c>
      <c r="H98" s="42">
        <v>0.77017999999999998</v>
      </c>
      <c r="I98" s="15">
        <v>5879.8</v>
      </c>
      <c r="J98" s="13" t="s">
        <v>180</v>
      </c>
    </row>
    <row r="99" spans="1:10">
      <c r="A99" s="19">
        <v>101</v>
      </c>
      <c r="B99" s="19" t="str">
        <f>IFERROR(VLOOKUP($A99,'02_Validation_Engine'!$A:$X,7,FALSE),"")</f>
        <v>Mar-2026</v>
      </c>
      <c r="C99" s="12" t="s">
        <v>13</v>
      </c>
      <c r="D99" s="12" t="s">
        <v>84</v>
      </c>
      <c r="E99" s="12" t="s">
        <v>10</v>
      </c>
      <c r="F99" s="12" t="s">
        <v>11</v>
      </c>
      <c r="G99" s="16">
        <v>1740.78</v>
      </c>
      <c r="H99" s="41">
        <v>1.08643</v>
      </c>
      <c r="I99" s="16">
        <v>1891.24</v>
      </c>
      <c r="J99" s="12" t="s">
        <v>233</v>
      </c>
    </row>
    <row r="100" spans="1:10">
      <c r="A100" s="18">
        <v>102</v>
      </c>
      <c r="B100" s="18" t="str">
        <f>IFERROR(VLOOKUP($A100,'02_Validation_Engine'!$A:$X,7,FALSE),"")</f>
        <v>Feb-2026</v>
      </c>
      <c r="C100" s="13" t="s">
        <v>13</v>
      </c>
      <c r="D100" s="13" t="s">
        <v>86</v>
      </c>
      <c r="E100" s="13" t="s">
        <v>6</v>
      </c>
      <c r="F100" s="13" t="s">
        <v>7</v>
      </c>
      <c r="G100" s="15">
        <v>7478.1</v>
      </c>
      <c r="H100" s="42">
        <v>0.77017999999999998</v>
      </c>
      <c r="I100" s="15">
        <v>5759.48</v>
      </c>
      <c r="J100" s="13" t="s">
        <v>235</v>
      </c>
    </row>
    <row r="101" spans="1:10">
      <c r="A101" s="19">
        <v>103</v>
      </c>
      <c r="B101" s="19" t="str">
        <f>IFERROR(VLOOKUP($A101,'02_Validation_Engine'!$A:$X,7,FALSE),"")</f>
        <v>Mar-2026</v>
      </c>
      <c r="C101" s="12" t="s">
        <v>13</v>
      </c>
      <c r="D101" s="12" t="s">
        <v>61</v>
      </c>
      <c r="E101" s="12" t="s">
        <v>8</v>
      </c>
      <c r="F101" s="12" t="s">
        <v>9</v>
      </c>
      <c r="G101" s="16">
        <v>22385.82</v>
      </c>
      <c r="H101" s="41">
        <v>0.21065</v>
      </c>
      <c r="I101" s="16">
        <v>4715.57</v>
      </c>
      <c r="J101" s="12" t="s">
        <v>210</v>
      </c>
    </row>
    <row r="102" spans="1:10">
      <c r="A102" s="18">
        <v>104</v>
      </c>
      <c r="B102" s="18" t="str">
        <f>IFERROR(VLOOKUP($A102,'02_Validation_Engine'!$A:$X,7,FALSE),"")</f>
        <v>Jan-2026</v>
      </c>
      <c r="C102" s="13" t="s">
        <v>13</v>
      </c>
      <c r="D102" s="13" t="s">
        <v>75</v>
      </c>
      <c r="E102" s="13" t="s">
        <v>8</v>
      </c>
      <c r="F102" s="13" t="s">
        <v>9</v>
      </c>
      <c r="G102" s="15">
        <v>22642.400000000001</v>
      </c>
      <c r="H102" s="42">
        <v>0.21065</v>
      </c>
      <c r="I102" s="15">
        <v>4769.62</v>
      </c>
      <c r="J102" s="13" t="s">
        <v>224</v>
      </c>
    </row>
    <row r="103" spans="1:10">
      <c r="A103" s="19">
        <v>105</v>
      </c>
      <c r="B103" s="19" t="str">
        <f>IFERROR(VLOOKUP($A103,'02_Validation_Engine'!$A:$X,7,FALSE),"")</f>
        <v>Feb-2026</v>
      </c>
      <c r="C103" s="12" t="s">
        <v>13</v>
      </c>
      <c r="D103" s="12" t="s">
        <v>84</v>
      </c>
      <c r="E103" s="12" t="s">
        <v>6</v>
      </c>
      <c r="F103" s="12" t="s">
        <v>7</v>
      </c>
      <c r="G103" s="16">
        <v>6769.7</v>
      </c>
      <c r="H103" s="41">
        <v>0.77017999999999998</v>
      </c>
      <c r="I103" s="16">
        <v>5213.8900000000003</v>
      </c>
      <c r="J103" s="12" t="s">
        <v>233</v>
      </c>
    </row>
    <row r="104" spans="1:10">
      <c r="A104" s="18">
        <v>106</v>
      </c>
      <c r="B104" s="18" t="str">
        <f>IFERROR(VLOOKUP($A104,'02_Validation_Engine'!$A:$X,7,FALSE),"")</f>
        <v>Feb-2026</v>
      </c>
      <c r="C104" s="13" t="s">
        <v>13</v>
      </c>
      <c r="D104" s="13" t="s">
        <v>87</v>
      </c>
      <c r="E104" s="13" t="s">
        <v>10</v>
      </c>
      <c r="F104" s="13" t="s">
        <v>11</v>
      </c>
      <c r="G104" s="15">
        <v>1622.7</v>
      </c>
      <c r="H104" s="42">
        <v>1.08643</v>
      </c>
      <c r="I104" s="15">
        <v>1762.95</v>
      </c>
      <c r="J104" s="13" t="s">
        <v>236</v>
      </c>
    </row>
    <row r="105" spans="1:10">
      <c r="A105" s="19">
        <v>107</v>
      </c>
      <c r="B105" s="19" t="str">
        <f>IFERROR(VLOOKUP($A105,'02_Validation_Engine'!$A:$X,7,FALSE),"")</f>
        <v>Feb-2026</v>
      </c>
      <c r="C105" s="12" t="s">
        <v>13</v>
      </c>
      <c r="D105" s="12" t="s">
        <v>88</v>
      </c>
      <c r="E105" s="12" t="s">
        <v>8</v>
      </c>
      <c r="F105" s="12" t="s">
        <v>9</v>
      </c>
      <c r="G105" s="16">
        <v>22110</v>
      </c>
      <c r="H105" s="41">
        <v>0.21065</v>
      </c>
      <c r="I105" s="16">
        <v>4657.47</v>
      </c>
      <c r="J105" s="12" t="s">
        <v>237</v>
      </c>
    </row>
    <row r="106" spans="1:10">
      <c r="A106" s="18">
        <v>108</v>
      </c>
      <c r="B106" s="18" t="str">
        <f>IFERROR(VLOOKUP($A106,'02_Validation_Engine'!$A:$X,7,FALSE),"")</f>
        <v>Feb-2026</v>
      </c>
      <c r="C106" s="13" t="s">
        <v>13</v>
      </c>
      <c r="D106" s="13" t="s">
        <v>42</v>
      </c>
      <c r="E106" s="13" t="s">
        <v>10</v>
      </c>
      <c r="F106" s="13" t="s">
        <v>11</v>
      </c>
      <c r="G106" s="15">
        <v>1870.2</v>
      </c>
      <c r="H106" s="42">
        <v>1.08643</v>
      </c>
      <c r="I106" s="15">
        <v>2031.84</v>
      </c>
      <c r="J106" s="13" t="s">
        <v>190</v>
      </c>
    </row>
    <row r="107" spans="1:10">
      <c r="A107" s="19">
        <v>109</v>
      </c>
      <c r="B107" s="19" t="str">
        <f>IFERROR(VLOOKUP($A107,'02_Validation_Engine'!$A:$X,7,FALSE),"")</f>
        <v>Jan-2026</v>
      </c>
      <c r="C107" s="12" t="s">
        <v>13</v>
      </c>
      <c r="D107" s="12" t="s">
        <v>89</v>
      </c>
      <c r="E107" s="12" t="s">
        <v>8</v>
      </c>
      <c r="F107" s="12" t="s">
        <v>9</v>
      </c>
      <c r="G107" s="16">
        <v>20116.8</v>
      </c>
      <c r="H107" s="41">
        <v>0.21065</v>
      </c>
      <c r="I107" s="16">
        <v>4237.6000000000004</v>
      </c>
      <c r="J107" s="12" t="s">
        <v>238</v>
      </c>
    </row>
    <row r="108" spans="1:10">
      <c r="A108" s="18">
        <v>110</v>
      </c>
      <c r="B108" s="18" t="str">
        <f>IFERROR(VLOOKUP($A108,'02_Validation_Engine'!$A:$X,7,FALSE),"")</f>
        <v>Feb-2026</v>
      </c>
      <c r="C108" s="13" t="s">
        <v>13</v>
      </c>
      <c r="D108" s="13" t="s">
        <v>58</v>
      </c>
      <c r="E108" s="13" t="s">
        <v>4</v>
      </c>
      <c r="F108" s="13" t="s">
        <v>5</v>
      </c>
      <c r="G108" s="15">
        <v>6178.2</v>
      </c>
      <c r="H108" s="42">
        <v>0.90888000000000002</v>
      </c>
      <c r="I108" s="15">
        <v>5615.24</v>
      </c>
      <c r="J108" s="13" t="s">
        <v>207</v>
      </c>
    </row>
    <row r="109" spans="1:10">
      <c r="A109" s="19">
        <v>111</v>
      </c>
      <c r="B109" s="19" t="str">
        <f>IFERROR(VLOOKUP($A109,'02_Validation_Engine'!$A:$X,7,FALSE),"")</f>
        <v>Jan-2026</v>
      </c>
      <c r="C109" s="12" t="s">
        <v>13</v>
      </c>
      <c r="D109" s="12" t="s">
        <v>79</v>
      </c>
      <c r="E109" s="12" t="s">
        <v>6</v>
      </c>
      <c r="F109" s="12" t="s">
        <v>7</v>
      </c>
      <c r="G109" s="16">
        <v>7259.18</v>
      </c>
      <c r="H109" s="41">
        <v>0.77017999999999998</v>
      </c>
      <c r="I109" s="16">
        <v>5590.88</v>
      </c>
      <c r="J109" s="12" t="s">
        <v>228</v>
      </c>
    </row>
    <row r="110" spans="1:10">
      <c r="A110" s="18">
        <v>112</v>
      </c>
      <c r="B110" s="18" t="str">
        <f>IFERROR(VLOOKUP($A110,'02_Validation_Engine'!$A:$X,7,FALSE),"")</f>
        <v>Feb-2026</v>
      </c>
      <c r="C110" s="13" t="s">
        <v>13</v>
      </c>
      <c r="D110" s="13" t="s">
        <v>62</v>
      </c>
      <c r="E110" s="13" t="s">
        <v>2</v>
      </c>
      <c r="F110" s="13" t="s">
        <v>3</v>
      </c>
      <c r="G110" s="15">
        <v>6942.55</v>
      </c>
      <c r="H110" s="42">
        <v>1</v>
      </c>
      <c r="I110" s="15">
        <v>6942.55</v>
      </c>
      <c r="J110" s="13" t="s">
        <v>211</v>
      </c>
    </row>
    <row r="111" spans="1:10">
      <c r="A111" s="19">
        <v>113</v>
      </c>
      <c r="B111" s="19" t="str">
        <f>IFERROR(VLOOKUP($A111,'02_Validation_Engine'!$A:$X,7,FALSE),"")</f>
        <v>Jan-2026</v>
      </c>
      <c r="C111" s="12" t="s">
        <v>13</v>
      </c>
      <c r="D111" s="12" t="s">
        <v>90</v>
      </c>
      <c r="E111" s="12" t="s">
        <v>6</v>
      </c>
      <c r="F111" s="12" t="s">
        <v>7</v>
      </c>
      <c r="G111" s="16">
        <v>6349.7</v>
      </c>
      <c r="H111" s="41">
        <v>0.77017999999999998</v>
      </c>
      <c r="I111" s="16">
        <v>4890.41</v>
      </c>
      <c r="J111" s="12" t="s">
        <v>239</v>
      </c>
    </row>
    <row r="112" spans="1:10">
      <c r="A112" s="18">
        <v>114</v>
      </c>
      <c r="B112" s="18" t="str">
        <f>IFERROR(VLOOKUP($A112,'02_Validation_Engine'!$A:$X,7,FALSE),"")</f>
        <v>Mar-2026</v>
      </c>
      <c r="C112" s="13" t="s">
        <v>13</v>
      </c>
      <c r="D112" s="13" t="s">
        <v>68</v>
      </c>
      <c r="E112" s="13" t="s">
        <v>6</v>
      </c>
      <c r="F112" s="13" t="s">
        <v>7</v>
      </c>
      <c r="G112" s="15">
        <v>7502.6</v>
      </c>
      <c r="H112" s="42">
        <v>0.77017999999999998</v>
      </c>
      <c r="I112" s="15">
        <v>5778.35</v>
      </c>
      <c r="J112" s="13" t="s">
        <v>217</v>
      </c>
    </row>
    <row r="113" spans="1:10">
      <c r="A113" s="19">
        <v>115</v>
      </c>
      <c r="B113" s="19" t="str">
        <f>IFERROR(VLOOKUP($A113,'02_Validation_Engine'!$A:$X,7,FALSE),"")</f>
        <v>Mar-2026</v>
      </c>
      <c r="C113" s="12" t="s">
        <v>13</v>
      </c>
      <c r="D113" s="12" t="s">
        <v>91</v>
      </c>
      <c r="E113" s="12" t="s">
        <v>10</v>
      </c>
      <c r="F113" s="12" t="s">
        <v>11</v>
      </c>
      <c r="G113" s="16">
        <v>1893.96</v>
      </c>
      <c r="H113" s="41">
        <v>1.08643</v>
      </c>
      <c r="I113" s="16">
        <v>2057.65</v>
      </c>
      <c r="J113" s="12" t="s">
        <v>240</v>
      </c>
    </row>
    <row r="114" spans="1:10">
      <c r="A114" s="18">
        <v>116</v>
      </c>
      <c r="B114" s="18" t="str">
        <f>IFERROR(VLOOKUP($A114,'02_Validation_Engine'!$A:$X,7,FALSE),"")</f>
        <v>Feb-2026</v>
      </c>
      <c r="C114" s="13" t="s">
        <v>13</v>
      </c>
      <c r="D114" s="13" t="s">
        <v>92</v>
      </c>
      <c r="E114" s="13" t="s">
        <v>10</v>
      </c>
      <c r="F114" s="13" t="s">
        <v>11</v>
      </c>
      <c r="G114" s="15">
        <v>1734.66</v>
      </c>
      <c r="H114" s="42">
        <v>1.08643</v>
      </c>
      <c r="I114" s="15">
        <v>1884.59</v>
      </c>
      <c r="J114" s="13" t="s">
        <v>241</v>
      </c>
    </row>
    <row r="115" spans="1:10">
      <c r="A115" s="19">
        <v>117</v>
      </c>
      <c r="B115" s="19" t="str">
        <f>IFERROR(VLOOKUP($A115,'02_Validation_Engine'!$A:$X,7,FALSE),"")</f>
        <v>Feb-2026</v>
      </c>
      <c r="C115" s="12" t="s">
        <v>13</v>
      </c>
      <c r="D115" s="12" t="s">
        <v>86</v>
      </c>
      <c r="E115" s="12" t="s">
        <v>6</v>
      </c>
      <c r="F115" s="12" t="s">
        <v>7</v>
      </c>
      <c r="G115" s="16">
        <v>7590.27</v>
      </c>
      <c r="H115" s="41">
        <v>0.77017999999999998</v>
      </c>
      <c r="I115" s="16">
        <v>5845.87</v>
      </c>
      <c r="J115" s="12" t="s">
        <v>235</v>
      </c>
    </row>
    <row r="116" spans="1:10">
      <c r="A116" s="18">
        <v>118</v>
      </c>
      <c r="B116" s="18" t="str">
        <f>IFERROR(VLOOKUP($A116,'02_Validation_Engine'!$A:$X,7,FALSE),"")</f>
        <v>Feb-2026</v>
      </c>
      <c r="C116" s="13" t="s">
        <v>13</v>
      </c>
      <c r="D116" s="13" t="s">
        <v>49</v>
      </c>
      <c r="E116" s="13" t="s">
        <v>6</v>
      </c>
      <c r="F116" s="13" t="s">
        <v>7</v>
      </c>
      <c r="G116" s="15">
        <v>6994.4</v>
      </c>
      <c r="H116" s="42">
        <v>0.77017999999999998</v>
      </c>
      <c r="I116" s="15">
        <v>5386.95</v>
      </c>
      <c r="J116" s="13" t="s">
        <v>198</v>
      </c>
    </row>
    <row r="117" spans="1:10">
      <c r="A117" s="19">
        <v>119</v>
      </c>
      <c r="B117" s="19" t="str">
        <f>IFERROR(VLOOKUP($A117,'02_Validation_Engine'!$A:$X,7,FALSE),"")</f>
        <v>Feb-2026</v>
      </c>
      <c r="C117" s="12" t="s">
        <v>13</v>
      </c>
      <c r="D117" s="12" t="s">
        <v>40</v>
      </c>
      <c r="E117" s="12" t="s">
        <v>8</v>
      </c>
      <c r="F117" s="12" t="s">
        <v>9</v>
      </c>
      <c r="G117" s="16">
        <v>24098.799999999999</v>
      </c>
      <c r="H117" s="41">
        <v>0.21065</v>
      </c>
      <c r="I117" s="16">
        <v>5076.41</v>
      </c>
      <c r="J117" s="12" t="s">
        <v>188</v>
      </c>
    </row>
    <row r="118" spans="1:10">
      <c r="A118" s="18">
        <v>120</v>
      </c>
      <c r="B118" s="18" t="str">
        <f>IFERROR(VLOOKUP($A118,'02_Validation_Engine'!$A:$X,7,FALSE),"")</f>
        <v>Feb-2026</v>
      </c>
      <c r="C118" s="13" t="s">
        <v>13</v>
      </c>
      <c r="D118" s="13" t="s">
        <v>46</v>
      </c>
      <c r="E118" s="13" t="s">
        <v>10</v>
      </c>
      <c r="F118" s="13" t="s">
        <v>11</v>
      </c>
      <c r="G118" s="15">
        <v>1934.46</v>
      </c>
      <c r="H118" s="42">
        <v>1.08643</v>
      </c>
      <c r="I118" s="15">
        <v>2101.66</v>
      </c>
      <c r="J118" s="13" t="s">
        <v>194</v>
      </c>
    </row>
    <row r="119" spans="1:10">
      <c r="A119" s="19">
        <v>121</v>
      </c>
      <c r="B119" s="19" t="str">
        <f>IFERROR(VLOOKUP($A119,'02_Validation_Engine'!$A:$X,7,FALSE),"")</f>
        <v>Jan-2026</v>
      </c>
      <c r="C119" s="12" t="s">
        <v>13</v>
      </c>
      <c r="D119" s="12" t="s">
        <v>93</v>
      </c>
      <c r="E119" s="12" t="s">
        <v>8</v>
      </c>
      <c r="F119" s="12" t="s">
        <v>9</v>
      </c>
      <c r="G119" s="16">
        <v>24079</v>
      </c>
      <c r="H119" s="41">
        <v>0.21065</v>
      </c>
      <c r="I119" s="16">
        <v>5072.24</v>
      </c>
      <c r="J119" s="12" t="s">
        <v>242</v>
      </c>
    </row>
    <row r="120" spans="1:10">
      <c r="A120" s="18">
        <v>122</v>
      </c>
      <c r="B120" s="18" t="str">
        <f>IFERROR(VLOOKUP($A120,'02_Validation_Engine'!$A:$X,7,FALSE),"")</f>
        <v>Feb-2026</v>
      </c>
      <c r="C120" s="13" t="s">
        <v>13</v>
      </c>
      <c r="D120" s="13" t="s">
        <v>74</v>
      </c>
      <c r="E120" s="13" t="s">
        <v>2</v>
      </c>
      <c r="F120" s="13" t="s">
        <v>3</v>
      </c>
      <c r="G120" s="15">
        <v>7033.65</v>
      </c>
      <c r="H120" s="42">
        <v>1</v>
      </c>
      <c r="I120" s="15">
        <v>7033.65</v>
      </c>
      <c r="J120" s="13" t="s">
        <v>223</v>
      </c>
    </row>
    <row r="121" spans="1:10">
      <c r="A121" s="19">
        <v>123</v>
      </c>
      <c r="B121" s="19" t="str">
        <f>IFERROR(VLOOKUP($A121,'02_Validation_Engine'!$A:$X,7,FALSE),"")</f>
        <v>Feb-2026</v>
      </c>
      <c r="C121" s="12" t="s">
        <v>13</v>
      </c>
      <c r="D121" s="12" t="s">
        <v>83</v>
      </c>
      <c r="E121" s="12" t="s">
        <v>10</v>
      </c>
      <c r="F121" s="12" t="s">
        <v>11</v>
      </c>
      <c r="G121" s="16">
        <v>1781.46</v>
      </c>
      <c r="H121" s="41">
        <v>1.08643</v>
      </c>
      <c r="I121" s="16">
        <v>1935.43</v>
      </c>
      <c r="J121" s="12" t="s">
        <v>232</v>
      </c>
    </row>
    <row r="122" spans="1:10">
      <c r="A122" s="18">
        <v>124</v>
      </c>
      <c r="B122" s="18" t="str">
        <f>IFERROR(VLOOKUP($A122,'02_Validation_Engine'!$A:$X,7,FALSE),"")</f>
        <v>Mar-2026</v>
      </c>
      <c r="C122" s="13" t="s">
        <v>13</v>
      </c>
      <c r="D122" s="13" t="s">
        <v>29</v>
      </c>
      <c r="E122" s="13" t="s">
        <v>2</v>
      </c>
      <c r="F122" s="13" t="s">
        <v>3</v>
      </c>
      <c r="G122" s="15">
        <v>6521.45</v>
      </c>
      <c r="H122" s="42">
        <v>1</v>
      </c>
      <c r="I122" s="15">
        <v>6521.45</v>
      </c>
      <c r="J122" s="13" t="s">
        <v>196</v>
      </c>
    </row>
    <row r="123" spans="1:10">
      <c r="A123" s="19">
        <v>125</v>
      </c>
      <c r="B123" s="19" t="str">
        <f>IFERROR(VLOOKUP($A123,'02_Validation_Engine'!$A:$X,7,FALSE),"")</f>
        <v>Jan-2026</v>
      </c>
      <c r="C123" s="12" t="s">
        <v>13</v>
      </c>
      <c r="D123" s="12" t="s">
        <v>40</v>
      </c>
      <c r="E123" s="12" t="s">
        <v>2</v>
      </c>
      <c r="F123" s="12" t="s">
        <v>3</v>
      </c>
      <c r="G123" s="16">
        <v>7120.1</v>
      </c>
      <c r="H123" s="41">
        <v>1</v>
      </c>
      <c r="I123" s="16">
        <v>7120.1</v>
      </c>
      <c r="J123" s="12" t="s">
        <v>188</v>
      </c>
    </row>
    <row r="124" spans="1:10">
      <c r="A124" s="18">
        <v>126</v>
      </c>
      <c r="B124" s="18" t="str">
        <f>IFERROR(VLOOKUP($A124,'02_Validation_Engine'!$A:$X,7,FALSE),"")</f>
        <v>Feb-2026</v>
      </c>
      <c r="C124" s="13" t="s">
        <v>13</v>
      </c>
      <c r="D124" s="13" t="s">
        <v>94</v>
      </c>
      <c r="E124" s="13" t="s">
        <v>2</v>
      </c>
      <c r="F124" s="13" t="s">
        <v>3</v>
      </c>
      <c r="G124" s="15">
        <v>6279</v>
      </c>
      <c r="H124" s="42">
        <v>1</v>
      </c>
      <c r="I124" s="15">
        <v>6279</v>
      </c>
      <c r="J124" s="13" t="s">
        <v>243</v>
      </c>
    </row>
    <row r="125" spans="1:10">
      <c r="A125" s="19">
        <v>127</v>
      </c>
      <c r="B125" s="19" t="str">
        <f>IFERROR(VLOOKUP($A125,'02_Validation_Engine'!$A:$X,7,FALSE),"")</f>
        <v>Jan-2026</v>
      </c>
      <c r="C125" s="12" t="s">
        <v>13</v>
      </c>
      <c r="D125" s="12" t="s">
        <v>44</v>
      </c>
      <c r="E125" s="12" t="s">
        <v>4</v>
      </c>
      <c r="F125" s="12" t="s">
        <v>5</v>
      </c>
      <c r="G125" s="16">
        <v>6599.12</v>
      </c>
      <c r="H125" s="41">
        <v>0.90888000000000002</v>
      </c>
      <c r="I125" s="16">
        <v>5997.81</v>
      </c>
      <c r="J125" s="12" t="s">
        <v>192</v>
      </c>
    </row>
    <row r="126" spans="1:10">
      <c r="A126" s="18">
        <v>128</v>
      </c>
      <c r="B126" s="18" t="str">
        <f>IFERROR(VLOOKUP($A126,'02_Validation_Engine'!$A:$X,7,FALSE),"")</f>
        <v>Jan-2026</v>
      </c>
      <c r="C126" s="13" t="s">
        <v>13</v>
      </c>
      <c r="D126" s="13" t="s">
        <v>95</v>
      </c>
      <c r="E126" s="13" t="s">
        <v>10</v>
      </c>
      <c r="F126" s="13" t="s">
        <v>11</v>
      </c>
      <c r="G126" s="15">
        <v>1760.58</v>
      </c>
      <c r="H126" s="42">
        <v>1.08643</v>
      </c>
      <c r="I126" s="15">
        <v>1912.75</v>
      </c>
      <c r="J126" s="13" t="s">
        <v>244</v>
      </c>
    </row>
    <row r="127" spans="1:10">
      <c r="A127" s="19">
        <v>129</v>
      </c>
      <c r="B127" s="19" t="str">
        <f>IFERROR(VLOOKUP($A127,'02_Validation_Engine'!$A:$X,7,FALSE),"")</f>
        <v>Feb-2026</v>
      </c>
      <c r="C127" s="12" t="s">
        <v>13</v>
      </c>
      <c r="D127" s="12" t="s">
        <v>96</v>
      </c>
      <c r="E127" s="12" t="s">
        <v>6</v>
      </c>
      <c r="F127" s="12" t="s">
        <v>7</v>
      </c>
      <c r="G127" s="16">
        <v>7618.8</v>
      </c>
      <c r="H127" s="41">
        <v>0.77017999999999998</v>
      </c>
      <c r="I127" s="16">
        <v>5867.85</v>
      </c>
      <c r="J127" s="12" t="s">
        <v>245</v>
      </c>
    </row>
    <row r="128" spans="1:10">
      <c r="A128" s="18">
        <v>130</v>
      </c>
      <c r="B128" s="18" t="str">
        <f>IFERROR(VLOOKUP($A128,'02_Validation_Engine'!$A:$X,7,FALSE),"")</f>
        <v>Feb-2026</v>
      </c>
      <c r="C128" s="13" t="s">
        <v>13</v>
      </c>
      <c r="D128" s="13" t="s">
        <v>46</v>
      </c>
      <c r="E128" s="13" t="s">
        <v>2</v>
      </c>
      <c r="F128" s="13" t="s">
        <v>3</v>
      </c>
      <c r="G128" s="15">
        <v>7090.33</v>
      </c>
      <c r="H128" s="42">
        <v>1</v>
      </c>
      <c r="I128" s="15">
        <v>7090.33</v>
      </c>
      <c r="J128" s="13" t="s">
        <v>194</v>
      </c>
    </row>
    <row r="129" spans="1:10">
      <c r="A129" s="19">
        <v>131</v>
      </c>
      <c r="B129" s="19" t="str">
        <f>IFERROR(VLOOKUP($A129,'02_Validation_Engine'!$A:$X,7,FALSE),"")</f>
        <v>Mar-2026</v>
      </c>
      <c r="C129" s="12" t="s">
        <v>13</v>
      </c>
      <c r="D129" s="12" t="s">
        <v>84</v>
      </c>
      <c r="E129" s="12" t="s">
        <v>6</v>
      </c>
      <c r="F129" s="12" t="s">
        <v>7</v>
      </c>
      <c r="G129" s="16">
        <v>6871.25</v>
      </c>
      <c r="H129" s="41">
        <v>0.77017999999999998</v>
      </c>
      <c r="I129" s="16">
        <v>5292.1</v>
      </c>
      <c r="J129" s="12" t="s">
        <v>233</v>
      </c>
    </row>
    <row r="130" spans="1:10">
      <c r="A130" s="18">
        <v>133</v>
      </c>
      <c r="B130" s="18" t="str">
        <f>IFERROR(VLOOKUP($A130,'02_Validation_Engine'!$A:$X,7,FALSE),"")</f>
        <v>Jan-2026</v>
      </c>
      <c r="C130" s="13" t="s">
        <v>13</v>
      </c>
      <c r="D130" s="13" t="s">
        <v>48</v>
      </c>
      <c r="E130" s="13" t="s">
        <v>10</v>
      </c>
      <c r="F130" s="13" t="s">
        <v>11</v>
      </c>
      <c r="G130" s="15">
        <v>1919.34</v>
      </c>
      <c r="H130" s="42">
        <v>1.08643</v>
      </c>
      <c r="I130" s="15">
        <v>2085.23</v>
      </c>
      <c r="J130" s="13" t="s">
        <v>197</v>
      </c>
    </row>
    <row r="131" spans="1:10">
      <c r="A131" s="19">
        <v>134</v>
      </c>
      <c r="B131" s="19" t="str">
        <f>IFERROR(VLOOKUP($A131,'02_Validation_Engine'!$A:$X,7,FALSE),"")</f>
        <v>Jan-2026</v>
      </c>
      <c r="C131" s="12" t="s">
        <v>13</v>
      </c>
      <c r="D131" s="12" t="s">
        <v>60</v>
      </c>
      <c r="E131" s="12" t="s">
        <v>10</v>
      </c>
      <c r="F131" s="12" t="s">
        <v>11</v>
      </c>
      <c r="G131" s="16">
        <v>1697.58</v>
      </c>
      <c r="H131" s="41">
        <v>1.08643</v>
      </c>
      <c r="I131" s="16">
        <v>1844.3</v>
      </c>
      <c r="J131" s="12" t="s">
        <v>209</v>
      </c>
    </row>
    <row r="132" spans="1:10">
      <c r="A132" s="18">
        <v>135</v>
      </c>
      <c r="B132" s="18" t="str">
        <f>IFERROR(VLOOKUP($A132,'02_Validation_Engine'!$A:$X,7,FALSE),"")</f>
        <v>Jan-2026</v>
      </c>
      <c r="C132" s="13" t="s">
        <v>13</v>
      </c>
      <c r="D132" s="13" t="s">
        <v>48</v>
      </c>
      <c r="E132" s="13" t="s">
        <v>6</v>
      </c>
      <c r="F132" s="13" t="s">
        <v>7</v>
      </c>
      <c r="G132" s="15">
        <v>7689.7</v>
      </c>
      <c r="H132" s="42">
        <v>0.77017999999999998</v>
      </c>
      <c r="I132" s="15">
        <v>5922.45</v>
      </c>
      <c r="J132" s="13" t="s">
        <v>197</v>
      </c>
    </row>
    <row r="133" spans="1:10">
      <c r="A133" s="19">
        <v>136</v>
      </c>
      <c r="B133" s="19" t="str">
        <f>IFERROR(VLOOKUP($A133,'02_Validation_Engine'!$A:$X,7,FALSE),"")</f>
        <v>Jan-2026</v>
      </c>
      <c r="C133" s="12" t="s">
        <v>13</v>
      </c>
      <c r="D133" s="12" t="s">
        <v>86</v>
      </c>
      <c r="E133" s="12" t="s">
        <v>4</v>
      </c>
      <c r="F133" s="12" t="s">
        <v>5</v>
      </c>
      <c r="G133" s="16">
        <v>6409.8</v>
      </c>
      <c r="H133" s="41">
        <v>0.90888000000000002</v>
      </c>
      <c r="I133" s="16">
        <v>5825.74</v>
      </c>
      <c r="J133" s="12" t="s">
        <v>235</v>
      </c>
    </row>
    <row r="134" spans="1:10">
      <c r="A134" s="18">
        <v>137</v>
      </c>
      <c r="B134" s="18" t="str">
        <f>IFERROR(VLOOKUP($A134,'02_Validation_Engine'!$A:$X,7,FALSE),"")</f>
        <v>Mar-2026</v>
      </c>
      <c r="C134" s="13" t="s">
        <v>13</v>
      </c>
      <c r="D134" s="13" t="s">
        <v>82</v>
      </c>
      <c r="E134" s="13" t="s">
        <v>4</v>
      </c>
      <c r="F134" s="13" t="s">
        <v>5</v>
      </c>
      <c r="G134" s="15">
        <v>6326.4</v>
      </c>
      <c r="H134" s="42">
        <v>0.90888000000000002</v>
      </c>
      <c r="I134" s="15">
        <v>5749.94</v>
      </c>
      <c r="J134" s="13" t="s">
        <v>231</v>
      </c>
    </row>
    <row r="135" spans="1:10">
      <c r="A135" s="19">
        <v>138</v>
      </c>
      <c r="B135" s="19" t="str">
        <f>IFERROR(VLOOKUP($A135,'02_Validation_Engine'!$A:$X,7,FALSE),"")</f>
        <v>Mar-2026</v>
      </c>
      <c r="C135" s="12" t="s">
        <v>13</v>
      </c>
      <c r="D135" s="12" t="s">
        <v>33</v>
      </c>
      <c r="E135" s="12" t="s">
        <v>8</v>
      </c>
      <c r="F135" s="12" t="s">
        <v>9</v>
      </c>
      <c r="G135" s="16">
        <v>20002.400000000001</v>
      </c>
      <c r="H135" s="41">
        <v>0.21065</v>
      </c>
      <c r="I135" s="16">
        <v>4213.51</v>
      </c>
      <c r="J135" s="12" t="s">
        <v>182</v>
      </c>
    </row>
    <row r="136" spans="1:10">
      <c r="A136" s="18">
        <v>139</v>
      </c>
      <c r="B136" s="18" t="str">
        <f>IFERROR(VLOOKUP($A136,'02_Validation_Engine'!$A:$X,7,FALSE),"")</f>
        <v>Jan-2026</v>
      </c>
      <c r="C136" s="13" t="s">
        <v>13</v>
      </c>
      <c r="D136" s="13" t="s">
        <v>98</v>
      </c>
      <c r="E136" s="13" t="s">
        <v>4</v>
      </c>
      <c r="F136" s="13" t="s">
        <v>5</v>
      </c>
      <c r="G136" s="15">
        <v>5796</v>
      </c>
      <c r="H136" s="42">
        <v>0.90888000000000002</v>
      </c>
      <c r="I136" s="15">
        <v>5267.87</v>
      </c>
      <c r="J136" s="13" t="s">
        <v>246</v>
      </c>
    </row>
    <row r="137" spans="1:10">
      <c r="A137" s="19">
        <v>140</v>
      </c>
      <c r="B137" s="19" t="str">
        <f>IFERROR(VLOOKUP($A137,'02_Validation_Engine'!$A:$X,7,FALSE),"")</f>
        <v>Feb-2026</v>
      </c>
      <c r="C137" s="12" t="s">
        <v>13</v>
      </c>
      <c r="D137" s="12" t="s">
        <v>99</v>
      </c>
      <c r="E137" s="12" t="s">
        <v>2</v>
      </c>
      <c r="F137" s="12" t="s">
        <v>3</v>
      </c>
      <c r="G137" s="16">
        <v>6481.8</v>
      </c>
      <c r="H137" s="41">
        <v>1</v>
      </c>
      <c r="I137" s="16">
        <v>6481.8</v>
      </c>
      <c r="J137" s="12" t="s">
        <v>247</v>
      </c>
    </row>
    <row r="138" spans="1:10">
      <c r="A138" s="18">
        <v>141</v>
      </c>
      <c r="B138" s="18" t="str">
        <f>IFERROR(VLOOKUP($A138,'02_Validation_Engine'!$A:$X,7,FALSE),"")</f>
        <v>Feb-2026</v>
      </c>
      <c r="C138" s="13" t="s">
        <v>13</v>
      </c>
      <c r="D138" s="13" t="s">
        <v>100</v>
      </c>
      <c r="E138" s="13" t="s">
        <v>4</v>
      </c>
      <c r="F138" s="13" t="s">
        <v>5</v>
      </c>
      <c r="G138" s="15">
        <v>5851.2</v>
      </c>
      <c r="H138" s="42">
        <v>0.90888000000000002</v>
      </c>
      <c r="I138" s="15">
        <v>5318.04</v>
      </c>
      <c r="J138" s="13" t="s">
        <v>248</v>
      </c>
    </row>
    <row r="139" spans="1:10">
      <c r="A139" s="19">
        <v>142</v>
      </c>
      <c r="B139" s="19" t="str">
        <f>IFERROR(VLOOKUP($A139,'02_Validation_Engine'!$A:$X,7,FALSE),"")</f>
        <v>Jan-2026</v>
      </c>
      <c r="C139" s="12" t="s">
        <v>13</v>
      </c>
      <c r="D139" s="12" t="s">
        <v>82</v>
      </c>
      <c r="E139" s="12" t="s">
        <v>2</v>
      </c>
      <c r="F139" s="12" t="s">
        <v>3</v>
      </c>
      <c r="G139" s="16">
        <v>6956.4</v>
      </c>
      <c r="H139" s="41">
        <v>1</v>
      </c>
      <c r="I139" s="16">
        <v>6956.4</v>
      </c>
      <c r="J139" s="12" t="s">
        <v>231</v>
      </c>
    </row>
    <row r="140" spans="1:10">
      <c r="A140" s="18">
        <v>143</v>
      </c>
      <c r="B140" s="18" t="str">
        <f>IFERROR(VLOOKUP($A140,'02_Validation_Engine'!$A:$X,7,FALSE),"")</f>
        <v>Jan-2026</v>
      </c>
      <c r="C140" s="13" t="s">
        <v>13</v>
      </c>
      <c r="D140" s="13" t="s">
        <v>101</v>
      </c>
      <c r="E140" s="13" t="s">
        <v>6</v>
      </c>
      <c r="F140" s="13" t="s">
        <v>7</v>
      </c>
      <c r="G140" s="15">
        <v>6719.3</v>
      </c>
      <c r="H140" s="42">
        <v>0.77017999999999998</v>
      </c>
      <c r="I140" s="15">
        <v>5175.07</v>
      </c>
      <c r="J140" s="13" t="s">
        <v>249</v>
      </c>
    </row>
    <row r="141" spans="1:10">
      <c r="A141" s="19">
        <v>144</v>
      </c>
      <c r="B141" s="19" t="str">
        <f>IFERROR(VLOOKUP($A141,'02_Validation_Engine'!$A:$X,7,FALSE),"")</f>
        <v>Feb-2026</v>
      </c>
      <c r="C141" s="12" t="s">
        <v>13</v>
      </c>
      <c r="D141" s="12" t="s">
        <v>63</v>
      </c>
      <c r="E141" s="12" t="s">
        <v>10</v>
      </c>
      <c r="F141" s="12" t="s">
        <v>11</v>
      </c>
      <c r="G141" s="16">
        <v>1926.94</v>
      </c>
      <c r="H141" s="41">
        <v>1.08643</v>
      </c>
      <c r="I141" s="16">
        <v>2093.4899999999998</v>
      </c>
      <c r="J141" s="12" t="s">
        <v>212</v>
      </c>
    </row>
    <row r="142" spans="1:10">
      <c r="A142" s="18">
        <v>145</v>
      </c>
      <c r="B142" s="18" t="str">
        <f>IFERROR(VLOOKUP($A142,'02_Validation_Engine'!$A:$X,7,FALSE),"")</f>
        <v>Jan-2026</v>
      </c>
      <c r="C142" s="13" t="s">
        <v>13</v>
      </c>
      <c r="D142" s="13" t="s">
        <v>102</v>
      </c>
      <c r="E142" s="13" t="s">
        <v>4</v>
      </c>
      <c r="F142" s="13" t="s">
        <v>5</v>
      </c>
      <c r="G142" s="15">
        <v>5742.6</v>
      </c>
      <c r="H142" s="42">
        <v>0.90888000000000002</v>
      </c>
      <c r="I142" s="15">
        <v>5219.33</v>
      </c>
      <c r="J142" s="13" t="s">
        <v>250</v>
      </c>
    </row>
    <row r="143" spans="1:10">
      <c r="A143" s="19">
        <v>146</v>
      </c>
      <c r="B143" s="19" t="str">
        <f>IFERROR(VLOOKUP($A143,'02_Validation_Engine'!$A:$X,7,FALSE),"")</f>
        <v>Mar-2026</v>
      </c>
      <c r="C143" s="12" t="s">
        <v>13</v>
      </c>
      <c r="D143" s="12" t="s">
        <v>92</v>
      </c>
      <c r="E143" s="12" t="s">
        <v>4</v>
      </c>
      <c r="F143" s="12" t="s">
        <v>5</v>
      </c>
      <c r="G143" s="16">
        <v>5782.2</v>
      </c>
      <c r="H143" s="41">
        <v>0.90888000000000002</v>
      </c>
      <c r="I143" s="16">
        <v>5255.33</v>
      </c>
      <c r="J143" s="12" t="s">
        <v>241</v>
      </c>
    </row>
    <row r="144" spans="1:10">
      <c r="A144" s="18">
        <v>147</v>
      </c>
      <c r="B144" s="18" t="str">
        <f>IFERROR(VLOOKUP($A144,'02_Validation_Engine'!$A:$X,7,FALSE),"")</f>
        <v>Feb-2026</v>
      </c>
      <c r="C144" s="13" t="s">
        <v>13</v>
      </c>
      <c r="D144" s="13" t="s">
        <v>86</v>
      </c>
      <c r="E144" s="13" t="s">
        <v>4</v>
      </c>
      <c r="F144" s="13" t="s">
        <v>5</v>
      </c>
      <c r="G144" s="15">
        <v>6505.95</v>
      </c>
      <c r="H144" s="42">
        <v>0.90888000000000002</v>
      </c>
      <c r="I144" s="15">
        <v>5913.13</v>
      </c>
      <c r="J144" s="13" t="s">
        <v>235</v>
      </c>
    </row>
    <row r="145" spans="1:10">
      <c r="A145" s="19">
        <v>148</v>
      </c>
      <c r="B145" s="19" t="str">
        <f>IFERROR(VLOOKUP($A145,'02_Validation_Engine'!$A:$X,7,FALSE),"")</f>
        <v>Feb-2026</v>
      </c>
      <c r="C145" s="12" t="s">
        <v>13</v>
      </c>
      <c r="D145" s="12" t="s">
        <v>50</v>
      </c>
      <c r="E145" s="12" t="s">
        <v>4</v>
      </c>
      <c r="F145" s="12" t="s">
        <v>5</v>
      </c>
      <c r="G145" s="16">
        <v>6312.89</v>
      </c>
      <c r="H145" s="41">
        <v>0.90888000000000002</v>
      </c>
      <c r="I145" s="16">
        <v>5737.66</v>
      </c>
      <c r="J145" s="12" t="s">
        <v>199</v>
      </c>
    </row>
    <row r="146" spans="1:10">
      <c r="A146" s="18">
        <v>150</v>
      </c>
      <c r="B146" s="18" t="str">
        <f>IFERROR(VLOOKUP($A146,'02_Validation_Engine'!$A:$X,7,FALSE),"")</f>
        <v>Jan-2026</v>
      </c>
      <c r="C146" s="13" t="s">
        <v>13</v>
      </c>
      <c r="D146" s="13" t="s">
        <v>42</v>
      </c>
      <c r="E146" s="13" t="s">
        <v>6</v>
      </c>
      <c r="F146" s="13" t="s">
        <v>7</v>
      </c>
      <c r="G146" s="15">
        <v>7273</v>
      </c>
      <c r="H146" s="42">
        <v>0.77017999999999998</v>
      </c>
      <c r="I146" s="15">
        <v>5601.52</v>
      </c>
      <c r="J146" s="13" t="s">
        <v>190</v>
      </c>
    </row>
    <row r="147" spans="1:10">
      <c r="A147" s="19">
        <v>151</v>
      </c>
      <c r="B147" s="19" t="str">
        <f>IFERROR(VLOOKUP($A147,'02_Validation_Engine'!$A:$X,7,FALSE),"")</f>
        <v>Jan-2026</v>
      </c>
      <c r="C147" s="12" t="s">
        <v>13</v>
      </c>
      <c r="D147" s="12" t="s">
        <v>101</v>
      </c>
      <c r="E147" s="12" t="s">
        <v>8</v>
      </c>
      <c r="F147" s="12" t="s">
        <v>9</v>
      </c>
      <c r="G147" s="16">
        <v>21117.8</v>
      </c>
      <c r="H147" s="41">
        <v>0.21065</v>
      </c>
      <c r="I147" s="16">
        <v>4448.46</v>
      </c>
      <c r="J147" s="12" t="s">
        <v>249</v>
      </c>
    </row>
    <row r="148" spans="1:10">
      <c r="A148" s="18">
        <v>152</v>
      </c>
      <c r="B148" s="18" t="str">
        <f>IFERROR(VLOOKUP($A148,'02_Validation_Engine'!$A:$X,7,FALSE),"")</f>
        <v>Feb-2026</v>
      </c>
      <c r="C148" s="13" t="s">
        <v>13</v>
      </c>
      <c r="D148" s="13" t="s">
        <v>39</v>
      </c>
      <c r="E148" s="13" t="s">
        <v>8</v>
      </c>
      <c r="F148" s="13" t="s">
        <v>9</v>
      </c>
      <c r="G148" s="15">
        <v>22785.53</v>
      </c>
      <c r="H148" s="42">
        <v>0.21065</v>
      </c>
      <c r="I148" s="15">
        <v>4799.7700000000004</v>
      </c>
      <c r="J148" s="13" t="s">
        <v>187</v>
      </c>
    </row>
    <row r="149" spans="1:10">
      <c r="A149" s="19">
        <v>153</v>
      </c>
      <c r="B149" s="19" t="str">
        <f>IFERROR(VLOOKUP($A149,'02_Validation_Engine'!$A:$X,7,FALSE),"")</f>
        <v>Jan-2026</v>
      </c>
      <c r="C149" s="12" t="s">
        <v>13</v>
      </c>
      <c r="D149" s="12" t="s">
        <v>52</v>
      </c>
      <c r="E149" s="12" t="s">
        <v>10</v>
      </c>
      <c r="F149" s="12" t="s">
        <v>11</v>
      </c>
      <c r="G149" s="16">
        <v>1806.72</v>
      </c>
      <c r="H149" s="41">
        <v>1.08643</v>
      </c>
      <c r="I149" s="16">
        <v>1962.87</v>
      </c>
      <c r="J149" s="12" t="s">
        <v>201</v>
      </c>
    </row>
    <row r="150" spans="1:10">
      <c r="A150" s="18">
        <v>154</v>
      </c>
      <c r="B150" s="18" t="str">
        <f>IFERROR(VLOOKUP($A150,'02_Validation_Engine'!$A:$X,7,FALSE),"")</f>
        <v>Jan-2026</v>
      </c>
      <c r="C150" s="13" t="s">
        <v>13</v>
      </c>
      <c r="D150" s="13" t="s">
        <v>104</v>
      </c>
      <c r="E150" s="13" t="s">
        <v>10</v>
      </c>
      <c r="F150" s="13" t="s">
        <v>11</v>
      </c>
      <c r="G150" s="15">
        <v>1640.52</v>
      </c>
      <c r="H150" s="42">
        <v>1.08643</v>
      </c>
      <c r="I150" s="15">
        <v>1782.31</v>
      </c>
      <c r="J150" s="13" t="s">
        <v>251</v>
      </c>
    </row>
    <row r="151" spans="1:10">
      <c r="A151" s="19">
        <v>155</v>
      </c>
      <c r="B151" s="19" t="str">
        <f>IFERROR(VLOOKUP($A151,'02_Validation_Engine'!$A:$X,7,FALSE),"")</f>
        <v>Jan-2026</v>
      </c>
      <c r="C151" s="12" t="s">
        <v>13</v>
      </c>
      <c r="D151" s="12" t="s">
        <v>89</v>
      </c>
      <c r="E151" s="12" t="s">
        <v>6</v>
      </c>
      <c r="F151" s="12" t="s">
        <v>7</v>
      </c>
      <c r="G151" s="16">
        <v>6400.8</v>
      </c>
      <c r="H151" s="41">
        <v>0.77017999999999998</v>
      </c>
      <c r="I151" s="16">
        <v>4929.7700000000004</v>
      </c>
      <c r="J151" s="12" t="s">
        <v>238</v>
      </c>
    </row>
    <row r="152" spans="1:10">
      <c r="A152" s="18">
        <v>156</v>
      </c>
      <c r="B152" s="18" t="str">
        <f>IFERROR(VLOOKUP($A152,'02_Validation_Engine'!$A:$X,7,FALSE),"")</f>
        <v>Mar-2026</v>
      </c>
      <c r="C152" s="13" t="s">
        <v>13</v>
      </c>
      <c r="D152" s="13" t="s">
        <v>82</v>
      </c>
      <c r="E152" s="13" t="s">
        <v>6</v>
      </c>
      <c r="F152" s="13" t="s">
        <v>7</v>
      </c>
      <c r="G152" s="15">
        <v>7491.51</v>
      </c>
      <c r="H152" s="42">
        <v>0.77017999999999998</v>
      </c>
      <c r="I152" s="15">
        <v>5769.81</v>
      </c>
      <c r="J152" s="13" t="s">
        <v>231</v>
      </c>
    </row>
    <row r="153" spans="1:10">
      <c r="A153" s="19">
        <v>157</v>
      </c>
      <c r="B153" s="19" t="str">
        <f>IFERROR(VLOOKUP($A153,'02_Validation_Engine'!$A:$X,7,FALSE),"")</f>
        <v>Feb-2026</v>
      </c>
      <c r="C153" s="12" t="s">
        <v>13</v>
      </c>
      <c r="D153" s="12" t="s">
        <v>66</v>
      </c>
      <c r="E153" s="12" t="s">
        <v>10</v>
      </c>
      <c r="F153" s="12" t="s">
        <v>11</v>
      </c>
      <c r="G153" s="16">
        <v>1921.46</v>
      </c>
      <c r="H153" s="41">
        <v>1.08643</v>
      </c>
      <c r="I153" s="16">
        <v>2087.5300000000002</v>
      </c>
      <c r="J153" s="12" t="s">
        <v>215</v>
      </c>
    </row>
    <row r="154" spans="1:10">
      <c r="A154" s="18">
        <v>158</v>
      </c>
      <c r="B154" s="18" t="str">
        <f>IFERROR(VLOOKUP($A154,'02_Validation_Engine'!$A:$X,7,FALSE),"")</f>
        <v>Mar-2026</v>
      </c>
      <c r="C154" s="13" t="s">
        <v>13</v>
      </c>
      <c r="D154" s="13" t="s">
        <v>103</v>
      </c>
      <c r="E154" s="13" t="s">
        <v>6</v>
      </c>
      <c r="F154" s="13" t="s">
        <v>7</v>
      </c>
      <c r="G154" s="15">
        <v>7679.7</v>
      </c>
      <c r="H154" s="42">
        <v>0.77017999999999998</v>
      </c>
      <c r="I154" s="15">
        <v>5914.75</v>
      </c>
      <c r="J154" s="13" t="s">
        <v>252</v>
      </c>
    </row>
    <row r="155" spans="1:10">
      <c r="A155" s="19">
        <v>159</v>
      </c>
      <c r="B155" s="19" t="str">
        <f>IFERROR(VLOOKUP($A155,'02_Validation_Engine'!$A:$X,7,FALSE),"")</f>
        <v>Jan-2026</v>
      </c>
      <c r="C155" s="12" t="s">
        <v>13</v>
      </c>
      <c r="D155" s="12" t="s">
        <v>86</v>
      </c>
      <c r="E155" s="12" t="s">
        <v>10</v>
      </c>
      <c r="F155" s="12" t="s">
        <v>11</v>
      </c>
      <c r="G155" s="16">
        <v>1922.94</v>
      </c>
      <c r="H155" s="41">
        <v>1.08643</v>
      </c>
      <c r="I155" s="16">
        <v>2089.14</v>
      </c>
      <c r="J155" s="12" t="s">
        <v>235</v>
      </c>
    </row>
    <row r="156" spans="1:10">
      <c r="A156" s="18">
        <v>160</v>
      </c>
      <c r="B156" s="18" t="str">
        <f>IFERROR(VLOOKUP($A156,'02_Validation_Engine'!$A:$X,7,FALSE),"")</f>
        <v>Jan-2026</v>
      </c>
      <c r="C156" s="13" t="s">
        <v>13</v>
      </c>
      <c r="D156" s="13" t="s">
        <v>89</v>
      </c>
      <c r="E156" s="13" t="s">
        <v>8</v>
      </c>
      <c r="F156" s="13" t="s">
        <v>9</v>
      </c>
      <c r="G156" s="15">
        <v>20418.55</v>
      </c>
      <c r="H156" s="42">
        <v>0.21065</v>
      </c>
      <c r="I156" s="15">
        <v>4301.17</v>
      </c>
      <c r="J156" s="13" t="s">
        <v>238</v>
      </c>
    </row>
    <row r="157" spans="1:10">
      <c r="A157" s="19">
        <v>161</v>
      </c>
      <c r="B157" s="19" t="str">
        <f>IFERROR(VLOOKUP($A157,'02_Validation_Engine'!$A:$X,7,FALSE),"")</f>
        <v>Jan-2026</v>
      </c>
      <c r="C157" s="12" t="s">
        <v>13</v>
      </c>
      <c r="D157" s="12" t="s">
        <v>66</v>
      </c>
      <c r="E157" s="12" t="s">
        <v>2</v>
      </c>
      <c r="F157" s="12" t="s">
        <v>3</v>
      </c>
      <c r="G157" s="16">
        <v>6938.59</v>
      </c>
      <c r="H157" s="41">
        <v>1</v>
      </c>
      <c r="I157" s="16">
        <v>6938.59</v>
      </c>
      <c r="J157" s="12" t="s">
        <v>215</v>
      </c>
    </row>
    <row r="158" spans="1:10">
      <c r="A158" s="18">
        <v>162</v>
      </c>
      <c r="B158" s="18" t="str">
        <f>IFERROR(VLOOKUP($A158,'02_Validation_Engine'!$A:$X,7,FALSE),"")</f>
        <v>Mar-2026</v>
      </c>
      <c r="C158" s="13" t="s">
        <v>13</v>
      </c>
      <c r="D158" s="13" t="s">
        <v>105</v>
      </c>
      <c r="E158" s="13" t="s">
        <v>6</v>
      </c>
      <c r="F158" s="13" t="s">
        <v>7</v>
      </c>
      <c r="G158" s="15">
        <v>7132.3</v>
      </c>
      <c r="H158" s="42">
        <v>0.77017999999999998</v>
      </c>
      <c r="I158" s="15">
        <v>5493.15</v>
      </c>
      <c r="J158" s="13" t="s">
        <v>253</v>
      </c>
    </row>
    <row r="159" spans="1:10">
      <c r="A159" s="19">
        <v>163</v>
      </c>
      <c r="B159" s="19" t="str">
        <f>IFERROR(VLOOKUP($A159,'02_Validation_Engine'!$A:$X,7,FALSE),"")</f>
        <v>Feb-2026</v>
      </c>
      <c r="C159" s="12" t="s">
        <v>13</v>
      </c>
      <c r="D159" s="12" t="s">
        <v>32</v>
      </c>
      <c r="E159" s="12" t="s">
        <v>8</v>
      </c>
      <c r="F159" s="12" t="s">
        <v>9</v>
      </c>
      <c r="G159" s="16">
        <v>22242</v>
      </c>
      <c r="H159" s="41">
        <v>0.21065</v>
      </c>
      <c r="I159" s="16">
        <v>4685.28</v>
      </c>
      <c r="J159" s="12" t="s">
        <v>181</v>
      </c>
    </row>
    <row r="160" spans="1:10">
      <c r="A160" s="18">
        <v>164</v>
      </c>
      <c r="B160" s="18" t="str">
        <f>IFERROR(VLOOKUP($A160,'02_Validation_Engine'!$A:$X,7,FALSE),"")</f>
        <v>Mar-2026</v>
      </c>
      <c r="C160" s="13" t="s">
        <v>13</v>
      </c>
      <c r="D160" s="13" t="s">
        <v>32</v>
      </c>
      <c r="E160" s="13" t="s">
        <v>10</v>
      </c>
      <c r="F160" s="13" t="s">
        <v>11</v>
      </c>
      <c r="G160" s="15">
        <v>1819.8</v>
      </c>
      <c r="H160" s="42">
        <v>1.08643</v>
      </c>
      <c r="I160" s="15">
        <v>1977.09</v>
      </c>
      <c r="J160" s="13" t="s">
        <v>181</v>
      </c>
    </row>
    <row r="161" spans="1:10">
      <c r="A161" s="19">
        <v>165</v>
      </c>
      <c r="B161" s="19" t="str">
        <f>IFERROR(VLOOKUP($A161,'02_Validation_Engine'!$A:$X,7,FALSE),"")</f>
        <v>Jan-2026</v>
      </c>
      <c r="C161" s="12" t="s">
        <v>13</v>
      </c>
      <c r="D161" s="12" t="s">
        <v>85</v>
      </c>
      <c r="E161" s="12" t="s">
        <v>6</v>
      </c>
      <c r="F161" s="12" t="s">
        <v>7</v>
      </c>
      <c r="G161" s="16">
        <v>6540.8</v>
      </c>
      <c r="H161" s="41">
        <v>0.77017999999999998</v>
      </c>
      <c r="I161" s="16">
        <v>5037.59</v>
      </c>
      <c r="J161" s="12" t="s">
        <v>234</v>
      </c>
    </row>
    <row r="162" spans="1:10">
      <c r="A162" s="18">
        <v>166</v>
      </c>
      <c r="B162" s="18" t="str">
        <f>IFERROR(VLOOKUP($A162,'02_Validation_Engine'!$A:$X,7,FALSE),"")</f>
        <v>Mar-2026</v>
      </c>
      <c r="C162" s="13" t="s">
        <v>13</v>
      </c>
      <c r="D162" s="13" t="s">
        <v>60</v>
      </c>
      <c r="E162" s="13" t="s">
        <v>10</v>
      </c>
      <c r="F162" s="13" t="s">
        <v>11</v>
      </c>
      <c r="G162" s="15">
        <v>1723.04</v>
      </c>
      <c r="H162" s="42">
        <v>1.08643</v>
      </c>
      <c r="I162" s="15">
        <v>1871.96</v>
      </c>
      <c r="J162" s="13" t="s">
        <v>209</v>
      </c>
    </row>
    <row r="163" spans="1:10">
      <c r="A163" s="19">
        <v>167</v>
      </c>
      <c r="B163" s="19" t="str">
        <f>IFERROR(VLOOKUP($A163,'02_Validation_Engine'!$A:$X,7,FALSE),"")</f>
        <v>Mar-2026</v>
      </c>
      <c r="C163" s="12" t="s">
        <v>13</v>
      </c>
      <c r="D163" s="12" t="s">
        <v>94</v>
      </c>
      <c r="E163" s="12" t="s">
        <v>2</v>
      </c>
      <c r="F163" s="12" t="s">
        <v>3</v>
      </c>
      <c r="G163" s="16">
        <v>6373.18</v>
      </c>
      <c r="H163" s="41">
        <v>1</v>
      </c>
      <c r="I163" s="16">
        <v>6373.18</v>
      </c>
      <c r="J163" s="12" t="s">
        <v>243</v>
      </c>
    </row>
    <row r="164" spans="1:10">
      <c r="A164" s="18">
        <v>168</v>
      </c>
      <c r="B164" s="18" t="str">
        <f>IFERROR(VLOOKUP($A164,'02_Validation_Engine'!$A:$X,7,FALSE),"")</f>
        <v>Feb-2026</v>
      </c>
      <c r="C164" s="13" t="s">
        <v>13</v>
      </c>
      <c r="D164" s="13" t="s">
        <v>42</v>
      </c>
      <c r="E164" s="13" t="s">
        <v>2</v>
      </c>
      <c r="F164" s="13" t="s">
        <v>3</v>
      </c>
      <c r="G164" s="15">
        <v>6753.5</v>
      </c>
      <c r="H164" s="42">
        <v>1</v>
      </c>
      <c r="I164" s="15">
        <v>6753.5</v>
      </c>
      <c r="J164" s="13" t="s">
        <v>190</v>
      </c>
    </row>
    <row r="165" spans="1:10">
      <c r="A165" s="19">
        <v>169</v>
      </c>
      <c r="B165" s="19" t="str">
        <f>IFERROR(VLOOKUP($A165,'02_Validation_Engine'!$A:$X,7,FALSE),"")</f>
        <v>Mar-2026</v>
      </c>
      <c r="C165" s="12" t="s">
        <v>13</v>
      </c>
      <c r="D165" s="12" t="s">
        <v>55</v>
      </c>
      <c r="E165" s="12" t="s">
        <v>8</v>
      </c>
      <c r="F165" s="12" t="s">
        <v>9</v>
      </c>
      <c r="G165" s="16">
        <v>22149.599999999999</v>
      </c>
      <c r="H165" s="41">
        <v>0.21065</v>
      </c>
      <c r="I165" s="16">
        <v>4665.8100000000004</v>
      </c>
      <c r="J165" s="12" t="s">
        <v>206</v>
      </c>
    </row>
    <row r="166" spans="1:10">
      <c r="A166" s="18">
        <v>170</v>
      </c>
      <c r="B166" s="18" t="str">
        <f>IFERROR(VLOOKUP($A166,'02_Validation_Engine'!$A:$X,7,FALSE),"")</f>
        <v>Feb-2026</v>
      </c>
      <c r="C166" s="13" t="s">
        <v>13</v>
      </c>
      <c r="D166" s="13" t="s">
        <v>92</v>
      </c>
      <c r="E166" s="13" t="s">
        <v>4</v>
      </c>
      <c r="F166" s="13" t="s">
        <v>5</v>
      </c>
      <c r="G166" s="15">
        <v>5868.93</v>
      </c>
      <c r="H166" s="42">
        <v>0.90888000000000002</v>
      </c>
      <c r="I166" s="15">
        <v>5334.15</v>
      </c>
      <c r="J166" s="13" t="s">
        <v>241</v>
      </c>
    </row>
    <row r="167" spans="1:10">
      <c r="A167" s="19">
        <v>171</v>
      </c>
      <c r="B167" s="19" t="str">
        <f>IFERROR(VLOOKUP($A167,'02_Validation_Engine'!$A:$X,7,FALSE),"")</f>
        <v>Feb-2026</v>
      </c>
      <c r="C167" s="12" t="s">
        <v>13</v>
      </c>
      <c r="D167" s="12" t="s">
        <v>77</v>
      </c>
      <c r="E167" s="12" t="s">
        <v>2</v>
      </c>
      <c r="F167" s="12" t="s">
        <v>3</v>
      </c>
      <c r="G167" s="16">
        <v>6917.48</v>
      </c>
      <c r="H167" s="41">
        <v>1</v>
      </c>
      <c r="I167" s="16">
        <v>6917.48</v>
      </c>
      <c r="J167" s="12" t="s">
        <v>226</v>
      </c>
    </row>
    <row r="168" spans="1:10">
      <c r="A168" s="18">
        <v>172</v>
      </c>
      <c r="B168" s="18" t="str">
        <f>IFERROR(VLOOKUP($A168,'02_Validation_Engine'!$A:$X,7,FALSE),"")</f>
        <v>Mar-2026</v>
      </c>
      <c r="C168" s="13" t="s">
        <v>13</v>
      </c>
      <c r="D168" s="13" t="s">
        <v>94</v>
      </c>
      <c r="E168" s="13" t="s">
        <v>4</v>
      </c>
      <c r="F168" s="13" t="s">
        <v>5</v>
      </c>
      <c r="G168" s="15">
        <v>5796</v>
      </c>
      <c r="H168" s="42">
        <v>0.90888000000000002</v>
      </c>
      <c r="I168" s="15">
        <v>5267.87</v>
      </c>
      <c r="J168" s="13" t="s">
        <v>243</v>
      </c>
    </row>
    <row r="169" spans="1:10">
      <c r="A169" s="19">
        <v>173</v>
      </c>
      <c r="B169" s="19" t="str">
        <f>IFERROR(VLOOKUP($A169,'02_Validation_Engine'!$A:$X,7,FALSE),"")</f>
        <v>Mar-2026</v>
      </c>
      <c r="C169" s="12" t="s">
        <v>13</v>
      </c>
      <c r="D169" s="12" t="s">
        <v>85</v>
      </c>
      <c r="E169" s="12" t="s">
        <v>8</v>
      </c>
      <c r="F169" s="12" t="s">
        <v>9</v>
      </c>
      <c r="G169" s="16">
        <v>20556.8</v>
      </c>
      <c r="H169" s="41">
        <v>0.21065</v>
      </c>
      <c r="I169" s="16">
        <v>4330.29</v>
      </c>
      <c r="J169" s="12" t="s">
        <v>234</v>
      </c>
    </row>
    <row r="170" spans="1:10">
      <c r="A170" s="18">
        <v>175</v>
      </c>
      <c r="B170" s="18" t="str">
        <f>IFERROR(VLOOKUP($A170,'02_Validation_Engine'!$A:$X,7,FALSE),"")</f>
        <v>Mar-2026</v>
      </c>
      <c r="C170" s="13" t="s">
        <v>13</v>
      </c>
      <c r="D170" s="13" t="s">
        <v>64</v>
      </c>
      <c r="E170" s="13" t="s">
        <v>10</v>
      </c>
      <c r="F170" s="13" t="s">
        <v>11</v>
      </c>
      <c r="G170" s="15">
        <v>1958.54</v>
      </c>
      <c r="H170" s="42">
        <v>1.08643</v>
      </c>
      <c r="I170" s="15">
        <v>2127.8200000000002</v>
      </c>
      <c r="J170" s="13" t="s">
        <v>213</v>
      </c>
    </row>
    <row r="171" spans="1:10">
      <c r="A171" s="19">
        <v>176</v>
      </c>
      <c r="B171" s="19" t="str">
        <f>IFERROR(VLOOKUP($A171,'02_Validation_Engine'!$A:$X,7,FALSE),"")</f>
        <v>Mar-2026</v>
      </c>
      <c r="C171" s="12" t="s">
        <v>13</v>
      </c>
      <c r="D171" s="12" t="s">
        <v>59</v>
      </c>
      <c r="E171" s="12" t="s">
        <v>6</v>
      </c>
      <c r="F171" s="12" t="s">
        <v>7</v>
      </c>
      <c r="G171" s="16">
        <v>6399.4</v>
      </c>
      <c r="H171" s="41">
        <v>0.77017999999999998</v>
      </c>
      <c r="I171" s="16">
        <v>4928.6899999999996</v>
      </c>
      <c r="J171" s="12" t="s">
        <v>208</v>
      </c>
    </row>
    <row r="172" spans="1:10">
      <c r="A172" s="18">
        <v>177</v>
      </c>
      <c r="B172" s="18" t="str">
        <f>IFERROR(VLOOKUP($A172,'02_Validation_Engine'!$A:$X,7,FALSE),"")</f>
        <v>Feb-2026</v>
      </c>
      <c r="C172" s="13" t="s">
        <v>13</v>
      </c>
      <c r="D172" s="13" t="s">
        <v>50</v>
      </c>
      <c r="E172" s="13" t="s">
        <v>10</v>
      </c>
      <c r="F172" s="13" t="s">
        <v>11</v>
      </c>
      <c r="G172" s="15">
        <v>1865.88</v>
      </c>
      <c r="H172" s="42">
        <v>1.08643</v>
      </c>
      <c r="I172" s="15">
        <v>2027.15</v>
      </c>
      <c r="J172" s="13" t="s">
        <v>199</v>
      </c>
    </row>
    <row r="173" spans="1:10">
      <c r="A173" s="19">
        <v>178</v>
      </c>
      <c r="B173" s="19" t="str">
        <f>IFERROR(VLOOKUP($A173,'02_Validation_Engine'!$A:$X,7,FALSE),"")</f>
        <v>Feb-2026</v>
      </c>
      <c r="C173" s="12" t="s">
        <v>13</v>
      </c>
      <c r="D173" s="12" t="s">
        <v>80</v>
      </c>
      <c r="E173" s="12" t="s">
        <v>4</v>
      </c>
      <c r="F173" s="12" t="s">
        <v>5</v>
      </c>
      <c r="G173" s="16">
        <v>5673</v>
      </c>
      <c r="H173" s="41">
        <v>0.90888000000000002</v>
      </c>
      <c r="I173" s="16">
        <v>5156.08</v>
      </c>
      <c r="J173" s="12" t="s">
        <v>229</v>
      </c>
    </row>
    <row r="174" spans="1:10">
      <c r="A174" s="18">
        <v>179</v>
      </c>
      <c r="B174" s="18" t="str">
        <f>IFERROR(VLOOKUP($A174,'02_Validation_Engine'!$A:$X,7,FALSE),"")</f>
        <v>Mar-2026</v>
      </c>
      <c r="C174" s="13" t="s">
        <v>13</v>
      </c>
      <c r="D174" s="13" t="s">
        <v>65</v>
      </c>
      <c r="E174" s="13" t="s">
        <v>4</v>
      </c>
      <c r="F174" s="13" t="s">
        <v>5</v>
      </c>
      <c r="G174" s="15">
        <v>5763</v>
      </c>
      <c r="H174" s="42">
        <v>0.90888000000000002</v>
      </c>
      <c r="I174" s="15">
        <v>5237.88</v>
      </c>
      <c r="J174" s="13" t="s">
        <v>214</v>
      </c>
    </row>
    <row r="175" spans="1:10">
      <c r="A175" s="19">
        <v>180</v>
      </c>
      <c r="B175" s="19" t="str">
        <f>IFERROR(VLOOKUP($A175,'02_Validation_Engine'!$A:$X,7,FALSE),"")</f>
        <v>Jan-2026</v>
      </c>
      <c r="C175" s="12" t="s">
        <v>13</v>
      </c>
      <c r="D175" s="12" t="s">
        <v>63</v>
      </c>
      <c r="E175" s="12" t="s">
        <v>4</v>
      </c>
      <c r="F175" s="12" t="s">
        <v>5</v>
      </c>
      <c r="G175" s="16">
        <v>6328.2</v>
      </c>
      <c r="H175" s="41">
        <v>0.90888000000000002</v>
      </c>
      <c r="I175" s="16">
        <v>5751.57</v>
      </c>
      <c r="J175" s="12" t="s">
        <v>212</v>
      </c>
    </row>
    <row r="176" spans="1:10">
      <c r="A176" s="18">
        <v>183</v>
      </c>
      <c r="B176" s="18" t="str">
        <f>IFERROR(VLOOKUP($A176,'02_Validation_Engine'!$A:$X,7,FALSE),"")</f>
        <v>Jan-2026</v>
      </c>
      <c r="C176" s="13" t="s">
        <v>13</v>
      </c>
      <c r="D176" s="13" t="s">
        <v>106</v>
      </c>
      <c r="E176" s="13" t="s">
        <v>6</v>
      </c>
      <c r="F176" s="13" t="s">
        <v>7</v>
      </c>
      <c r="G176" s="15">
        <v>6514.9</v>
      </c>
      <c r="H176" s="42">
        <v>0.77017999999999998</v>
      </c>
      <c r="I176" s="15">
        <v>5017.6499999999996</v>
      </c>
      <c r="J176" s="13" t="s">
        <v>254</v>
      </c>
    </row>
    <row r="177" spans="1:10">
      <c r="A177" s="19">
        <v>184</v>
      </c>
      <c r="B177" s="19" t="str">
        <f>IFERROR(VLOOKUP($A177,'02_Validation_Engine'!$A:$X,7,FALSE),"")</f>
        <v>Jan-2026</v>
      </c>
      <c r="C177" s="12" t="s">
        <v>13</v>
      </c>
      <c r="D177" s="12" t="s">
        <v>60</v>
      </c>
      <c r="E177" s="12" t="s">
        <v>6</v>
      </c>
      <c r="F177" s="12" t="s">
        <v>7</v>
      </c>
      <c r="G177" s="16">
        <v>6601.7</v>
      </c>
      <c r="H177" s="41">
        <v>0.77017999999999998</v>
      </c>
      <c r="I177" s="16">
        <v>5084.5</v>
      </c>
      <c r="J177" s="12" t="s">
        <v>209</v>
      </c>
    </row>
    <row r="178" spans="1:10">
      <c r="A178" s="18">
        <v>185</v>
      </c>
      <c r="B178" s="18" t="str">
        <f>IFERROR(VLOOKUP($A178,'02_Validation_Engine'!$A:$X,7,FALSE),"")</f>
        <v>Jan-2026</v>
      </c>
      <c r="C178" s="13" t="s">
        <v>13</v>
      </c>
      <c r="D178" s="13" t="s">
        <v>34</v>
      </c>
      <c r="E178" s="13" t="s">
        <v>2</v>
      </c>
      <c r="F178" s="13" t="s">
        <v>3</v>
      </c>
      <c r="G178" s="15">
        <v>6350.09</v>
      </c>
      <c r="H178" s="42">
        <v>1</v>
      </c>
      <c r="I178" s="15">
        <v>6350.09</v>
      </c>
      <c r="J178" s="13" t="s">
        <v>183</v>
      </c>
    </row>
    <row r="179" spans="1:10">
      <c r="A179" s="19">
        <v>186</v>
      </c>
      <c r="B179" s="19" t="str">
        <f>IFERROR(VLOOKUP($A179,'02_Validation_Engine'!$A:$X,7,FALSE),"")</f>
        <v>Feb-2026</v>
      </c>
      <c r="C179" s="12" t="s">
        <v>13</v>
      </c>
      <c r="D179" s="12" t="s">
        <v>58</v>
      </c>
      <c r="E179" s="12" t="s">
        <v>8</v>
      </c>
      <c r="F179" s="12" t="s">
        <v>9</v>
      </c>
      <c r="G179" s="16">
        <v>22653.4</v>
      </c>
      <c r="H179" s="41">
        <v>0.21065</v>
      </c>
      <c r="I179" s="16">
        <v>4771.9399999999996</v>
      </c>
      <c r="J179" s="12" t="s">
        <v>207</v>
      </c>
    </row>
    <row r="180" spans="1:10">
      <c r="A180" s="18">
        <v>187</v>
      </c>
      <c r="B180" s="18" t="str">
        <f>IFERROR(VLOOKUP($A180,'02_Validation_Engine'!$A:$X,7,FALSE),"")</f>
        <v>Jan-2026</v>
      </c>
      <c r="C180" s="13" t="s">
        <v>13</v>
      </c>
      <c r="D180" s="13" t="s">
        <v>100</v>
      </c>
      <c r="E180" s="13" t="s">
        <v>8</v>
      </c>
      <c r="F180" s="13" t="s">
        <v>9</v>
      </c>
      <c r="G180" s="15">
        <v>21454.400000000001</v>
      </c>
      <c r="H180" s="42">
        <v>0.21065</v>
      </c>
      <c r="I180" s="15">
        <v>4519.37</v>
      </c>
      <c r="J180" s="13" t="s">
        <v>248</v>
      </c>
    </row>
    <row r="181" spans="1:10">
      <c r="A181" s="19">
        <v>188</v>
      </c>
      <c r="B181" s="19" t="str">
        <f>IFERROR(VLOOKUP($A181,'02_Validation_Engine'!$A:$X,7,FALSE),"")</f>
        <v>Feb-2026</v>
      </c>
      <c r="C181" s="12" t="s">
        <v>13</v>
      </c>
      <c r="D181" s="12" t="s">
        <v>98</v>
      </c>
      <c r="E181" s="12" t="s">
        <v>10</v>
      </c>
      <c r="F181" s="12" t="s">
        <v>11</v>
      </c>
      <c r="G181" s="16">
        <v>1738.8</v>
      </c>
      <c r="H181" s="41">
        <v>1.08643</v>
      </c>
      <c r="I181" s="16">
        <v>1889.08</v>
      </c>
      <c r="J181" s="12" t="s">
        <v>246</v>
      </c>
    </row>
    <row r="182" spans="1:10">
      <c r="A182" s="18">
        <v>189</v>
      </c>
      <c r="B182" s="18" t="str">
        <f>IFERROR(VLOOKUP($A182,'02_Validation_Engine'!$A:$X,7,FALSE),"")</f>
        <v>Feb-2026</v>
      </c>
      <c r="C182" s="13" t="s">
        <v>13</v>
      </c>
      <c r="D182" s="13" t="s">
        <v>60</v>
      </c>
      <c r="E182" s="13" t="s">
        <v>2</v>
      </c>
      <c r="F182" s="13" t="s">
        <v>3</v>
      </c>
      <c r="G182" s="15">
        <v>6222.1</v>
      </c>
      <c r="H182" s="42">
        <v>1</v>
      </c>
      <c r="I182" s="15">
        <v>6222.1</v>
      </c>
      <c r="J182" s="13" t="s">
        <v>209</v>
      </c>
    </row>
    <row r="183" spans="1:10">
      <c r="A183" s="19">
        <v>190</v>
      </c>
      <c r="B183" s="19" t="str">
        <f>IFERROR(VLOOKUP($A183,'02_Validation_Engine'!$A:$X,7,FALSE),"")</f>
        <v>Jan-2026</v>
      </c>
      <c r="C183" s="12" t="s">
        <v>13</v>
      </c>
      <c r="D183" s="12" t="s">
        <v>84</v>
      </c>
      <c r="E183" s="12" t="s">
        <v>8</v>
      </c>
      <c r="F183" s="12" t="s">
        <v>9</v>
      </c>
      <c r="G183" s="16">
        <v>21276.2</v>
      </c>
      <c r="H183" s="41">
        <v>0.21065</v>
      </c>
      <c r="I183" s="16">
        <v>4481.83</v>
      </c>
      <c r="J183" s="12" t="s">
        <v>233</v>
      </c>
    </row>
    <row r="184" spans="1:10">
      <c r="A184" s="18">
        <v>191</v>
      </c>
      <c r="B184" s="18" t="str">
        <f>IFERROR(VLOOKUP($A184,'02_Validation_Engine'!$A:$X,7,FALSE),"")</f>
        <v>Feb-2026</v>
      </c>
      <c r="C184" s="13" t="s">
        <v>13</v>
      </c>
      <c r="D184" s="13" t="s">
        <v>53</v>
      </c>
      <c r="E184" s="13" t="s">
        <v>8</v>
      </c>
      <c r="F184" s="13" t="s">
        <v>9</v>
      </c>
      <c r="G184" s="15">
        <v>22399.22</v>
      </c>
      <c r="H184" s="42">
        <v>0.21065</v>
      </c>
      <c r="I184" s="15">
        <v>4718.3999999999996</v>
      </c>
      <c r="J184" s="13" t="s">
        <v>202</v>
      </c>
    </row>
    <row r="185" spans="1:10">
      <c r="A185" s="19">
        <v>192</v>
      </c>
      <c r="B185" s="19" t="str">
        <f>IFERROR(VLOOKUP($A185,'02_Validation_Engine'!$A:$X,7,FALSE),"")</f>
        <v>Jan-2026</v>
      </c>
      <c r="C185" s="12" t="s">
        <v>13</v>
      </c>
      <c r="D185" s="12" t="s">
        <v>107</v>
      </c>
      <c r="E185" s="12" t="s">
        <v>4</v>
      </c>
      <c r="F185" s="12" t="s">
        <v>5</v>
      </c>
      <c r="G185" s="16">
        <v>5848.8</v>
      </c>
      <c r="H185" s="41">
        <v>0.90888000000000002</v>
      </c>
      <c r="I185" s="16">
        <v>5315.86</v>
      </c>
      <c r="J185" s="12" t="s">
        <v>255</v>
      </c>
    </row>
    <row r="186" spans="1:10">
      <c r="A186" s="18">
        <v>193</v>
      </c>
      <c r="B186" s="18" t="str">
        <f>IFERROR(VLOOKUP($A186,'02_Validation_Engine'!$A:$X,7,FALSE),"")</f>
        <v>Jan-2026</v>
      </c>
      <c r="C186" s="13" t="s">
        <v>13</v>
      </c>
      <c r="D186" s="13" t="s">
        <v>57</v>
      </c>
      <c r="E186" s="13" t="s">
        <v>4</v>
      </c>
      <c r="F186" s="13" t="s">
        <v>5</v>
      </c>
      <c r="G186" s="15">
        <v>6558</v>
      </c>
      <c r="H186" s="42">
        <v>0.90888000000000002</v>
      </c>
      <c r="I186" s="15">
        <v>5960.44</v>
      </c>
      <c r="J186" s="13" t="s">
        <v>205</v>
      </c>
    </row>
    <row r="187" spans="1:10">
      <c r="A187" s="19">
        <v>194</v>
      </c>
      <c r="B187" s="19" t="str">
        <f>IFERROR(VLOOKUP($A187,'02_Validation_Engine'!$A:$X,7,FALSE),"")</f>
        <v>Feb-2026</v>
      </c>
      <c r="C187" s="12" t="s">
        <v>13</v>
      </c>
      <c r="D187" s="12" t="s">
        <v>95</v>
      </c>
      <c r="E187" s="12" t="s">
        <v>6</v>
      </c>
      <c r="F187" s="12" t="s">
        <v>7</v>
      </c>
      <c r="G187" s="16">
        <v>6846.7</v>
      </c>
      <c r="H187" s="41">
        <v>0.77017999999999998</v>
      </c>
      <c r="I187" s="16">
        <v>5273.19</v>
      </c>
      <c r="J187" s="12" t="s">
        <v>244</v>
      </c>
    </row>
    <row r="188" spans="1:10">
      <c r="A188" s="18">
        <v>195</v>
      </c>
      <c r="B188" s="18" t="str">
        <f>IFERROR(VLOOKUP($A188,'02_Validation_Engine'!$A:$X,7,FALSE),"")</f>
        <v>Mar-2026</v>
      </c>
      <c r="C188" s="13" t="s">
        <v>13</v>
      </c>
      <c r="D188" s="13" t="s">
        <v>84</v>
      </c>
      <c r="E188" s="13" t="s">
        <v>6</v>
      </c>
      <c r="F188" s="13" t="s">
        <v>7</v>
      </c>
      <c r="G188" s="15">
        <v>6974.32</v>
      </c>
      <c r="H188" s="42">
        <v>0.77017999999999998</v>
      </c>
      <c r="I188" s="15">
        <v>5371.48</v>
      </c>
      <c r="J188" s="13" t="s">
        <v>233</v>
      </c>
    </row>
    <row r="189" spans="1:10">
      <c r="A189" s="19">
        <v>196</v>
      </c>
      <c r="B189" s="19" t="str">
        <f>IFERROR(VLOOKUP($A189,'02_Validation_Engine'!$A:$X,7,FALSE),"")</f>
        <v>Jan-2026</v>
      </c>
      <c r="C189" s="12" t="s">
        <v>13</v>
      </c>
      <c r="D189" s="12" t="s">
        <v>108</v>
      </c>
      <c r="E189" s="12" t="s">
        <v>10</v>
      </c>
      <c r="F189" s="12" t="s">
        <v>11</v>
      </c>
      <c r="G189" s="16">
        <v>1875.06</v>
      </c>
      <c r="H189" s="41">
        <v>1.08643</v>
      </c>
      <c r="I189" s="16">
        <v>2037.12</v>
      </c>
      <c r="J189" s="12" t="s">
        <v>256</v>
      </c>
    </row>
    <row r="190" spans="1:10">
      <c r="A190" s="18">
        <v>197</v>
      </c>
      <c r="B190" s="18" t="str">
        <f>IFERROR(VLOOKUP($A190,'02_Validation_Engine'!$A:$X,7,FALSE),"")</f>
        <v>Jan-2026</v>
      </c>
      <c r="C190" s="13" t="s">
        <v>13</v>
      </c>
      <c r="D190" s="13" t="s">
        <v>109</v>
      </c>
      <c r="E190" s="13" t="s">
        <v>8</v>
      </c>
      <c r="F190" s="13" t="s">
        <v>9</v>
      </c>
      <c r="G190" s="15">
        <v>22763.4</v>
      </c>
      <c r="H190" s="42">
        <v>0.21065</v>
      </c>
      <c r="I190" s="15">
        <v>4795.1099999999997</v>
      </c>
      <c r="J190" s="13" t="s">
        <v>257</v>
      </c>
    </row>
    <row r="191" spans="1:10">
      <c r="A191" s="19">
        <v>201</v>
      </c>
      <c r="B191" s="19" t="str">
        <f>IFERROR(VLOOKUP($A191,'02_Validation_Engine'!$A:$X,7,FALSE),"")</f>
        <v>Feb-2026</v>
      </c>
      <c r="C191" s="12" t="s">
        <v>14</v>
      </c>
      <c r="D191" s="12" t="s">
        <v>81</v>
      </c>
      <c r="E191" s="12" t="s">
        <v>6</v>
      </c>
      <c r="F191" s="12" t="s">
        <v>7</v>
      </c>
      <c r="G191" s="16">
        <v>5830.16</v>
      </c>
      <c r="H191" s="41">
        <v>0.77017999999999998</v>
      </c>
      <c r="I191" s="16">
        <v>4490.2700000000004</v>
      </c>
      <c r="J191" s="12" t="s">
        <v>230</v>
      </c>
    </row>
    <row r="192" spans="1:10">
      <c r="A192" s="18">
        <v>202</v>
      </c>
      <c r="B192" s="18" t="str">
        <f>IFERROR(VLOOKUP($A192,'02_Validation_Engine'!$A:$X,7,FALSE),"")</f>
        <v>Jan-2026</v>
      </c>
      <c r="C192" s="13" t="s">
        <v>14</v>
      </c>
      <c r="D192" s="13" t="s">
        <v>110</v>
      </c>
      <c r="E192" s="13" t="s">
        <v>2</v>
      </c>
      <c r="F192" s="13" t="s">
        <v>3</v>
      </c>
      <c r="G192" s="15">
        <v>5281.12</v>
      </c>
      <c r="H192" s="42">
        <v>1</v>
      </c>
      <c r="I192" s="15">
        <v>5281.12</v>
      </c>
      <c r="J192" s="13" t="s">
        <v>258</v>
      </c>
    </row>
    <row r="193" spans="1:10">
      <c r="A193" s="19">
        <v>203</v>
      </c>
      <c r="B193" s="19" t="str">
        <f>IFERROR(VLOOKUP($A193,'02_Validation_Engine'!$A:$X,7,FALSE),"")</f>
        <v>Mar-2026</v>
      </c>
      <c r="C193" s="12" t="s">
        <v>14</v>
      </c>
      <c r="D193" s="12" t="s">
        <v>91</v>
      </c>
      <c r="E193" s="12" t="s">
        <v>6</v>
      </c>
      <c r="F193" s="12" t="s">
        <v>7</v>
      </c>
      <c r="G193" s="16">
        <v>5892.32</v>
      </c>
      <c r="H193" s="41">
        <v>0.77017999999999998</v>
      </c>
      <c r="I193" s="16">
        <v>4538.1499999999996</v>
      </c>
      <c r="J193" s="12" t="s">
        <v>240</v>
      </c>
    </row>
    <row r="194" spans="1:10">
      <c r="A194" s="18">
        <v>204</v>
      </c>
      <c r="B194" s="18" t="str">
        <f>IFERROR(VLOOKUP($A194,'02_Validation_Engine'!$A:$X,7,FALSE),"")</f>
        <v>Mar-2026</v>
      </c>
      <c r="C194" s="13" t="s">
        <v>14</v>
      </c>
      <c r="D194" s="13" t="s">
        <v>34</v>
      </c>
      <c r="E194" s="13" t="s">
        <v>2</v>
      </c>
      <c r="F194" s="13" t="s">
        <v>3</v>
      </c>
      <c r="G194" s="15">
        <v>5005</v>
      </c>
      <c r="H194" s="42">
        <v>1</v>
      </c>
      <c r="I194" s="15">
        <v>5005</v>
      </c>
      <c r="J194" s="13" t="s">
        <v>183</v>
      </c>
    </row>
    <row r="195" spans="1:10">
      <c r="A195" s="19">
        <v>205</v>
      </c>
      <c r="B195" s="19" t="str">
        <f>IFERROR(VLOOKUP($A195,'02_Validation_Engine'!$A:$X,7,FALSE),"")</f>
        <v>Feb-2026</v>
      </c>
      <c r="C195" s="12" t="s">
        <v>14</v>
      </c>
      <c r="D195" s="12" t="s">
        <v>51</v>
      </c>
      <c r="E195" s="12" t="s">
        <v>10</v>
      </c>
      <c r="F195" s="12" t="s">
        <v>11</v>
      </c>
      <c r="G195" s="16">
        <v>1382.26</v>
      </c>
      <c r="H195" s="41">
        <v>1.08643</v>
      </c>
      <c r="I195" s="16">
        <v>1501.73</v>
      </c>
      <c r="J195" s="12" t="s">
        <v>200</v>
      </c>
    </row>
    <row r="196" spans="1:10">
      <c r="A196" s="18">
        <v>206</v>
      </c>
      <c r="B196" s="18" t="str">
        <f>IFERROR(VLOOKUP($A196,'02_Validation_Engine'!$A:$X,7,FALSE),"")</f>
        <v>Mar-2026</v>
      </c>
      <c r="C196" s="13" t="s">
        <v>14</v>
      </c>
      <c r="D196" s="13" t="s">
        <v>111</v>
      </c>
      <c r="E196" s="13" t="s">
        <v>6</v>
      </c>
      <c r="F196" s="13" t="s">
        <v>7</v>
      </c>
      <c r="G196" s="15">
        <v>5708.64</v>
      </c>
      <c r="H196" s="42">
        <v>0.77017999999999998</v>
      </c>
      <c r="I196" s="15">
        <v>4396.68</v>
      </c>
      <c r="J196" s="13" t="s">
        <v>259</v>
      </c>
    </row>
    <row r="197" spans="1:10">
      <c r="A197" s="19">
        <v>207</v>
      </c>
      <c r="B197" s="19" t="str">
        <f>IFERROR(VLOOKUP($A197,'02_Validation_Engine'!$A:$X,7,FALSE),"")</f>
        <v>Mar-2026</v>
      </c>
      <c r="C197" s="12" t="s">
        <v>14</v>
      </c>
      <c r="D197" s="12" t="s">
        <v>105</v>
      </c>
      <c r="E197" s="12" t="s">
        <v>8</v>
      </c>
      <c r="F197" s="12" t="s">
        <v>9</v>
      </c>
      <c r="G197" s="16">
        <v>17932.64</v>
      </c>
      <c r="H197" s="41">
        <v>0.21065</v>
      </c>
      <c r="I197" s="16">
        <v>3777.51</v>
      </c>
      <c r="J197" s="12" t="s">
        <v>253</v>
      </c>
    </row>
    <row r="198" spans="1:10">
      <c r="A198" s="18">
        <v>208</v>
      </c>
      <c r="B198" s="18" t="str">
        <f>IFERROR(VLOOKUP($A198,'02_Validation_Engine'!$A:$X,7,FALSE),"")</f>
        <v>Mar-2026</v>
      </c>
      <c r="C198" s="13" t="s">
        <v>14</v>
      </c>
      <c r="D198" s="13" t="s">
        <v>112</v>
      </c>
      <c r="E198" s="13" t="s">
        <v>4</v>
      </c>
      <c r="F198" s="13" t="s">
        <v>5</v>
      </c>
      <c r="G198" s="15">
        <v>4619.04</v>
      </c>
      <c r="H198" s="42">
        <v>0.90888000000000002</v>
      </c>
      <c r="I198" s="15">
        <v>4198.1499999999996</v>
      </c>
      <c r="J198" s="13" t="s">
        <v>260</v>
      </c>
    </row>
    <row r="199" spans="1:10">
      <c r="A199" s="19">
        <v>209</v>
      </c>
      <c r="B199" s="19" t="str">
        <f>IFERROR(VLOOKUP($A199,'02_Validation_Engine'!$A:$X,7,FALSE),"")</f>
        <v>Feb-2026</v>
      </c>
      <c r="C199" s="12" t="s">
        <v>14</v>
      </c>
      <c r="D199" s="12" t="s">
        <v>113</v>
      </c>
      <c r="E199" s="12" t="s">
        <v>6</v>
      </c>
      <c r="F199" s="12" t="s">
        <v>7</v>
      </c>
      <c r="G199" s="16">
        <v>5880.56</v>
      </c>
      <c r="H199" s="41">
        <v>0.77017999999999998</v>
      </c>
      <c r="I199" s="16">
        <v>4529.09</v>
      </c>
      <c r="J199" s="12" t="s">
        <v>261</v>
      </c>
    </row>
    <row r="200" spans="1:10">
      <c r="A200" s="18">
        <v>210</v>
      </c>
      <c r="B200" s="18" t="str">
        <f>IFERROR(VLOOKUP($A200,'02_Validation_Engine'!$A:$X,7,FALSE),"")</f>
        <v>Mar-2026</v>
      </c>
      <c r="C200" s="13" t="s">
        <v>14</v>
      </c>
      <c r="D200" s="13" t="s">
        <v>69</v>
      </c>
      <c r="E200" s="13" t="s">
        <v>6</v>
      </c>
      <c r="F200" s="13" t="s">
        <v>7</v>
      </c>
      <c r="G200" s="15">
        <v>5367.04</v>
      </c>
      <c r="H200" s="42">
        <v>0.77017999999999998</v>
      </c>
      <c r="I200" s="15">
        <v>4133.59</v>
      </c>
      <c r="J200" s="13" t="s">
        <v>218</v>
      </c>
    </row>
    <row r="201" spans="1:10">
      <c r="A201" s="19">
        <v>211</v>
      </c>
      <c r="B201" s="19" t="str">
        <f>IFERROR(VLOOKUP($A201,'02_Validation_Engine'!$A:$X,7,FALSE),"")</f>
        <v>Jan-2026</v>
      </c>
      <c r="C201" s="12" t="s">
        <v>14</v>
      </c>
      <c r="D201" s="12" t="s">
        <v>114</v>
      </c>
      <c r="E201" s="12" t="s">
        <v>4</v>
      </c>
      <c r="F201" s="12" t="s">
        <v>5</v>
      </c>
      <c r="G201" s="16">
        <v>4791.3599999999997</v>
      </c>
      <c r="H201" s="41">
        <v>0.90888000000000002</v>
      </c>
      <c r="I201" s="16">
        <v>4354.7700000000004</v>
      </c>
      <c r="J201" s="12" t="s">
        <v>262</v>
      </c>
    </row>
    <row r="202" spans="1:10">
      <c r="A202" s="18">
        <v>212</v>
      </c>
      <c r="B202" s="18" t="str">
        <f>IFERROR(VLOOKUP($A202,'02_Validation_Engine'!$A:$X,7,FALSE),"")</f>
        <v>Feb-2026</v>
      </c>
      <c r="C202" s="13" t="s">
        <v>14</v>
      </c>
      <c r="D202" s="13" t="s">
        <v>51</v>
      </c>
      <c r="E202" s="13" t="s">
        <v>2</v>
      </c>
      <c r="F202" s="13" t="s">
        <v>3</v>
      </c>
      <c r="G202" s="15">
        <v>4991.4799999999996</v>
      </c>
      <c r="H202" s="42">
        <v>1</v>
      </c>
      <c r="I202" s="15">
        <v>4991.4799999999996</v>
      </c>
      <c r="J202" s="13" t="s">
        <v>200</v>
      </c>
    </row>
    <row r="203" spans="1:10">
      <c r="A203" s="19">
        <v>213</v>
      </c>
      <c r="B203" s="19" t="str">
        <f>IFERROR(VLOOKUP($A203,'02_Validation_Engine'!$A:$X,7,FALSE),"")</f>
        <v>Jan-2026</v>
      </c>
      <c r="C203" s="12" t="s">
        <v>14</v>
      </c>
      <c r="D203" s="12" t="s">
        <v>82</v>
      </c>
      <c r="E203" s="12" t="s">
        <v>2</v>
      </c>
      <c r="F203" s="12" t="s">
        <v>3</v>
      </c>
      <c r="G203" s="16">
        <v>5482.88</v>
      </c>
      <c r="H203" s="41">
        <v>1</v>
      </c>
      <c r="I203" s="16">
        <v>5482.88</v>
      </c>
      <c r="J203" s="12" t="s">
        <v>231</v>
      </c>
    </row>
    <row r="204" spans="1:10">
      <c r="A204" s="18">
        <v>214</v>
      </c>
      <c r="B204" s="18" t="str">
        <f>IFERROR(VLOOKUP($A204,'02_Validation_Engine'!$A:$X,7,FALSE),"")</f>
        <v>Jan-2026</v>
      </c>
      <c r="C204" s="13" t="s">
        <v>14</v>
      </c>
      <c r="D204" s="13" t="s">
        <v>64</v>
      </c>
      <c r="E204" s="13" t="s">
        <v>8</v>
      </c>
      <c r="F204" s="13" t="s">
        <v>9</v>
      </c>
      <c r="G204" s="15">
        <v>18867.2</v>
      </c>
      <c r="H204" s="42">
        <v>0.21065</v>
      </c>
      <c r="I204" s="15">
        <v>3974.38</v>
      </c>
      <c r="J204" s="13" t="s">
        <v>213</v>
      </c>
    </row>
    <row r="205" spans="1:10">
      <c r="A205" s="19">
        <v>215</v>
      </c>
      <c r="B205" s="19" t="str">
        <f>IFERROR(VLOOKUP($A205,'02_Validation_Engine'!$A:$X,7,FALSE),"")</f>
        <v>Mar-2026</v>
      </c>
      <c r="C205" s="12" t="s">
        <v>14</v>
      </c>
      <c r="D205" s="12" t="s">
        <v>84</v>
      </c>
      <c r="E205" s="12" t="s">
        <v>6</v>
      </c>
      <c r="F205" s="12" t="s">
        <v>7</v>
      </c>
      <c r="G205" s="16">
        <v>5415.76</v>
      </c>
      <c r="H205" s="41">
        <v>0.77017999999999998</v>
      </c>
      <c r="I205" s="16">
        <v>4171.1099999999997</v>
      </c>
      <c r="J205" s="12" t="s">
        <v>233</v>
      </c>
    </row>
    <row r="206" spans="1:10">
      <c r="A206" s="18">
        <v>216</v>
      </c>
      <c r="B206" s="18" t="str">
        <f>IFERROR(VLOOKUP($A206,'02_Validation_Engine'!$A:$X,7,FALSE),"")</f>
        <v>Mar-2026</v>
      </c>
      <c r="C206" s="13" t="s">
        <v>14</v>
      </c>
      <c r="D206" s="13" t="s">
        <v>104</v>
      </c>
      <c r="E206" s="13" t="s">
        <v>10</v>
      </c>
      <c r="F206" s="13" t="s">
        <v>11</v>
      </c>
      <c r="G206" s="15">
        <v>1312.42</v>
      </c>
      <c r="H206" s="42">
        <v>1.08643</v>
      </c>
      <c r="I206" s="15">
        <v>1425.85</v>
      </c>
      <c r="J206" s="13" t="s">
        <v>251</v>
      </c>
    </row>
    <row r="207" spans="1:10">
      <c r="A207" s="19">
        <v>217</v>
      </c>
      <c r="B207" s="19" t="str">
        <f>IFERROR(VLOOKUP($A207,'02_Validation_Engine'!$A:$X,7,FALSE),"")</f>
        <v>Mar-2026</v>
      </c>
      <c r="C207" s="12" t="s">
        <v>14</v>
      </c>
      <c r="D207" s="12" t="s">
        <v>78</v>
      </c>
      <c r="E207" s="12" t="s">
        <v>2</v>
      </c>
      <c r="F207" s="12" t="s">
        <v>3</v>
      </c>
      <c r="G207" s="16">
        <v>4879.68</v>
      </c>
      <c r="H207" s="41">
        <v>1</v>
      </c>
      <c r="I207" s="16">
        <v>4879.68</v>
      </c>
      <c r="J207" s="12" t="s">
        <v>227</v>
      </c>
    </row>
    <row r="208" spans="1:10">
      <c r="A208" s="18">
        <v>218</v>
      </c>
      <c r="B208" s="18" t="str">
        <f>IFERROR(VLOOKUP($A208,'02_Validation_Engine'!$A:$X,7,FALSE),"")</f>
        <v>Jan-2026</v>
      </c>
      <c r="C208" s="13" t="s">
        <v>14</v>
      </c>
      <c r="D208" s="13" t="s">
        <v>91</v>
      </c>
      <c r="E208" s="13" t="s">
        <v>2</v>
      </c>
      <c r="F208" s="13" t="s">
        <v>3</v>
      </c>
      <c r="G208" s="15">
        <v>5471.44</v>
      </c>
      <c r="H208" s="42">
        <v>1</v>
      </c>
      <c r="I208" s="15">
        <v>5471.44</v>
      </c>
      <c r="J208" s="13" t="s">
        <v>240</v>
      </c>
    </row>
    <row r="209" spans="1:10">
      <c r="A209" s="19">
        <v>219</v>
      </c>
      <c r="B209" s="19" t="str">
        <f>IFERROR(VLOOKUP($A209,'02_Validation_Engine'!$A:$X,7,FALSE),"")</f>
        <v>Jan-2026</v>
      </c>
      <c r="C209" s="12" t="s">
        <v>14</v>
      </c>
      <c r="D209" s="12" t="s">
        <v>59</v>
      </c>
      <c r="E209" s="12" t="s">
        <v>8</v>
      </c>
      <c r="F209" s="12" t="s">
        <v>9</v>
      </c>
      <c r="G209" s="16">
        <v>16089.92</v>
      </c>
      <c r="H209" s="41">
        <v>0.21065</v>
      </c>
      <c r="I209" s="16">
        <v>3389.34</v>
      </c>
      <c r="J209" s="12" t="s">
        <v>208</v>
      </c>
    </row>
    <row r="210" spans="1:10">
      <c r="A210" s="18">
        <v>220</v>
      </c>
      <c r="B210" s="18" t="str">
        <f>IFERROR(VLOOKUP($A210,'02_Validation_Engine'!$A:$X,7,FALSE),"")</f>
        <v>Feb-2026</v>
      </c>
      <c r="C210" s="13" t="s">
        <v>14</v>
      </c>
      <c r="D210" s="13" t="s">
        <v>76</v>
      </c>
      <c r="E210" s="13" t="s">
        <v>8</v>
      </c>
      <c r="F210" s="13" t="s">
        <v>9</v>
      </c>
      <c r="G210" s="15">
        <v>16397.919999999998</v>
      </c>
      <c r="H210" s="42">
        <v>0.21065</v>
      </c>
      <c r="I210" s="15">
        <v>3454.22</v>
      </c>
      <c r="J210" s="13" t="s">
        <v>225</v>
      </c>
    </row>
    <row r="211" spans="1:10">
      <c r="A211" s="19">
        <v>221</v>
      </c>
      <c r="B211" s="19" t="str">
        <f>IFERROR(VLOOKUP($A211,'02_Validation_Engine'!$A:$X,7,FALSE),"")</f>
        <v>Jan-2026</v>
      </c>
      <c r="C211" s="12" t="s">
        <v>14</v>
      </c>
      <c r="D211" s="12" t="s">
        <v>46</v>
      </c>
      <c r="E211" s="12" t="s">
        <v>6</v>
      </c>
      <c r="F211" s="12" t="s">
        <v>7</v>
      </c>
      <c r="G211" s="16">
        <v>6018.32</v>
      </c>
      <c r="H211" s="41">
        <v>0.77017999999999998</v>
      </c>
      <c r="I211" s="16">
        <v>4635.1899999999996</v>
      </c>
      <c r="J211" s="12" t="s">
        <v>194</v>
      </c>
    </row>
    <row r="212" spans="1:10">
      <c r="A212" s="18">
        <v>222</v>
      </c>
      <c r="B212" s="18" t="str">
        <f>IFERROR(VLOOKUP($A212,'02_Validation_Engine'!$A:$X,7,FALSE),"")</f>
        <v>Feb-2026</v>
      </c>
      <c r="C212" s="13" t="s">
        <v>14</v>
      </c>
      <c r="D212" s="13" t="s">
        <v>42</v>
      </c>
      <c r="E212" s="13" t="s">
        <v>2</v>
      </c>
      <c r="F212" s="13" t="s">
        <v>3</v>
      </c>
      <c r="G212" s="15">
        <v>5402.8</v>
      </c>
      <c r="H212" s="42">
        <v>1</v>
      </c>
      <c r="I212" s="15">
        <v>5402.8</v>
      </c>
      <c r="J212" s="13" t="s">
        <v>190</v>
      </c>
    </row>
    <row r="213" spans="1:10">
      <c r="A213" s="19">
        <v>223</v>
      </c>
      <c r="B213" s="19" t="str">
        <f>IFERROR(VLOOKUP($A213,'02_Validation_Engine'!$A:$X,7,FALSE),"")</f>
        <v>Feb-2026</v>
      </c>
      <c r="C213" s="12" t="s">
        <v>14</v>
      </c>
      <c r="D213" s="12" t="s">
        <v>98</v>
      </c>
      <c r="E213" s="12" t="s">
        <v>2</v>
      </c>
      <c r="F213" s="12" t="s">
        <v>3</v>
      </c>
      <c r="G213" s="16">
        <v>5023.2</v>
      </c>
      <c r="H213" s="41">
        <v>1</v>
      </c>
      <c r="I213" s="16">
        <v>5023.2</v>
      </c>
      <c r="J213" s="12" t="s">
        <v>246</v>
      </c>
    </row>
    <row r="214" spans="1:10">
      <c r="A214" s="18">
        <v>225</v>
      </c>
      <c r="B214" s="18" t="str">
        <f>IFERROR(VLOOKUP($A214,'02_Validation_Engine'!$A:$X,7,FALSE),"")</f>
        <v>Mar-2026</v>
      </c>
      <c r="C214" s="13" t="s">
        <v>14</v>
      </c>
      <c r="D214" s="13" t="s">
        <v>106</v>
      </c>
      <c r="E214" s="13" t="s">
        <v>4</v>
      </c>
      <c r="F214" s="13" t="s">
        <v>5</v>
      </c>
      <c r="G214" s="15">
        <v>4467.3599999999997</v>
      </c>
      <c r="H214" s="42">
        <v>0.90888000000000002</v>
      </c>
      <c r="I214" s="15">
        <v>4060.29</v>
      </c>
      <c r="J214" s="13" t="s">
        <v>254</v>
      </c>
    </row>
    <row r="215" spans="1:10">
      <c r="A215" s="19">
        <v>226</v>
      </c>
      <c r="B215" s="19" t="str">
        <f>IFERROR(VLOOKUP($A215,'02_Validation_Engine'!$A:$X,7,FALSE),"")</f>
        <v>Feb-2026</v>
      </c>
      <c r="C215" s="12" t="s">
        <v>14</v>
      </c>
      <c r="D215" s="12" t="s">
        <v>29</v>
      </c>
      <c r="E215" s="12" t="s">
        <v>4</v>
      </c>
      <c r="F215" s="12" t="s">
        <v>5</v>
      </c>
      <c r="G215" s="16">
        <v>4815.84</v>
      </c>
      <c r="H215" s="41">
        <v>0.90888000000000002</v>
      </c>
      <c r="I215" s="16">
        <v>4377.0200000000004</v>
      </c>
      <c r="J215" s="12" t="s">
        <v>196</v>
      </c>
    </row>
    <row r="216" spans="1:10">
      <c r="A216" s="18">
        <v>227</v>
      </c>
      <c r="B216" s="18" t="str">
        <f>IFERROR(VLOOKUP($A216,'02_Validation_Engine'!$A:$X,7,FALSE),"")</f>
        <v>Jan-2026</v>
      </c>
      <c r="C216" s="13" t="s">
        <v>14</v>
      </c>
      <c r="D216" s="13" t="s">
        <v>115</v>
      </c>
      <c r="E216" s="13" t="s">
        <v>10</v>
      </c>
      <c r="F216" s="13" t="s">
        <v>11</v>
      </c>
      <c r="G216" s="15">
        <v>1353.17</v>
      </c>
      <c r="H216" s="42">
        <v>1.08643</v>
      </c>
      <c r="I216" s="15">
        <v>1470.12</v>
      </c>
      <c r="J216" s="13" t="s">
        <v>263</v>
      </c>
    </row>
    <row r="217" spans="1:10">
      <c r="A217" s="19">
        <v>228</v>
      </c>
      <c r="B217" s="19" t="str">
        <f>IFERROR(VLOOKUP($A217,'02_Validation_Engine'!$A:$X,7,FALSE),"")</f>
        <v>Jan-2026</v>
      </c>
      <c r="C217" s="12" t="s">
        <v>14</v>
      </c>
      <c r="D217" s="12" t="s">
        <v>116</v>
      </c>
      <c r="E217" s="12" t="s">
        <v>8</v>
      </c>
      <c r="F217" s="12" t="s">
        <v>9</v>
      </c>
      <c r="G217" s="16">
        <v>16679.52</v>
      </c>
      <c r="H217" s="41">
        <v>0.21065</v>
      </c>
      <c r="I217" s="16">
        <v>3513.54</v>
      </c>
      <c r="J217" s="12" t="s">
        <v>264</v>
      </c>
    </row>
    <row r="218" spans="1:10">
      <c r="A218" s="18">
        <v>229</v>
      </c>
      <c r="B218" s="18" t="str">
        <f>IFERROR(VLOOKUP($A218,'02_Validation_Engine'!$A:$X,7,FALSE),"")</f>
        <v>Jan-2026</v>
      </c>
      <c r="C218" s="13" t="s">
        <v>14</v>
      </c>
      <c r="D218" s="13" t="s">
        <v>61</v>
      </c>
      <c r="E218" s="13" t="s">
        <v>10</v>
      </c>
      <c r="F218" s="13" t="s">
        <v>11</v>
      </c>
      <c r="G218" s="15">
        <v>1443.6</v>
      </c>
      <c r="H218" s="42">
        <v>1.08643</v>
      </c>
      <c r="I218" s="15">
        <v>1568.37</v>
      </c>
      <c r="J218" s="13" t="s">
        <v>210</v>
      </c>
    </row>
    <row r="219" spans="1:10">
      <c r="A219" s="19">
        <v>230</v>
      </c>
      <c r="B219" s="19" t="str">
        <f>IFERROR(VLOOKUP($A219,'02_Validation_Engine'!$A:$X,7,FALSE),"")</f>
        <v>Feb-2026</v>
      </c>
      <c r="C219" s="12" t="s">
        <v>14</v>
      </c>
      <c r="D219" s="12" t="s">
        <v>27</v>
      </c>
      <c r="E219" s="12" t="s">
        <v>2</v>
      </c>
      <c r="F219" s="12" t="s">
        <v>3</v>
      </c>
      <c r="G219" s="16">
        <v>4873.96</v>
      </c>
      <c r="H219" s="41">
        <v>1</v>
      </c>
      <c r="I219" s="16">
        <v>4873.96</v>
      </c>
      <c r="J219" s="12" t="s">
        <v>179</v>
      </c>
    </row>
    <row r="220" spans="1:10">
      <c r="A220" s="18">
        <v>231</v>
      </c>
      <c r="B220" s="18" t="str">
        <f>IFERROR(VLOOKUP($A220,'02_Validation_Engine'!$A:$X,7,FALSE),"")</f>
        <v>Jan-2026</v>
      </c>
      <c r="C220" s="13" t="s">
        <v>14</v>
      </c>
      <c r="D220" s="13" t="s">
        <v>98</v>
      </c>
      <c r="E220" s="13" t="s">
        <v>10</v>
      </c>
      <c r="F220" s="13" t="s">
        <v>11</v>
      </c>
      <c r="G220" s="15">
        <v>1391.04</v>
      </c>
      <c r="H220" s="42">
        <v>1.08643</v>
      </c>
      <c r="I220" s="15">
        <v>1511.27</v>
      </c>
      <c r="J220" s="13" t="s">
        <v>246</v>
      </c>
    </row>
    <row r="221" spans="1:10">
      <c r="A221" s="19">
        <v>232</v>
      </c>
      <c r="B221" s="19" t="str">
        <f>IFERROR(VLOOKUP($A221,'02_Validation_Engine'!$A:$X,7,FALSE),"")</f>
        <v>Jan-2026</v>
      </c>
      <c r="C221" s="12" t="s">
        <v>14</v>
      </c>
      <c r="D221" s="12" t="s">
        <v>75</v>
      </c>
      <c r="E221" s="12" t="s">
        <v>2</v>
      </c>
      <c r="F221" s="12" t="s">
        <v>3</v>
      </c>
      <c r="G221" s="16">
        <v>5351.84</v>
      </c>
      <c r="H221" s="41">
        <v>1</v>
      </c>
      <c r="I221" s="16">
        <v>5351.84</v>
      </c>
      <c r="J221" s="12" t="s">
        <v>224</v>
      </c>
    </row>
    <row r="222" spans="1:10">
      <c r="A222" s="18">
        <v>233</v>
      </c>
      <c r="B222" s="18" t="str">
        <f>IFERROR(VLOOKUP($A222,'02_Validation_Engine'!$A:$X,7,FALSE),"")</f>
        <v>Feb-2026</v>
      </c>
      <c r="C222" s="13" t="s">
        <v>14</v>
      </c>
      <c r="D222" s="13" t="s">
        <v>71</v>
      </c>
      <c r="E222" s="13" t="s">
        <v>8</v>
      </c>
      <c r="F222" s="13" t="s">
        <v>9</v>
      </c>
      <c r="G222" s="15">
        <v>16656.64</v>
      </c>
      <c r="H222" s="42">
        <v>0.21065</v>
      </c>
      <c r="I222" s="15">
        <v>3508.72</v>
      </c>
      <c r="J222" s="13" t="s">
        <v>220</v>
      </c>
    </row>
    <row r="223" spans="1:10">
      <c r="A223" s="19">
        <v>234</v>
      </c>
      <c r="B223" s="19" t="str">
        <f>IFERROR(VLOOKUP($A223,'02_Validation_Engine'!$A:$X,7,FALSE),"")</f>
        <v>Feb-2026</v>
      </c>
      <c r="C223" s="12" t="s">
        <v>14</v>
      </c>
      <c r="D223" s="12" t="s">
        <v>57</v>
      </c>
      <c r="E223" s="12" t="s">
        <v>4</v>
      </c>
      <c r="F223" s="12" t="s">
        <v>5</v>
      </c>
      <c r="G223" s="16">
        <v>5246.4</v>
      </c>
      <c r="H223" s="41">
        <v>0.90888000000000002</v>
      </c>
      <c r="I223" s="16">
        <v>4768.3500000000004</v>
      </c>
      <c r="J223" s="12" t="s">
        <v>205</v>
      </c>
    </row>
    <row r="224" spans="1:10">
      <c r="A224" s="18">
        <v>235</v>
      </c>
      <c r="B224" s="18" t="str">
        <f>IFERROR(VLOOKUP($A224,'02_Validation_Engine'!$A:$X,7,FALSE),"")</f>
        <v>Feb-2026</v>
      </c>
      <c r="C224" s="13" t="s">
        <v>14</v>
      </c>
      <c r="D224" s="13" t="s">
        <v>48</v>
      </c>
      <c r="E224" s="13" t="s">
        <v>2</v>
      </c>
      <c r="F224" s="13" t="s">
        <v>3</v>
      </c>
      <c r="G224" s="15">
        <v>5544.76</v>
      </c>
      <c r="H224" s="42">
        <v>1</v>
      </c>
      <c r="I224" s="15">
        <v>5544.76</v>
      </c>
      <c r="J224" s="13" t="s">
        <v>197</v>
      </c>
    </row>
    <row r="225" spans="1:10">
      <c r="A225" s="19">
        <v>236</v>
      </c>
      <c r="B225" s="19" t="str">
        <f>IFERROR(VLOOKUP($A225,'02_Validation_Engine'!$A:$X,7,FALSE),"")</f>
        <v>Jan-2026</v>
      </c>
      <c r="C225" s="12" t="s">
        <v>14</v>
      </c>
      <c r="D225" s="12" t="s">
        <v>38</v>
      </c>
      <c r="E225" s="12" t="s">
        <v>6</v>
      </c>
      <c r="F225" s="12" t="s">
        <v>7</v>
      </c>
      <c r="G225" s="16">
        <v>5967.92</v>
      </c>
      <c r="H225" s="41">
        <v>0.77017999999999998</v>
      </c>
      <c r="I225" s="16">
        <v>4596.37</v>
      </c>
      <c r="J225" s="12" t="s">
        <v>186</v>
      </c>
    </row>
    <row r="226" spans="1:10">
      <c r="A226" s="18">
        <v>237</v>
      </c>
      <c r="B226" s="18" t="str">
        <f>IFERROR(VLOOKUP($A226,'02_Validation_Engine'!$A:$X,7,FALSE),"")</f>
        <v>Feb-2026</v>
      </c>
      <c r="C226" s="13" t="s">
        <v>14</v>
      </c>
      <c r="D226" s="13" t="s">
        <v>117</v>
      </c>
      <c r="E226" s="13" t="s">
        <v>4</v>
      </c>
      <c r="F226" s="13" t="s">
        <v>5</v>
      </c>
      <c r="G226" s="15">
        <v>4983.84</v>
      </c>
      <c r="H226" s="42">
        <v>0.90888000000000002</v>
      </c>
      <c r="I226" s="15">
        <v>4529.71</v>
      </c>
      <c r="J226" s="13" t="s">
        <v>265</v>
      </c>
    </row>
    <row r="227" spans="1:10">
      <c r="A227" s="19">
        <v>238</v>
      </c>
      <c r="B227" s="19" t="str">
        <f>IFERROR(VLOOKUP($A227,'02_Validation_Engine'!$A:$X,7,FALSE),"")</f>
        <v>Jan-2026</v>
      </c>
      <c r="C227" s="12" t="s">
        <v>14</v>
      </c>
      <c r="D227" s="12" t="s">
        <v>100</v>
      </c>
      <c r="E227" s="12" t="s">
        <v>8</v>
      </c>
      <c r="F227" s="12" t="s">
        <v>9</v>
      </c>
      <c r="G227" s="16">
        <v>17163.52</v>
      </c>
      <c r="H227" s="41">
        <v>0.21065</v>
      </c>
      <c r="I227" s="16">
        <v>3615.5</v>
      </c>
      <c r="J227" s="12" t="s">
        <v>248</v>
      </c>
    </row>
    <row r="228" spans="1:10">
      <c r="A228" s="18">
        <v>239</v>
      </c>
      <c r="B228" s="18" t="str">
        <f>IFERROR(VLOOKUP($A228,'02_Validation_Engine'!$A:$X,7,FALSE),"")</f>
        <v>Mar-2026</v>
      </c>
      <c r="C228" s="13" t="s">
        <v>14</v>
      </c>
      <c r="D228" s="13" t="s">
        <v>111</v>
      </c>
      <c r="E228" s="13" t="s">
        <v>8</v>
      </c>
      <c r="F228" s="13" t="s">
        <v>9</v>
      </c>
      <c r="G228" s="15">
        <v>17941.439999999999</v>
      </c>
      <c r="H228" s="42">
        <v>0.21065</v>
      </c>
      <c r="I228" s="15">
        <v>3779.36</v>
      </c>
      <c r="J228" s="13" t="s">
        <v>259</v>
      </c>
    </row>
    <row r="229" spans="1:10">
      <c r="A229" s="19">
        <v>240</v>
      </c>
      <c r="B229" s="19" t="str">
        <f>IFERROR(VLOOKUP($A229,'02_Validation_Engine'!$A:$X,7,FALSE),"")</f>
        <v>Feb-2026</v>
      </c>
      <c r="C229" s="12" t="s">
        <v>14</v>
      </c>
      <c r="D229" s="12" t="s">
        <v>110</v>
      </c>
      <c r="E229" s="12" t="s">
        <v>8</v>
      </c>
      <c r="F229" s="12" t="s">
        <v>9</v>
      </c>
      <c r="G229" s="16">
        <v>17874.560000000001</v>
      </c>
      <c r="H229" s="41">
        <v>0.21065</v>
      </c>
      <c r="I229" s="16">
        <v>3765.28</v>
      </c>
      <c r="J229" s="12" t="s">
        <v>258</v>
      </c>
    </row>
    <row r="230" spans="1:10">
      <c r="A230" s="18">
        <v>241</v>
      </c>
      <c r="B230" s="18" t="str">
        <f>IFERROR(VLOOKUP($A230,'02_Validation_Engine'!$A:$X,7,FALSE),"")</f>
        <v>Jan-2026</v>
      </c>
      <c r="C230" s="13" t="s">
        <v>14</v>
      </c>
      <c r="D230" s="13" t="s">
        <v>118</v>
      </c>
      <c r="E230" s="13" t="s">
        <v>2</v>
      </c>
      <c r="F230" s="13" t="s">
        <v>3</v>
      </c>
      <c r="G230" s="15">
        <v>5534.88</v>
      </c>
      <c r="H230" s="42">
        <v>1</v>
      </c>
      <c r="I230" s="15">
        <v>5534.88</v>
      </c>
      <c r="J230" s="13" t="s">
        <v>266</v>
      </c>
    </row>
    <row r="231" spans="1:10">
      <c r="A231" s="19">
        <v>242</v>
      </c>
      <c r="B231" s="19" t="str">
        <f>IFERROR(VLOOKUP($A231,'02_Validation_Engine'!$A:$X,7,FALSE),"")</f>
        <v>Feb-2026</v>
      </c>
      <c r="C231" s="12" t="s">
        <v>14</v>
      </c>
      <c r="D231" s="12" t="s">
        <v>118</v>
      </c>
      <c r="E231" s="12" t="s">
        <v>2</v>
      </c>
      <c r="F231" s="12" t="s">
        <v>3</v>
      </c>
      <c r="G231" s="16">
        <v>5645.58</v>
      </c>
      <c r="H231" s="41">
        <v>1</v>
      </c>
      <c r="I231" s="16">
        <v>5645.58</v>
      </c>
      <c r="J231" s="12" t="s">
        <v>266</v>
      </c>
    </row>
    <row r="232" spans="1:10">
      <c r="A232" s="18">
        <v>243</v>
      </c>
      <c r="B232" s="18" t="str">
        <f>IFERROR(VLOOKUP($A232,'02_Validation_Engine'!$A:$X,7,FALSE),"")</f>
        <v>Jan-2026</v>
      </c>
      <c r="C232" s="13" t="s">
        <v>14</v>
      </c>
      <c r="D232" s="13" t="s">
        <v>119</v>
      </c>
      <c r="E232" s="13" t="s">
        <v>8</v>
      </c>
      <c r="F232" s="13" t="s">
        <v>9</v>
      </c>
      <c r="G232" s="15">
        <v>15945.6</v>
      </c>
      <c r="H232" s="42">
        <v>0.21065</v>
      </c>
      <c r="I232" s="15">
        <v>3358.94</v>
      </c>
      <c r="J232" s="13" t="s">
        <v>267</v>
      </c>
    </row>
    <row r="233" spans="1:10">
      <c r="A233" s="19">
        <v>244</v>
      </c>
      <c r="B233" s="19" t="str">
        <f>IFERROR(VLOOKUP($A233,'02_Validation_Engine'!$A:$X,7,FALSE),"")</f>
        <v>Jan-2026</v>
      </c>
      <c r="C233" s="12" t="s">
        <v>14</v>
      </c>
      <c r="D233" s="12" t="s">
        <v>120</v>
      </c>
      <c r="E233" s="12" t="s">
        <v>2</v>
      </c>
      <c r="F233" s="12" t="s">
        <v>3</v>
      </c>
      <c r="G233" s="16">
        <v>5347.16</v>
      </c>
      <c r="H233" s="41">
        <v>1</v>
      </c>
      <c r="I233" s="16">
        <v>5347.16</v>
      </c>
      <c r="J233" s="12" t="s">
        <v>268</v>
      </c>
    </row>
    <row r="234" spans="1:10">
      <c r="A234" s="18">
        <v>245</v>
      </c>
      <c r="B234" s="18" t="str">
        <f>IFERROR(VLOOKUP($A234,'02_Validation_Engine'!$A:$X,7,FALSE),"")</f>
        <v>Mar-2026</v>
      </c>
      <c r="C234" s="13" t="s">
        <v>14</v>
      </c>
      <c r="D234" s="13" t="s">
        <v>74</v>
      </c>
      <c r="E234" s="13" t="s">
        <v>8</v>
      </c>
      <c r="F234" s="13" t="s">
        <v>9</v>
      </c>
      <c r="G234" s="15">
        <v>19044.96</v>
      </c>
      <c r="H234" s="42">
        <v>0.21065</v>
      </c>
      <c r="I234" s="15">
        <v>4011.82</v>
      </c>
      <c r="J234" s="13" t="s">
        <v>223</v>
      </c>
    </row>
    <row r="235" spans="1:10">
      <c r="A235" s="19">
        <v>246</v>
      </c>
      <c r="B235" s="19" t="str">
        <f>IFERROR(VLOOKUP($A235,'02_Validation_Engine'!$A:$X,7,FALSE),"")</f>
        <v>Feb-2026</v>
      </c>
      <c r="C235" s="12" t="s">
        <v>14</v>
      </c>
      <c r="D235" s="12" t="s">
        <v>76</v>
      </c>
      <c r="E235" s="12" t="s">
        <v>6</v>
      </c>
      <c r="F235" s="12" t="s">
        <v>7</v>
      </c>
      <c r="G235" s="16">
        <v>5217.5200000000004</v>
      </c>
      <c r="H235" s="41">
        <v>0.77017999999999998</v>
      </c>
      <c r="I235" s="16">
        <v>4018.43</v>
      </c>
      <c r="J235" s="12" t="s">
        <v>225</v>
      </c>
    </row>
    <row r="236" spans="1:10">
      <c r="A236" s="18">
        <v>247</v>
      </c>
      <c r="B236" s="18" t="str">
        <f>IFERROR(VLOOKUP($A236,'02_Validation_Engine'!$A:$X,7,FALSE),"")</f>
        <v>Feb-2026</v>
      </c>
      <c r="C236" s="13" t="s">
        <v>14</v>
      </c>
      <c r="D236" s="13" t="s">
        <v>104</v>
      </c>
      <c r="E236" s="13" t="s">
        <v>10</v>
      </c>
      <c r="F236" s="13" t="s">
        <v>11</v>
      </c>
      <c r="G236" s="15">
        <v>1338.67</v>
      </c>
      <c r="H236" s="42">
        <v>1.08643</v>
      </c>
      <c r="I236" s="15">
        <v>1454.37</v>
      </c>
      <c r="J236" s="13" t="s">
        <v>251</v>
      </c>
    </row>
    <row r="237" spans="1:10">
      <c r="A237" s="19">
        <v>248</v>
      </c>
      <c r="B237" s="19" t="str">
        <f>IFERROR(VLOOKUP($A237,'02_Validation_Engine'!$A:$X,7,FALSE),"")</f>
        <v>Feb-2026</v>
      </c>
      <c r="C237" s="12" t="s">
        <v>14</v>
      </c>
      <c r="D237" s="12" t="s">
        <v>92</v>
      </c>
      <c r="E237" s="12" t="s">
        <v>4</v>
      </c>
      <c r="F237" s="12" t="s">
        <v>5</v>
      </c>
      <c r="G237" s="16">
        <v>4625.76</v>
      </c>
      <c r="H237" s="41">
        <v>0.90888000000000002</v>
      </c>
      <c r="I237" s="16">
        <v>4204.26</v>
      </c>
      <c r="J237" s="12" t="s">
        <v>241</v>
      </c>
    </row>
    <row r="238" spans="1:10">
      <c r="A238" s="18">
        <v>249</v>
      </c>
      <c r="B238" s="18" t="str">
        <f>IFERROR(VLOOKUP($A238,'02_Validation_Engine'!$A:$X,7,FALSE),"")</f>
        <v>Feb-2026</v>
      </c>
      <c r="C238" s="13" t="s">
        <v>14</v>
      </c>
      <c r="D238" s="13" t="s">
        <v>48</v>
      </c>
      <c r="E238" s="13" t="s">
        <v>4</v>
      </c>
      <c r="F238" s="13" t="s">
        <v>5</v>
      </c>
      <c r="G238" s="15">
        <v>5118.24</v>
      </c>
      <c r="H238" s="42">
        <v>0.90888000000000002</v>
      </c>
      <c r="I238" s="15">
        <v>4651.87</v>
      </c>
      <c r="J238" s="13" t="s">
        <v>197</v>
      </c>
    </row>
    <row r="239" spans="1:10">
      <c r="A239" s="19">
        <v>250</v>
      </c>
      <c r="B239" s="19" t="str">
        <f>IFERROR(VLOOKUP($A239,'02_Validation_Engine'!$A:$X,7,FALSE),"")</f>
        <v>Feb-2026</v>
      </c>
      <c r="C239" s="12" t="s">
        <v>14</v>
      </c>
      <c r="D239" s="12" t="s">
        <v>41</v>
      </c>
      <c r="E239" s="12" t="s">
        <v>6</v>
      </c>
      <c r="F239" s="12" t="s">
        <v>7</v>
      </c>
      <c r="G239" s="16">
        <v>5483.52</v>
      </c>
      <c r="H239" s="41">
        <v>0.77017999999999998</v>
      </c>
      <c r="I239" s="16">
        <v>4223.3</v>
      </c>
      <c r="J239" s="12" t="s">
        <v>189</v>
      </c>
    </row>
    <row r="240" spans="1:10">
      <c r="A240" s="18">
        <v>251</v>
      </c>
      <c r="B240" s="18" t="str">
        <f>IFERROR(VLOOKUP($A240,'02_Validation_Engine'!$A:$X,7,FALSE),"")</f>
        <v>Mar-2026</v>
      </c>
      <c r="C240" s="13" t="s">
        <v>14</v>
      </c>
      <c r="D240" s="13" t="s">
        <v>63</v>
      </c>
      <c r="E240" s="13" t="s">
        <v>2</v>
      </c>
      <c r="F240" s="13" t="s">
        <v>3</v>
      </c>
      <c r="G240" s="15">
        <v>5906.32</v>
      </c>
      <c r="H240" s="42">
        <v>1</v>
      </c>
      <c r="I240" s="15">
        <v>5906.32</v>
      </c>
      <c r="J240" s="13" t="s">
        <v>212</v>
      </c>
    </row>
    <row r="241" spans="1:10">
      <c r="A241" s="19">
        <v>252</v>
      </c>
      <c r="B241" s="19" t="str">
        <f>IFERROR(VLOOKUP($A241,'02_Validation_Engine'!$A:$X,7,FALSE),"")</f>
        <v>Jan-2026</v>
      </c>
      <c r="C241" s="12" t="s">
        <v>14</v>
      </c>
      <c r="D241" s="12" t="s">
        <v>57</v>
      </c>
      <c r="E241" s="12" t="s">
        <v>10</v>
      </c>
      <c r="F241" s="12" t="s">
        <v>11</v>
      </c>
      <c r="G241" s="16">
        <v>1573.92</v>
      </c>
      <c r="H241" s="41">
        <v>1.08643</v>
      </c>
      <c r="I241" s="16">
        <v>1709.95</v>
      </c>
      <c r="J241" s="12" t="s">
        <v>205</v>
      </c>
    </row>
    <row r="242" spans="1:10">
      <c r="A242" s="18">
        <v>253</v>
      </c>
      <c r="B242" s="18" t="str">
        <f>IFERROR(VLOOKUP($A242,'02_Validation_Engine'!$A:$X,7,FALSE),"")</f>
        <v>Feb-2026</v>
      </c>
      <c r="C242" s="13" t="s">
        <v>14</v>
      </c>
      <c r="D242" s="13" t="s">
        <v>120</v>
      </c>
      <c r="E242" s="13" t="s">
        <v>8</v>
      </c>
      <c r="F242" s="13" t="s">
        <v>9</v>
      </c>
      <c r="G242" s="15">
        <v>18098.080000000002</v>
      </c>
      <c r="H242" s="42">
        <v>0.21065</v>
      </c>
      <c r="I242" s="15">
        <v>3812.36</v>
      </c>
      <c r="J242" s="13" t="s">
        <v>268</v>
      </c>
    </row>
    <row r="243" spans="1:10">
      <c r="A243" s="19">
        <v>254</v>
      </c>
      <c r="B243" s="19" t="str">
        <f>IFERROR(VLOOKUP($A243,'02_Validation_Engine'!$A:$X,7,FALSE),"")</f>
        <v>Feb-2026</v>
      </c>
      <c r="C243" s="12" t="s">
        <v>14</v>
      </c>
      <c r="D243" s="12" t="s">
        <v>100</v>
      </c>
      <c r="E243" s="12" t="s">
        <v>2</v>
      </c>
      <c r="F243" s="12" t="s">
        <v>3</v>
      </c>
      <c r="G243" s="16">
        <v>5071.04</v>
      </c>
      <c r="H243" s="41">
        <v>1</v>
      </c>
      <c r="I243" s="16">
        <v>5071.04</v>
      </c>
      <c r="J243" s="12" t="s">
        <v>248</v>
      </c>
    </row>
    <row r="244" spans="1:10">
      <c r="A244" s="18">
        <v>255</v>
      </c>
      <c r="B244" s="18" t="str">
        <f>IFERROR(VLOOKUP($A244,'02_Validation_Engine'!$A:$X,7,FALSE),"")</f>
        <v>Feb-2026</v>
      </c>
      <c r="C244" s="13" t="s">
        <v>14</v>
      </c>
      <c r="D244" s="13" t="s">
        <v>59</v>
      </c>
      <c r="E244" s="13" t="s">
        <v>2</v>
      </c>
      <c r="F244" s="13" t="s">
        <v>3</v>
      </c>
      <c r="G244" s="15">
        <v>4753.84</v>
      </c>
      <c r="H244" s="42">
        <v>1</v>
      </c>
      <c r="I244" s="15">
        <v>4753.84</v>
      </c>
      <c r="J244" s="13" t="s">
        <v>208</v>
      </c>
    </row>
    <row r="245" spans="1:10">
      <c r="A245" s="19">
        <v>256</v>
      </c>
      <c r="B245" s="19" t="str">
        <f>IFERROR(VLOOKUP($A245,'02_Validation_Engine'!$A:$X,7,FALSE),"")</f>
        <v>Feb-2026</v>
      </c>
      <c r="C245" s="12" t="s">
        <v>14</v>
      </c>
      <c r="D245" s="12" t="s">
        <v>70</v>
      </c>
      <c r="E245" s="12" t="s">
        <v>2</v>
      </c>
      <c r="F245" s="12" t="s">
        <v>3</v>
      </c>
      <c r="G245" s="16">
        <v>5621.2</v>
      </c>
      <c r="H245" s="41">
        <v>1</v>
      </c>
      <c r="I245" s="16">
        <v>5621.2</v>
      </c>
      <c r="J245" s="12" t="s">
        <v>219</v>
      </c>
    </row>
    <row r="246" spans="1:10">
      <c r="A246" s="18">
        <v>258</v>
      </c>
      <c r="B246" s="18" t="str">
        <f>IFERROR(VLOOKUP($A246,'02_Validation_Engine'!$A:$X,7,FALSE),"")</f>
        <v>Jan-2026</v>
      </c>
      <c r="C246" s="13" t="s">
        <v>14</v>
      </c>
      <c r="D246" s="13" t="s">
        <v>113</v>
      </c>
      <c r="E246" s="13" t="s">
        <v>4</v>
      </c>
      <c r="F246" s="13" t="s">
        <v>5</v>
      </c>
      <c r="G246" s="15">
        <v>5040.4799999999996</v>
      </c>
      <c r="H246" s="42">
        <v>0.90888000000000002</v>
      </c>
      <c r="I246" s="15">
        <v>4581.1899999999996</v>
      </c>
      <c r="J246" s="13" t="s">
        <v>261</v>
      </c>
    </row>
    <row r="247" spans="1:10">
      <c r="A247" s="19">
        <v>259</v>
      </c>
      <c r="B247" s="19" t="str">
        <f>IFERROR(VLOOKUP($A247,'02_Validation_Engine'!$A:$X,7,FALSE),"")</f>
        <v>Feb-2026</v>
      </c>
      <c r="C247" s="12" t="s">
        <v>14</v>
      </c>
      <c r="D247" s="12" t="s">
        <v>93</v>
      </c>
      <c r="E247" s="12" t="s">
        <v>8</v>
      </c>
      <c r="F247" s="12" t="s">
        <v>9</v>
      </c>
      <c r="G247" s="16">
        <v>19263.2</v>
      </c>
      <c r="H247" s="41">
        <v>0.21065</v>
      </c>
      <c r="I247" s="16">
        <v>4057.79</v>
      </c>
      <c r="J247" s="12" t="s">
        <v>242</v>
      </c>
    </row>
    <row r="248" spans="1:10">
      <c r="A248" s="18">
        <v>260</v>
      </c>
      <c r="B248" s="18" t="str">
        <f>IFERROR(VLOOKUP($A248,'02_Validation_Engine'!$A:$X,7,FALSE),"")</f>
        <v>Jan-2026</v>
      </c>
      <c r="C248" s="13" t="s">
        <v>14</v>
      </c>
      <c r="D248" s="13" t="s">
        <v>92</v>
      </c>
      <c r="E248" s="13" t="s">
        <v>6</v>
      </c>
      <c r="F248" s="13" t="s">
        <v>7</v>
      </c>
      <c r="G248" s="15">
        <v>5396.72</v>
      </c>
      <c r="H248" s="42">
        <v>0.77017999999999998</v>
      </c>
      <c r="I248" s="15">
        <v>4156.45</v>
      </c>
      <c r="J248" s="13" t="s">
        <v>241</v>
      </c>
    </row>
    <row r="249" spans="1:10">
      <c r="A249" s="19">
        <v>261</v>
      </c>
      <c r="B249" s="19" t="str">
        <f>IFERROR(VLOOKUP($A249,'02_Validation_Engine'!$A:$X,7,FALSE),"")</f>
        <v>Feb-2026</v>
      </c>
      <c r="C249" s="12" t="s">
        <v>14</v>
      </c>
      <c r="D249" s="12" t="s">
        <v>84</v>
      </c>
      <c r="E249" s="12" t="s">
        <v>2</v>
      </c>
      <c r="F249" s="12" t="s">
        <v>3</v>
      </c>
      <c r="G249" s="16">
        <v>5028.92</v>
      </c>
      <c r="H249" s="41">
        <v>1</v>
      </c>
      <c r="I249" s="16">
        <v>5028.92</v>
      </c>
      <c r="J249" s="12" t="s">
        <v>233</v>
      </c>
    </row>
    <row r="250" spans="1:10">
      <c r="A250" s="18">
        <v>262</v>
      </c>
      <c r="B250" s="18" t="str">
        <f>IFERROR(VLOOKUP($A250,'02_Validation_Engine'!$A:$X,7,FALSE),"")</f>
        <v>Mar-2026</v>
      </c>
      <c r="C250" s="13" t="s">
        <v>14</v>
      </c>
      <c r="D250" s="13" t="s">
        <v>100</v>
      </c>
      <c r="E250" s="13" t="s">
        <v>2</v>
      </c>
      <c r="F250" s="13" t="s">
        <v>3</v>
      </c>
      <c r="G250" s="15">
        <v>5172.46</v>
      </c>
      <c r="H250" s="42">
        <v>1</v>
      </c>
      <c r="I250" s="15">
        <v>5172.46</v>
      </c>
      <c r="J250" s="13" t="s">
        <v>248</v>
      </c>
    </row>
    <row r="251" spans="1:10">
      <c r="A251" s="19">
        <v>263</v>
      </c>
      <c r="B251" s="19" t="str">
        <f>IFERROR(VLOOKUP($A251,'02_Validation_Engine'!$A:$X,7,FALSE),"")</f>
        <v>Jan-2026</v>
      </c>
      <c r="C251" s="12" t="s">
        <v>14</v>
      </c>
      <c r="D251" s="12" t="s">
        <v>55</v>
      </c>
      <c r="E251" s="12" t="s">
        <v>4</v>
      </c>
      <c r="F251" s="12" t="s">
        <v>5</v>
      </c>
      <c r="G251" s="16">
        <v>4832.6400000000003</v>
      </c>
      <c r="H251" s="41">
        <v>0.90888000000000002</v>
      </c>
      <c r="I251" s="16">
        <v>4392.29</v>
      </c>
      <c r="J251" s="12" t="s">
        <v>206</v>
      </c>
    </row>
    <row r="252" spans="1:10">
      <c r="A252" s="18">
        <v>264</v>
      </c>
      <c r="B252" s="18" t="str">
        <f>IFERROR(VLOOKUP($A252,'02_Validation_Engine'!$A:$X,7,FALSE),"")</f>
        <v>Jan-2026</v>
      </c>
      <c r="C252" s="13" t="s">
        <v>14</v>
      </c>
      <c r="D252" s="13" t="s">
        <v>38</v>
      </c>
      <c r="E252" s="13" t="s">
        <v>6</v>
      </c>
      <c r="F252" s="13" t="s">
        <v>7</v>
      </c>
      <c r="G252" s="15">
        <v>6087.28</v>
      </c>
      <c r="H252" s="42">
        <v>0.77017999999999998</v>
      </c>
      <c r="I252" s="15">
        <v>4688.3</v>
      </c>
      <c r="J252" s="13" t="s">
        <v>186</v>
      </c>
    </row>
    <row r="253" spans="1:10">
      <c r="A253" s="19">
        <v>265</v>
      </c>
      <c r="B253" s="19" t="str">
        <f>IFERROR(VLOOKUP($A253,'02_Validation_Engine'!$A:$X,7,FALSE),"")</f>
        <v>Feb-2026</v>
      </c>
      <c r="C253" s="12" t="s">
        <v>14</v>
      </c>
      <c r="D253" s="12" t="s">
        <v>109</v>
      </c>
      <c r="E253" s="12" t="s">
        <v>2</v>
      </c>
      <c r="F253" s="12" t="s">
        <v>3</v>
      </c>
      <c r="G253" s="16">
        <v>5380.44</v>
      </c>
      <c r="H253" s="41">
        <v>1</v>
      </c>
      <c r="I253" s="16">
        <v>5380.44</v>
      </c>
      <c r="J253" s="12" t="s">
        <v>257</v>
      </c>
    </row>
    <row r="254" spans="1:10">
      <c r="A254" s="18">
        <v>266</v>
      </c>
      <c r="B254" s="18" t="str">
        <f>IFERROR(VLOOKUP($A254,'02_Validation_Engine'!$A:$X,7,FALSE),"")</f>
        <v>Feb-2026</v>
      </c>
      <c r="C254" s="13" t="s">
        <v>14</v>
      </c>
      <c r="D254" s="13" t="s">
        <v>99</v>
      </c>
      <c r="E254" s="13" t="s">
        <v>6</v>
      </c>
      <c r="F254" s="13" t="s">
        <v>7</v>
      </c>
      <c r="G254" s="15">
        <v>5584.32</v>
      </c>
      <c r="H254" s="42">
        <v>0.77017999999999998</v>
      </c>
      <c r="I254" s="15">
        <v>4300.93</v>
      </c>
      <c r="J254" s="13" t="s">
        <v>247</v>
      </c>
    </row>
    <row r="255" spans="1:10">
      <c r="A255" s="19">
        <v>267</v>
      </c>
      <c r="B255" s="19" t="str">
        <f>IFERROR(VLOOKUP($A255,'02_Validation_Engine'!$A:$X,7,FALSE),"")</f>
        <v>Feb-2026</v>
      </c>
      <c r="C255" s="12" t="s">
        <v>14</v>
      </c>
      <c r="D255" s="12" t="s">
        <v>29</v>
      </c>
      <c r="E255" s="12" t="s">
        <v>6</v>
      </c>
      <c r="F255" s="12" t="s">
        <v>7</v>
      </c>
      <c r="G255" s="16">
        <v>5618.48</v>
      </c>
      <c r="H255" s="41">
        <v>0.77017999999999998</v>
      </c>
      <c r="I255" s="16">
        <v>4327.24</v>
      </c>
      <c r="J255" s="12" t="s">
        <v>196</v>
      </c>
    </row>
    <row r="256" spans="1:10">
      <c r="A256" s="18">
        <v>268</v>
      </c>
      <c r="B256" s="18" t="str">
        <f>IFERROR(VLOOKUP($A256,'02_Validation_Engine'!$A:$X,7,FALSE),"")</f>
        <v>Feb-2026</v>
      </c>
      <c r="C256" s="13" t="s">
        <v>14</v>
      </c>
      <c r="D256" s="13" t="s">
        <v>47</v>
      </c>
      <c r="E256" s="13" t="s">
        <v>2</v>
      </c>
      <c r="F256" s="13" t="s">
        <v>3</v>
      </c>
      <c r="G256" s="15">
        <v>5659.16</v>
      </c>
      <c r="H256" s="42">
        <v>1</v>
      </c>
      <c r="I256" s="15">
        <v>5659.16</v>
      </c>
      <c r="J256" s="13" t="s">
        <v>195</v>
      </c>
    </row>
    <row r="257" spans="1:10">
      <c r="A257" s="19">
        <v>269</v>
      </c>
      <c r="B257" s="19" t="str">
        <f>IFERROR(VLOOKUP($A257,'02_Validation_Engine'!$A:$X,7,FALSE),"")</f>
        <v>Mar-2026</v>
      </c>
      <c r="C257" s="12" t="s">
        <v>14</v>
      </c>
      <c r="D257" s="12" t="s">
        <v>112</v>
      </c>
      <c r="E257" s="12" t="s">
        <v>10</v>
      </c>
      <c r="F257" s="12" t="s">
        <v>11</v>
      </c>
      <c r="G257" s="16">
        <v>1385.71</v>
      </c>
      <c r="H257" s="41">
        <v>1.08643</v>
      </c>
      <c r="I257" s="16">
        <v>1505.48</v>
      </c>
      <c r="J257" s="12" t="s">
        <v>260</v>
      </c>
    </row>
    <row r="258" spans="1:10">
      <c r="A258" s="18">
        <v>270</v>
      </c>
      <c r="B258" s="18" t="str">
        <f>IFERROR(VLOOKUP($A258,'02_Validation_Engine'!$A:$X,7,FALSE),"")</f>
        <v>Jan-2026</v>
      </c>
      <c r="C258" s="13" t="s">
        <v>14</v>
      </c>
      <c r="D258" s="13" t="s">
        <v>101</v>
      </c>
      <c r="E258" s="13" t="s">
        <v>4</v>
      </c>
      <c r="F258" s="13" t="s">
        <v>5</v>
      </c>
      <c r="G258" s="15">
        <v>4607.5200000000004</v>
      </c>
      <c r="H258" s="42">
        <v>0.90888000000000002</v>
      </c>
      <c r="I258" s="15">
        <v>4187.68</v>
      </c>
      <c r="J258" s="13" t="s">
        <v>249</v>
      </c>
    </row>
    <row r="259" spans="1:10">
      <c r="A259" s="19">
        <v>271</v>
      </c>
      <c r="B259" s="19" t="str">
        <f>IFERROR(VLOOKUP($A259,'02_Validation_Engine'!$A:$X,7,FALSE),"")</f>
        <v>Jan-2026</v>
      </c>
      <c r="C259" s="12" t="s">
        <v>14</v>
      </c>
      <c r="D259" s="12" t="s">
        <v>81</v>
      </c>
      <c r="E259" s="12" t="s">
        <v>4</v>
      </c>
      <c r="F259" s="12" t="s">
        <v>5</v>
      </c>
      <c r="G259" s="16">
        <v>4997.28</v>
      </c>
      <c r="H259" s="41">
        <v>0.90888000000000002</v>
      </c>
      <c r="I259" s="16">
        <v>4541.93</v>
      </c>
      <c r="J259" s="12" t="s">
        <v>230</v>
      </c>
    </row>
    <row r="260" spans="1:10">
      <c r="A260" s="18">
        <v>272</v>
      </c>
      <c r="B260" s="18" t="str">
        <f>IFERROR(VLOOKUP($A260,'02_Validation_Engine'!$A:$X,7,FALSE),"")</f>
        <v>Jan-2026</v>
      </c>
      <c r="C260" s="13" t="s">
        <v>14</v>
      </c>
      <c r="D260" s="13" t="s">
        <v>60</v>
      </c>
      <c r="E260" s="13" t="s">
        <v>6</v>
      </c>
      <c r="F260" s="13" t="s">
        <v>7</v>
      </c>
      <c r="G260" s="15">
        <v>5281.36</v>
      </c>
      <c r="H260" s="42">
        <v>0.77017999999999998</v>
      </c>
      <c r="I260" s="15">
        <v>4067.6</v>
      </c>
      <c r="J260" s="13" t="s">
        <v>209</v>
      </c>
    </row>
    <row r="261" spans="1:10">
      <c r="A261" s="19">
        <v>273</v>
      </c>
      <c r="B261" s="19" t="str">
        <f>IFERROR(VLOOKUP($A261,'02_Validation_Engine'!$A:$X,7,FALSE),"")</f>
        <v>Feb-2026</v>
      </c>
      <c r="C261" s="12" t="s">
        <v>14</v>
      </c>
      <c r="D261" s="12" t="s">
        <v>29</v>
      </c>
      <c r="E261" s="12" t="s">
        <v>8</v>
      </c>
      <c r="F261" s="12" t="s">
        <v>9</v>
      </c>
      <c r="G261" s="16">
        <v>17658.080000000002</v>
      </c>
      <c r="H261" s="41">
        <v>0.21065</v>
      </c>
      <c r="I261" s="16">
        <v>3719.67</v>
      </c>
      <c r="J261" s="12" t="s">
        <v>196</v>
      </c>
    </row>
    <row r="262" spans="1:10">
      <c r="A262" s="18">
        <v>274</v>
      </c>
      <c r="B262" s="18" t="str">
        <f>IFERROR(VLOOKUP($A262,'02_Validation_Engine'!$A:$X,7,FALSE),"")</f>
        <v>Jan-2026</v>
      </c>
      <c r="C262" s="13" t="s">
        <v>14</v>
      </c>
      <c r="D262" s="13" t="s">
        <v>75</v>
      </c>
      <c r="E262" s="13" t="s">
        <v>8</v>
      </c>
      <c r="F262" s="13" t="s">
        <v>9</v>
      </c>
      <c r="G262" s="15">
        <v>18113.919999999998</v>
      </c>
      <c r="H262" s="42">
        <v>0.21065</v>
      </c>
      <c r="I262" s="15">
        <v>3815.7</v>
      </c>
      <c r="J262" s="13" t="s">
        <v>224</v>
      </c>
    </row>
    <row r="263" spans="1:10">
      <c r="A263" s="19">
        <v>275</v>
      </c>
      <c r="B263" s="19" t="str">
        <f>IFERROR(VLOOKUP($A263,'02_Validation_Engine'!$A:$X,7,FALSE),"")</f>
        <v>Mar-2026</v>
      </c>
      <c r="C263" s="12" t="s">
        <v>14</v>
      </c>
      <c r="D263" s="12" t="s">
        <v>62</v>
      </c>
      <c r="E263" s="12" t="s">
        <v>6</v>
      </c>
      <c r="F263" s="12" t="s">
        <v>7</v>
      </c>
      <c r="G263" s="16">
        <v>5892.88</v>
      </c>
      <c r="H263" s="41">
        <v>0.77017999999999998</v>
      </c>
      <c r="I263" s="16">
        <v>4538.58</v>
      </c>
      <c r="J263" s="12" t="s">
        <v>211</v>
      </c>
    </row>
    <row r="264" spans="1:10">
      <c r="A264" s="18">
        <v>276</v>
      </c>
      <c r="B264" s="18" t="str">
        <f>IFERROR(VLOOKUP($A264,'02_Validation_Engine'!$A:$X,7,FALSE),"")</f>
        <v>Feb-2026</v>
      </c>
      <c r="C264" s="13" t="s">
        <v>14</v>
      </c>
      <c r="D264" s="13" t="s">
        <v>100</v>
      </c>
      <c r="E264" s="13" t="s">
        <v>8</v>
      </c>
      <c r="F264" s="13" t="s">
        <v>9</v>
      </c>
      <c r="G264" s="15">
        <v>17506.79</v>
      </c>
      <c r="H264" s="42">
        <v>0.21065</v>
      </c>
      <c r="I264" s="15">
        <v>3687.81</v>
      </c>
      <c r="J264" s="13" t="s">
        <v>248</v>
      </c>
    </row>
    <row r="265" spans="1:10">
      <c r="A265" s="19">
        <v>279</v>
      </c>
      <c r="B265" s="19" t="str">
        <f>IFERROR(VLOOKUP($A265,'02_Validation_Engine'!$A:$X,7,FALSE),"")</f>
        <v>Feb-2026</v>
      </c>
      <c r="C265" s="12" t="s">
        <v>14</v>
      </c>
      <c r="D265" s="12" t="s">
        <v>116</v>
      </c>
      <c r="E265" s="12" t="s">
        <v>6</v>
      </c>
      <c r="F265" s="12" t="s">
        <v>7</v>
      </c>
      <c r="G265" s="16">
        <v>5307.12</v>
      </c>
      <c r="H265" s="41">
        <v>0.77017999999999998</v>
      </c>
      <c r="I265" s="16">
        <v>4087.44</v>
      </c>
      <c r="J265" s="12" t="s">
        <v>264</v>
      </c>
    </row>
    <row r="266" spans="1:10">
      <c r="A266" s="18">
        <v>280</v>
      </c>
      <c r="B266" s="18" t="str">
        <f>IFERROR(VLOOKUP($A266,'02_Validation_Engine'!$A:$X,7,FALSE),"")</f>
        <v>Feb-2026</v>
      </c>
      <c r="C266" s="13" t="s">
        <v>14</v>
      </c>
      <c r="D266" s="13" t="s">
        <v>99</v>
      </c>
      <c r="E266" s="13" t="s">
        <v>6</v>
      </c>
      <c r="F266" s="13" t="s">
        <v>7</v>
      </c>
      <c r="G266" s="15">
        <v>5696.01</v>
      </c>
      <c r="H266" s="42">
        <v>0.77017999999999998</v>
      </c>
      <c r="I266" s="15">
        <v>4386.95</v>
      </c>
      <c r="J266" s="13" t="s">
        <v>247</v>
      </c>
    </row>
    <row r="267" spans="1:10">
      <c r="A267" s="19">
        <v>282</v>
      </c>
      <c r="B267" s="19" t="str">
        <f>IFERROR(VLOOKUP($A267,'02_Validation_Engine'!$A:$X,7,FALSE),"")</f>
        <v>Jan-2026</v>
      </c>
      <c r="C267" s="12" t="s">
        <v>15</v>
      </c>
      <c r="D267" s="12" t="s">
        <v>121</v>
      </c>
      <c r="E267" s="12" t="s">
        <v>10</v>
      </c>
      <c r="F267" s="12" t="s">
        <v>11</v>
      </c>
      <c r="G267" s="16">
        <v>7271.46</v>
      </c>
      <c r="H267" s="41">
        <v>1.08643</v>
      </c>
      <c r="I267" s="16">
        <v>7899.93</v>
      </c>
      <c r="J267" s="12" t="s">
        <v>269</v>
      </c>
    </row>
    <row r="268" spans="1:10">
      <c r="A268" s="18">
        <v>283</v>
      </c>
      <c r="B268" s="18" t="str">
        <f>IFERROR(VLOOKUP($A268,'02_Validation_Engine'!$A:$X,7,FALSE),"")</f>
        <v>Mar-2026</v>
      </c>
      <c r="C268" s="13" t="s">
        <v>15</v>
      </c>
      <c r="D268" s="13" t="s">
        <v>122</v>
      </c>
      <c r="E268" s="13" t="s">
        <v>10</v>
      </c>
      <c r="F268" s="13" t="s">
        <v>11</v>
      </c>
      <c r="G268" s="15">
        <v>1863.7952</v>
      </c>
      <c r="H268" s="42">
        <v>1.08643</v>
      </c>
      <c r="I268" s="15">
        <v>2024.88</v>
      </c>
      <c r="J268" s="13" t="s">
        <v>270</v>
      </c>
    </row>
    <row r="269" spans="1:10">
      <c r="A269" s="19">
        <v>284</v>
      </c>
      <c r="B269" s="19" t="str">
        <f>IFERROR(VLOOKUP($A269,'02_Validation_Engine'!$A:$X,7,FALSE),"")</f>
        <v>Mar-2026</v>
      </c>
      <c r="C269" s="12" t="s">
        <v>15</v>
      </c>
      <c r="D269" s="12" t="s">
        <v>123</v>
      </c>
      <c r="E269" s="12" t="s">
        <v>2</v>
      </c>
      <c r="F269" s="12" t="s">
        <v>3</v>
      </c>
      <c r="G269" s="16">
        <v>5709.1717800000006</v>
      </c>
      <c r="H269" s="41">
        <v>1</v>
      </c>
      <c r="I269" s="16">
        <v>5709.17</v>
      </c>
      <c r="J269" s="12" t="s">
        <v>271</v>
      </c>
    </row>
    <row r="270" spans="1:10">
      <c r="A270" s="18">
        <v>285</v>
      </c>
      <c r="B270" s="18" t="str">
        <f>IFERROR(VLOOKUP($A270,'02_Validation_Engine'!$A:$X,7,FALSE),"")</f>
        <v>Jan-2026</v>
      </c>
      <c r="C270" s="13" t="s">
        <v>15</v>
      </c>
      <c r="D270" s="13" t="s">
        <v>123</v>
      </c>
      <c r="E270" s="13" t="s">
        <v>6</v>
      </c>
      <c r="F270" s="13" t="s">
        <v>7</v>
      </c>
      <c r="G270" s="15">
        <v>5972.0219999999999</v>
      </c>
      <c r="H270" s="42">
        <v>0.77017999999999998</v>
      </c>
      <c r="I270" s="15">
        <v>4599.53</v>
      </c>
      <c r="J270" s="13" t="s">
        <v>271</v>
      </c>
    </row>
    <row r="271" spans="1:10">
      <c r="A271" s="19">
        <v>286</v>
      </c>
      <c r="B271" s="19" t="str">
        <f>IFERROR(VLOOKUP($A271,'02_Validation_Engine'!$A:$X,7,FALSE),"")</f>
        <v>Jan-2026</v>
      </c>
      <c r="C271" s="12" t="s">
        <v>15</v>
      </c>
      <c r="D271" s="12" t="s">
        <v>122</v>
      </c>
      <c r="E271" s="12" t="s">
        <v>8</v>
      </c>
      <c r="F271" s="12" t="s">
        <v>9</v>
      </c>
      <c r="G271" s="16">
        <v>19637.64</v>
      </c>
      <c r="H271" s="41">
        <v>0.21065</v>
      </c>
      <c r="I271" s="16">
        <v>4136.67</v>
      </c>
      <c r="J271" s="12" t="s">
        <v>270</v>
      </c>
    </row>
    <row r="272" spans="1:10">
      <c r="A272" s="18">
        <v>287</v>
      </c>
      <c r="B272" s="18" t="str">
        <f>IFERROR(VLOOKUP($A272,'02_Validation_Engine'!$A:$X,7,FALSE),"")</f>
        <v>Feb-2026</v>
      </c>
      <c r="C272" s="13" t="s">
        <v>15</v>
      </c>
      <c r="D272" s="13" t="s">
        <v>124</v>
      </c>
      <c r="E272" s="13" t="s">
        <v>6</v>
      </c>
      <c r="F272" s="13" t="s">
        <v>7</v>
      </c>
      <c r="G272" s="15">
        <v>6946.4115000000002</v>
      </c>
      <c r="H272" s="42">
        <v>0.77017999999999998</v>
      </c>
      <c r="I272" s="15">
        <v>5349.99</v>
      </c>
      <c r="J272" s="13" t="s">
        <v>272</v>
      </c>
    </row>
    <row r="273" spans="1:10">
      <c r="A273" s="19">
        <v>288</v>
      </c>
      <c r="B273" s="19" t="str">
        <f>IFERROR(VLOOKUP($A273,'02_Validation_Engine'!$A:$X,7,FALSE),"")</f>
        <v>Jan-2026</v>
      </c>
      <c r="C273" s="12" t="s">
        <v>15</v>
      </c>
      <c r="D273" s="12" t="s">
        <v>125</v>
      </c>
      <c r="E273" s="12" t="s">
        <v>10</v>
      </c>
      <c r="F273" s="12" t="s">
        <v>11</v>
      </c>
      <c r="G273" s="16">
        <v>2054.5340000000001</v>
      </c>
      <c r="H273" s="41">
        <v>1.08643</v>
      </c>
      <c r="I273" s="16">
        <v>2232.11</v>
      </c>
      <c r="J273" s="12" t="s">
        <v>273</v>
      </c>
    </row>
    <row r="274" spans="1:10">
      <c r="A274" s="18">
        <v>289</v>
      </c>
      <c r="B274" s="18" t="str">
        <f>IFERROR(VLOOKUP($A274,'02_Validation_Engine'!$A:$X,7,FALSE),"")</f>
        <v>Mar-2026</v>
      </c>
      <c r="C274" s="13" t="s">
        <v>15</v>
      </c>
      <c r="D274" s="13" t="s">
        <v>125</v>
      </c>
      <c r="E274" s="13" t="s">
        <v>2</v>
      </c>
      <c r="F274" s="13" t="s">
        <v>3</v>
      </c>
      <c r="G274" s="15">
        <v>6913.8706099999999</v>
      </c>
      <c r="H274" s="42">
        <v>1</v>
      </c>
      <c r="I274" s="15">
        <v>6913.87</v>
      </c>
      <c r="J274" s="13" t="s">
        <v>273</v>
      </c>
    </row>
    <row r="275" spans="1:10">
      <c r="A275" s="19">
        <v>290</v>
      </c>
      <c r="B275" s="19" t="str">
        <f>IFERROR(VLOOKUP($A275,'02_Validation_Engine'!$A:$X,7,FALSE),"")</f>
        <v>Jan-2026</v>
      </c>
      <c r="C275" s="12" t="s">
        <v>15</v>
      </c>
      <c r="D275" s="12" t="s">
        <v>121</v>
      </c>
      <c r="E275" s="12" t="s">
        <v>4</v>
      </c>
      <c r="F275" s="12" t="s">
        <v>5</v>
      </c>
      <c r="G275" s="16">
        <v>6393.87</v>
      </c>
      <c r="H275" s="41">
        <v>0.90888000000000002</v>
      </c>
      <c r="I275" s="16">
        <v>5811.26</v>
      </c>
      <c r="J275" s="12" t="s">
        <v>269</v>
      </c>
    </row>
    <row r="276" spans="1:10">
      <c r="A276" s="18">
        <v>291</v>
      </c>
      <c r="B276" s="18" t="str">
        <f>IFERROR(VLOOKUP($A276,'02_Validation_Engine'!$A:$X,7,FALSE),"")</f>
        <v>Jan-2026</v>
      </c>
      <c r="C276" s="13" t="s">
        <v>15</v>
      </c>
      <c r="D276" s="13" t="s">
        <v>124</v>
      </c>
      <c r="E276" s="13" t="s">
        <v>8</v>
      </c>
      <c r="F276" s="13" t="s">
        <v>9</v>
      </c>
      <c r="G276" s="15">
        <v>20791.98</v>
      </c>
      <c r="H276" s="42">
        <v>0.21065</v>
      </c>
      <c r="I276" s="15">
        <v>4379.83</v>
      </c>
      <c r="J276" s="13" t="s">
        <v>272</v>
      </c>
    </row>
    <row r="277" spans="1:10">
      <c r="A277" s="19">
        <v>292</v>
      </c>
      <c r="B277" s="19" t="str">
        <f>IFERROR(VLOOKUP($A277,'02_Validation_Engine'!$A:$X,7,FALSE),"")</f>
        <v>Mar-2026</v>
      </c>
      <c r="C277" s="12" t="s">
        <v>15</v>
      </c>
      <c r="D277" s="12" t="s">
        <v>126</v>
      </c>
      <c r="E277" s="12" t="s">
        <v>6</v>
      </c>
      <c r="F277" s="12" t="s">
        <v>7</v>
      </c>
      <c r="G277" s="16">
        <v>5957.4690000000001</v>
      </c>
      <c r="H277" s="41">
        <v>0.77017999999999998</v>
      </c>
      <c r="I277" s="16">
        <v>4588.32</v>
      </c>
      <c r="J277" s="12" t="s">
        <v>274</v>
      </c>
    </row>
    <row r="278" spans="1:10">
      <c r="A278" s="18">
        <v>293</v>
      </c>
      <c r="B278" s="18" t="str">
        <f>IFERROR(VLOOKUP($A278,'02_Validation_Engine'!$A:$X,7,FALSE),"")</f>
        <v>Jan-2026</v>
      </c>
      <c r="C278" s="13" t="s">
        <v>15</v>
      </c>
      <c r="D278" s="13" t="s">
        <v>121</v>
      </c>
      <c r="E278" s="13" t="s">
        <v>6</v>
      </c>
      <c r="F278" s="13" t="s">
        <v>7</v>
      </c>
      <c r="G278" s="15">
        <v>6581.9250000000002</v>
      </c>
      <c r="H278" s="42">
        <v>0.77017999999999998</v>
      </c>
      <c r="I278" s="15">
        <v>5069.2700000000004</v>
      </c>
      <c r="J278" s="13" t="s">
        <v>269</v>
      </c>
    </row>
    <row r="279" spans="1:10">
      <c r="A279" s="19">
        <v>294</v>
      </c>
      <c r="B279" s="19" t="str">
        <f>IFERROR(VLOOKUP($A279,'02_Validation_Engine'!$A:$X,7,FALSE),"")</f>
        <v>Feb-2026</v>
      </c>
      <c r="C279" s="12" t="s">
        <v>15</v>
      </c>
      <c r="D279" s="12" t="s">
        <v>121</v>
      </c>
      <c r="E279" s="12" t="s">
        <v>10</v>
      </c>
      <c r="F279" s="12" t="s">
        <v>11</v>
      </c>
      <c r="G279" s="16">
        <v>1869.8040000000001</v>
      </c>
      <c r="H279" s="41">
        <v>1.08643</v>
      </c>
      <c r="I279" s="16">
        <v>2031.41</v>
      </c>
      <c r="J279" s="12" t="s">
        <v>269</v>
      </c>
    </row>
    <row r="280" spans="1:10">
      <c r="A280" s="18">
        <v>295</v>
      </c>
      <c r="B280" s="18" t="str">
        <f>IFERROR(VLOOKUP($A280,'02_Validation_Engine'!$A:$X,7,FALSE),"")</f>
        <v>Mar-2026</v>
      </c>
      <c r="C280" s="13" t="s">
        <v>15</v>
      </c>
      <c r="D280" s="13" t="s">
        <v>122</v>
      </c>
      <c r="E280" s="13" t="s">
        <v>4</v>
      </c>
      <c r="F280" s="13" t="s">
        <v>5</v>
      </c>
      <c r="G280" s="15">
        <v>6373.3068000000003</v>
      </c>
      <c r="H280" s="42">
        <v>0.90888000000000002</v>
      </c>
      <c r="I280" s="15">
        <v>5792.57</v>
      </c>
      <c r="J280" s="13" t="s">
        <v>270</v>
      </c>
    </row>
    <row r="281" spans="1:10">
      <c r="A281" s="19">
        <v>296</v>
      </c>
      <c r="B281" s="19" t="str">
        <f>IFERROR(VLOOKUP($A281,'02_Validation_Engine'!$A:$X,7,FALSE),"")</f>
        <v>Jan-2026</v>
      </c>
      <c r="C281" s="12" t="s">
        <v>15</v>
      </c>
      <c r="D281" s="12" t="s">
        <v>127</v>
      </c>
      <c r="E281" s="12" t="s">
        <v>10</v>
      </c>
      <c r="F281" s="12" t="s">
        <v>11</v>
      </c>
      <c r="G281" s="16">
        <v>2012.4376</v>
      </c>
      <c r="H281" s="41">
        <v>1.08643</v>
      </c>
      <c r="I281" s="16">
        <v>2186.37</v>
      </c>
      <c r="J281" s="12" t="s">
        <v>275</v>
      </c>
    </row>
    <row r="282" spans="1:10">
      <c r="A282" s="18">
        <v>297</v>
      </c>
      <c r="B282" s="18" t="str">
        <f>IFERROR(VLOOKUP($A282,'02_Validation_Engine'!$A:$X,7,FALSE),"")</f>
        <v>Feb-2026</v>
      </c>
      <c r="C282" s="13" t="s">
        <v>15</v>
      </c>
      <c r="D282" s="13" t="s">
        <v>125</v>
      </c>
      <c r="E282" s="13" t="s">
        <v>8</v>
      </c>
      <c r="F282" s="13" t="s">
        <v>9</v>
      </c>
      <c r="G282" s="15">
        <v>21647.34</v>
      </c>
      <c r="H282" s="42">
        <v>0.21065</v>
      </c>
      <c r="I282" s="15">
        <v>4560.01</v>
      </c>
      <c r="J282" s="13" t="s">
        <v>273</v>
      </c>
    </row>
    <row r="283" spans="1:10">
      <c r="A283" s="19">
        <v>298</v>
      </c>
      <c r="B283" s="19" t="str">
        <f>IFERROR(VLOOKUP($A283,'02_Validation_Engine'!$A:$X,7,FALSE),"")</f>
        <v>Jan-2026</v>
      </c>
      <c r="C283" s="12" t="s">
        <v>15</v>
      </c>
      <c r="D283" s="12" t="s">
        <v>123</v>
      </c>
      <c r="E283" s="12" t="s">
        <v>2</v>
      </c>
      <c r="F283" s="12" t="s">
        <v>3</v>
      </c>
      <c r="G283" s="16">
        <v>5766.2593899999993</v>
      </c>
      <c r="H283" s="41">
        <v>1</v>
      </c>
      <c r="I283" s="16">
        <v>5766.26</v>
      </c>
      <c r="J283" s="12" t="s">
        <v>271</v>
      </c>
    </row>
    <row r="284" spans="1:10">
      <c r="A284" s="18">
        <v>299</v>
      </c>
      <c r="B284" s="18" t="str">
        <f>IFERROR(VLOOKUP($A284,'02_Validation_Engine'!$A:$X,7,FALSE),"")</f>
        <v>Jan-2026</v>
      </c>
      <c r="C284" s="13" t="s">
        <v>15</v>
      </c>
      <c r="D284" s="13" t="s">
        <v>125</v>
      </c>
      <c r="E284" s="13" t="s">
        <v>10</v>
      </c>
      <c r="F284" s="13" t="s">
        <v>11</v>
      </c>
      <c r="G284" s="15">
        <v>2075.0776000000001</v>
      </c>
      <c r="H284" s="42">
        <v>1.08643</v>
      </c>
      <c r="I284" s="15">
        <v>2254.4299999999998</v>
      </c>
      <c r="J284" s="13" t="s">
        <v>273</v>
      </c>
    </row>
    <row r="285" spans="1:10">
      <c r="A285" s="19">
        <v>300</v>
      </c>
      <c r="B285" s="19" t="str">
        <f>IFERROR(VLOOKUP($A285,'02_Validation_Engine'!$A:$X,7,FALSE),"")</f>
        <v>Mar-2026</v>
      </c>
      <c r="C285" s="12" t="s">
        <v>15</v>
      </c>
      <c r="D285" s="12" t="s">
        <v>123</v>
      </c>
      <c r="E285" s="12" t="s">
        <v>6</v>
      </c>
      <c r="F285" s="12" t="s">
        <v>7</v>
      </c>
      <c r="G285" s="16">
        <v>6031.7460000000001</v>
      </c>
      <c r="H285" s="41">
        <v>0.77017999999999998</v>
      </c>
      <c r="I285" s="16">
        <v>4645.53</v>
      </c>
      <c r="J285" s="12" t="s">
        <v>271</v>
      </c>
    </row>
    <row r="286" spans="1:10">
      <c r="A286" s="18">
        <v>301</v>
      </c>
      <c r="B286" s="18" t="str">
        <f>IFERROR(VLOOKUP($A286,'02_Validation_Engine'!$A:$X,7,FALSE),"")</f>
        <v>Feb-2026</v>
      </c>
      <c r="C286" s="13" t="s">
        <v>15</v>
      </c>
      <c r="D286" s="13" t="s">
        <v>127</v>
      </c>
      <c r="E286" s="13" t="s">
        <v>10</v>
      </c>
      <c r="F286" s="13" t="s">
        <v>11</v>
      </c>
      <c r="G286" s="15">
        <v>2032.5636</v>
      </c>
      <c r="H286" s="42">
        <v>1.08643</v>
      </c>
      <c r="I286" s="15">
        <v>2208.2399999999998</v>
      </c>
      <c r="J286" s="13" t="s">
        <v>275</v>
      </c>
    </row>
    <row r="287" spans="1:10">
      <c r="A287" s="19">
        <v>302</v>
      </c>
      <c r="B287" s="19" t="str">
        <f>IFERROR(VLOOKUP($A287,'02_Validation_Engine'!$A:$X,7,FALSE),"")</f>
        <v>Feb-2026</v>
      </c>
      <c r="C287" s="12" t="s">
        <v>15</v>
      </c>
      <c r="D287" s="12" t="s">
        <v>126</v>
      </c>
      <c r="E287" s="12" t="s">
        <v>2</v>
      </c>
      <c r="F287" s="12" t="s">
        <v>3</v>
      </c>
      <c r="G287" s="16">
        <v>5695.2593100000004</v>
      </c>
      <c r="H287" s="41">
        <v>1</v>
      </c>
      <c r="I287" s="16">
        <v>5695.26</v>
      </c>
      <c r="J287" s="12" t="s">
        <v>274</v>
      </c>
    </row>
    <row r="288" spans="1:10">
      <c r="A288" s="18">
        <v>303</v>
      </c>
      <c r="B288" s="18" t="str">
        <f>IFERROR(VLOOKUP($A288,'02_Validation_Engine'!$A:$X,7,FALSE),"")</f>
        <v>Feb-2026</v>
      </c>
      <c r="C288" s="13" t="s">
        <v>15</v>
      </c>
      <c r="D288" s="13" t="s">
        <v>123</v>
      </c>
      <c r="E288" s="13" t="s">
        <v>6</v>
      </c>
      <c r="F288" s="13" t="s">
        <v>7</v>
      </c>
      <c r="G288" s="15">
        <v>6092.0685000000003</v>
      </c>
      <c r="H288" s="42">
        <v>0.77017999999999998</v>
      </c>
      <c r="I288" s="15">
        <v>4691.99</v>
      </c>
      <c r="J288" s="13" t="s">
        <v>271</v>
      </c>
    </row>
    <row r="289" spans="1:10">
      <c r="A289" s="19">
        <v>304</v>
      </c>
      <c r="B289" s="19" t="str">
        <f>IFERROR(VLOOKUP($A289,'02_Validation_Engine'!$A:$X,7,FALSE),"")</f>
        <v>Feb-2026</v>
      </c>
      <c r="C289" s="12" t="s">
        <v>15</v>
      </c>
      <c r="D289" s="12" t="s">
        <v>125</v>
      </c>
      <c r="E289" s="12" t="s">
        <v>4</v>
      </c>
      <c r="F289" s="12" t="s">
        <v>5</v>
      </c>
      <c r="G289" s="16">
        <v>7025.5457999999999</v>
      </c>
      <c r="H289" s="41">
        <v>0.90888000000000002</v>
      </c>
      <c r="I289" s="16">
        <v>6385.38</v>
      </c>
      <c r="J289" s="12" t="s">
        <v>273</v>
      </c>
    </row>
    <row r="290" spans="1:10">
      <c r="A290" s="18">
        <v>305</v>
      </c>
      <c r="B290" s="18" t="str">
        <f>IFERROR(VLOOKUP($A290,'02_Validation_Engine'!$A:$X,7,FALSE),"")</f>
        <v>Jan-2026</v>
      </c>
      <c r="C290" s="13" t="s">
        <v>15</v>
      </c>
      <c r="D290" s="13" t="s">
        <v>122</v>
      </c>
      <c r="E290" s="13" t="s">
        <v>10</v>
      </c>
      <c r="F290" s="13" t="s">
        <v>11</v>
      </c>
      <c r="G290" s="15">
        <v>1882.4364</v>
      </c>
      <c r="H290" s="42">
        <v>1.08643</v>
      </c>
      <c r="I290" s="15">
        <v>2045.14</v>
      </c>
      <c r="J290" s="13" t="s">
        <v>270</v>
      </c>
    </row>
    <row r="291" spans="1:10">
      <c r="A291" s="19">
        <v>306</v>
      </c>
      <c r="B291" s="19" t="str">
        <f>IFERROR(VLOOKUP($A291,'02_Validation_Engine'!$A:$X,7,FALSE),"")</f>
        <v>Feb-2026</v>
      </c>
      <c r="C291" s="12" t="s">
        <v>15</v>
      </c>
      <c r="D291" s="12" t="s">
        <v>128</v>
      </c>
      <c r="E291" s="12" t="s">
        <v>8</v>
      </c>
      <c r="F291" s="12" t="s">
        <v>9</v>
      </c>
      <c r="G291" s="16">
        <v>19954.439999999999</v>
      </c>
      <c r="H291" s="41">
        <v>0.21065</v>
      </c>
      <c r="I291" s="16">
        <v>4203.3999999999996</v>
      </c>
      <c r="J291" s="12" t="s">
        <v>276</v>
      </c>
    </row>
    <row r="292" spans="1:10">
      <c r="A292" s="18">
        <v>307</v>
      </c>
      <c r="B292" s="18" t="str">
        <f>IFERROR(VLOOKUP($A292,'02_Validation_Engine'!$A:$X,7,FALSE),"")</f>
        <v>Feb-2026</v>
      </c>
      <c r="C292" s="13" t="s">
        <v>15</v>
      </c>
      <c r="D292" s="13" t="s">
        <v>121</v>
      </c>
      <c r="E292" s="13" t="s">
        <v>6</v>
      </c>
      <c r="F292" s="13" t="s">
        <v>7</v>
      </c>
      <c r="G292" s="15">
        <v>6647.7494999999999</v>
      </c>
      <c r="H292" s="42">
        <v>0.77017999999999998</v>
      </c>
      <c r="I292" s="15">
        <v>5119.96</v>
      </c>
      <c r="J292" s="13" t="s">
        <v>269</v>
      </c>
    </row>
    <row r="293" spans="1:10">
      <c r="A293" s="19">
        <v>308</v>
      </c>
      <c r="B293" s="19" t="str">
        <f>IFERROR(VLOOKUP($A293,'02_Validation_Engine'!$A:$X,7,FALSE),"")</f>
        <v>Jan-2026</v>
      </c>
      <c r="C293" s="12" t="s">
        <v>15</v>
      </c>
      <c r="D293" s="12" t="s">
        <v>121</v>
      </c>
      <c r="E293" s="12" t="s">
        <v>6</v>
      </c>
      <c r="F293" s="12" t="s">
        <v>7</v>
      </c>
      <c r="G293" s="16">
        <v>6714.2250000000004</v>
      </c>
      <c r="H293" s="41">
        <v>0.77017999999999998</v>
      </c>
      <c r="I293" s="16">
        <v>5171.16</v>
      </c>
      <c r="J293" s="12" t="s">
        <v>269</v>
      </c>
    </row>
    <row r="294" spans="1:10">
      <c r="A294" s="18">
        <v>309</v>
      </c>
      <c r="B294" s="18" t="str">
        <f>IFERROR(VLOOKUP($A294,'02_Validation_Engine'!$A:$X,7,FALSE),"")</f>
        <v>Feb-2026</v>
      </c>
      <c r="C294" s="13" t="s">
        <v>15</v>
      </c>
      <c r="D294" s="13" t="s">
        <v>125</v>
      </c>
      <c r="E294" s="13" t="s">
        <v>10</v>
      </c>
      <c r="F294" s="13" t="s">
        <v>11</v>
      </c>
      <c r="G294" s="15">
        <v>2095.83</v>
      </c>
      <c r="H294" s="42">
        <v>1.08643</v>
      </c>
      <c r="I294" s="15">
        <v>2276.9699999999998</v>
      </c>
      <c r="J294" s="13" t="s">
        <v>273</v>
      </c>
    </row>
    <row r="295" spans="1:10">
      <c r="A295" s="19">
        <v>310</v>
      </c>
      <c r="B295" s="19" t="str">
        <f>IFERROR(VLOOKUP($A295,'02_Validation_Engine'!$A:$X,7,FALSE),"")</f>
        <v>Jan-2026</v>
      </c>
      <c r="C295" s="12" t="s">
        <v>15</v>
      </c>
      <c r="D295" s="12" t="s">
        <v>126</v>
      </c>
      <c r="E295" s="12" t="s">
        <v>8</v>
      </c>
      <c r="F295" s="12" t="s">
        <v>9</v>
      </c>
      <c r="G295" s="16">
        <v>17831.88</v>
      </c>
      <c r="H295" s="41">
        <v>0.21065</v>
      </c>
      <c r="I295" s="16">
        <v>3756.29</v>
      </c>
      <c r="J295" s="12" t="s">
        <v>274</v>
      </c>
    </row>
    <row r="296" spans="1:10">
      <c r="A296" s="18">
        <v>311</v>
      </c>
      <c r="B296" s="18" t="str">
        <f>IFERROR(VLOOKUP($A296,'02_Validation_Engine'!$A:$X,7,FALSE),"")</f>
        <v>Mar-2026</v>
      </c>
      <c r="C296" s="13" t="s">
        <v>15</v>
      </c>
      <c r="D296" s="13" t="s">
        <v>123</v>
      </c>
      <c r="E296" s="13" t="s">
        <v>10</v>
      </c>
      <c r="F296" s="13" t="s">
        <v>11</v>
      </c>
      <c r="G296" s="15">
        <v>6597.6624000000002</v>
      </c>
      <c r="H296" s="42">
        <v>1.08643</v>
      </c>
      <c r="I296" s="15">
        <v>7167.9</v>
      </c>
      <c r="J296" s="13" t="s">
        <v>271</v>
      </c>
    </row>
    <row r="297" spans="1:10">
      <c r="A297" s="19">
        <v>312</v>
      </c>
      <c r="B297" s="19" t="str">
        <f>IFERROR(VLOOKUP($A297,'02_Validation_Engine'!$A:$X,7,FALSE),"")</f>
        <v>Jan-2026</v>
      </c>
      <c r="C297" s="12" t="s">
        <v>15</v>
      </c>
      <c r="D297" s="12" t="s">
        <v>126</v>
      </c>
      <c r="E297" s="12" t="s">
        <v>10</v>
      </c>
      <c r="F297" s="12" t="s">
        <v>11</v>
      </c>
      <c r="G297" s="16">
        <v>1692.4052000000001</v>
      </c>
      <c r="H297" s="41">
        <v>1.08643</v>
      </c>
      <c r="I297" s="16">
        <v>1838.68</v>
      </c>
      <c r="J297" s="12" t="s">
        <v>274</v>
      </c>
    </row>
    <row r="298" spans="1:10">
      <c r="A298" s="18">
        <v>313</v>
      </c>
      <c r="B298" s="18" t="str">
        <f>IFERROR(VLOOKUP($A298,'02_Validation_Engine'!$A:$X,7,FALSE),"")</f>
        <v>Feb-2026</v>
      </c>
      <c r="C298" s="13" t="s">
        <v>15</v>
      </c>
      <c r="D298" s="13" t="s">
        <v>128</v>
      </c>
      <c r="E298" s="13" t="s">
        <v>8</v>
      </c>
      <c r="F298" s="13" t="s">
        <v>9</v>
      </c>
      <c r="G298" s="15">
        <v>20153.98</v>
      </c>
      <c r="H298" s="42">
        <v>0.21065</v>
      </c>
      <c r="I298" s="15">
        <v>4245.4399999999996</v>
      </c>
      <c r="J298" s="13" t="s">
        <v>276</v>
      </c>
    </row>
    <row r="299" spans="1:10">
      <c r="A299" s="19">
        <v>315</v>
      </c>
      <c r="B299" s="19" t="str">
        <f>IFERROR(VLOOKUP($A299,'02_Validation_Engine'!$A:$X,7,FALSE),"")</f>
        <v>Jan-2026</v>
      </c>
      <c r="C299" s="12" t="s">
        <v>15</v>
      </c>
      <c r="D299" s="12" t="s">
        <v>122</v>
      </c>
      <c r="E299" s="12" t="s">
        <v>10</v>
      </c>
      <c r="F299" s="12" t="s">
        <v>11</v>
      </c>
      <c r="G299" s="16">
        <v>1901.2631999999999</v>
      </c>
      <c r="H299" s="41">
        <v>1.08643</v>
      </c>
      <c r="I299" s="16">
        <v>2065.59</v>
      </c>
      <c r="J299" s="12" t="s">
        <v>270</v>
      </c>
    </row>
    <row r="300" spans="1:10">
      <c r="A300" s="18">
        <v>316</v>
      </c>
      <c r="B300" s="18" t="str">
        <f>IFERROR(VLOOKUP($A300,'02_Validation_Engine'!$A:$X,7,FALSE),"")</f>
        <v>Jan-2026</v>
      </c>
      <c r="C300" s="13" t="s">
        <v>15</v>
      </c>
      <c r="D300" s="13" t="s">
        <v>124</v>
      </c>
      <c r="E300" s="13" t="s">
        <v>6</v>
      </c>
      <c r="F300" s="13" t="s">
        <v>7</v>
      </c>
      <c r="G300" s="15">
        <v>7015.8795</v>
      </c>
      <c r="H300" s="42">
        <v>0.77017999999999998</v>
      </c>
      <c r="I300" s="15">
        <v>5403.49</v>
      </c>
      <c r="J300" s="13" t="s">
        <v>272</v>
      </c>
    </row>
    <row r="301" spans="1:10">
      <c r="A301" s="19">
        <v>317</v>
      </c>
      <c r="B301" s="19" t="str">
        <f>IFERROR(VLOOKUP($A301,'02_Validation_Engine'!$A:$X,7,FALSE),"")</f>
        <v>Jan-2026</v>
      </c>
      <c r="C301" s="12" t="s">
        <v>15</v>
      </c>
      <c r="D301" s="12" t="s">
        <v>127</v>
      </c>
      <c r="E301" s="12" t="s">
        <v>6</v>
      </c>
      <c r="F301" s="12" t="s">
        <v>7</v>
      </c>
      <c r="G301" s="16">
        <v>7084.0034999999998</v>
      </c>
      <c r="H301" s="41">
        <v>0.77017999999999998</v>
      </c>
      <c r="I301" s="16">
        <v>5455.96</v>
      </c>
      <c r="J301" s="12" t="s">
        <v>275</v>
      </c>
    </row>
    <row r="302" spans="1:10">
      <c r="A302" s="18">
        <v>318</v>
      </c>
      <c r="B302" s="18" t="str">
        <f>IFERROR(VLOOKUP($A302,'02_Validation_Engine'!$A:$X,7,FALSE),"")</f>
        <v>Feb-2026</v>
      </c>
      <c r="C302" s="13" t="s">
        <v>15</v>
      </c>
      <c r="D302" s="13" t="s">
        <v>127</v>
      </c>
      <c r="E302" s="13" t="s">
        <v>2</v>
      </c>
      <c r="F302" s="13" t="s">
        <v>3</v>
      </c>
      <c r="G302" s="15">
        <v>6772.2055600000003</v>
      </c>
      <c r="H302" s="42">
        <v>1</v>
      </c>
      <c r="I302" s="15">
        <v>6772.21</v>
      </c>
      <c r="J302" s="13" t="s">
        <v>275</v>
      </c>
    </row>
    <row r="303" spans="1:10">
      <c r="A303" s="19">
        <v>319</v>
      </c>
      <c r="B303" s="19" t="str">
        <f>IFERROR(VLOOKUP($A303,'02_Validation_Engine'!$A:$X,7,FALSE),"")</f>
        <v>Feb-2026</v>
      </c>
      <c r="C303" s="12" t="s">
        <v>15</v>
      </c>
      <c r="D303" s="12" t="s">
        <v>122</v>
      </c>
      <c r="E303" s="12" t="s">
        <v>4</v>
      </c>
      <c r="F303" s="12" t="s">
        <v>5</v>
      </c>
      <c r="G303" s="16">
        <v>6437.0432000000001</v>
      </c>
      <c r="H303" s="41">
        <v>0.90888000000000002</v>
      </c>
      <c r="I303" s="16">
        <v>5850.5</v>
      </c>
      <c r="J303" s="12" t="s">
        <v>270</v>
      </c>
    </row>
    <row r="304" spans="1:10">
      <c r="A304" s="18">
        <v>320</v>
      </c>
      <c r="B304" s="18" t="str">
        <f>IFERROR(VLOOKUP($A304,'02_Validation_Engine'!$A:$X,7,FALSE),"")</f>
        <v>Feb-2026</v>
      </c>
      <c r="C304" s="13" t="s">
        <v>15</v>
      </c>
      <c r="D304" s="13" t="s">
        <v>125</v>
      </c>
      <c r="E304" s="13" t="s">
        <v>10</v>
      </c>
      <c r="F304" s="13" t="s">
        <v>11</v>
      </c>
      <c r="G304" s="15">
        <v>2116.7912000000001</v>
      </c>
      <c r="H304" s="42">
        <v>1.08643</v>
      </c>
      <c r="I304" s="15">
        <v>2299.75</v>
      </c>
      <c r="J304" s="13" t="s">
        <v>273</v>
      </c>
    </row>
    <row r="305" spans="1:10">
      <c r="A305" s="19">
        <v>321</v>
      </c>
      <c r="B305" s="19" t="str">
        <f>IFERROR(VLOOKUP($A305,'02_Validation_Engine'!$A:$X,7,FALSE),"")</f>
        <v>Jan-2026</v>
      </c>
      <c r="C305" s="12" t="s">
        <v>16</v>
      </c>
      <c r="D305" s="12" t="s">
        <v>129</v>
      </c>
      <c r="E305" s="12" t="s">
        <v>2</v>
      </c>
      <c r="F305" s="12" t="s">
        <v>3</v>
      </c>
      <c r="G305" s="16">
        <v>54496</v>
      </c>
      <c r="H305" s="41">
        <v>1</v>
      </c>
      <c r="I305" s="16">
        <v>54496</v>
      </c>
      <c r="J305" s="12" t="s">
        <v>277</v>
      </c>
    </row>
    <row r="306" spans="1:10">
      <c r="A306" s="18">
        <v>322</v>
      </c>
      <c r="B306" s="18" t="str">
        <f>IFERROR(VLOOKUP($A306,'02_Validation_Engine'!$A:$X,7,FALSE),"")</f>
        <v>Jan-2026</v>
      </c>
      <c r="C306" s="13" t="s">
        <v>16</v>
      </c>
      <c r="D306" s="13" t="s">
        <v>130</v>
      </c>
      <c r="E306" s="13" t="s">
        <v>6</v>
      </c>
      <c r="F306" s="13" t="s">
        <v>7</v>
      </c>
      <c r="G306" s="15">
        <v>61275.199999999997</v>
      </c>
      <c r="H306" s="42">
        <v>0.77017999999999998</v>
      </c>
      <c r="I306" s="15">
        <v>47192.93</v>
      </c>
      <c r="J306" s="13" t="s">
        <v>278</v>
      </c>
    </row>
    <row r="307" spans="1:10">
      <c r="A307" s="19">
        <v>323</v>
      </c>
      <c r="B307" s="19" t="str">
        <f>IFERROR(VLOOKUP($A307,'02_Validation_Engine'!$A:$X,7,FALSE),"")</f>
        <v>Jan-2026</v>
      </c>
      <c r="C307" s="12" t="s">
        <v>16</v>
      </c>
      <c r="D307" s="12" t="s">
        <v>131</v>
      </c>
      <c r="E307" s="12" t="s">
        <v>4</v>
      </c>
      <c r="F307" s="12" t="s">
        <v>5</v>
      </c>
      <c r="G307" s="16">
        <v>51427.199999999997</v>
      </c>
      <c r="H307" s="41">
        <v>0.90888000000000002</v>
      </c>
      <c r="I307" s="16">
        <v>46741.15</v>
      </c>
      <c r="J307" s="12" t="s">
        <v>279</v>
      </c>
    </row>
    <row r="308" spans="1:10">
      <c r="A308" s="18">
        <v>324</v>
      </c>
      <c r="B308" s="18" t="str">
        <f>IFERROR(VLOOKUP($A308,'02_Validation_Engine'!$A:$X,7,FALSE),"")</f>
        <v>Mar-2026</v>
      </c>
      <c r="C308" s="13" t="s">
        <v>16</v>
      </c>
      <c r="D308" s="13" t="s">
        <v>132</v>
      </c>
      <c r="E308" s="13" t="s">
        <v>2</v>
      </c>
      <c r="F308" s="13" t="s">
        <v>3</v>
      </c>
      <c r="G308" s="15">
        <v>51651.6</v>
      </c>
      <c r="H308" s="42">
        <v>1</v>
      </c>
      <c r="I308" s="15">
        <v>51651.6</v>
      </c>
      <c r="J308" s="13" t="s">
        <v>280</v>
      </c>
    </row>
    <row r="309" spans="1:10">
      <c r="A309" s="19">
        <v>325</v>
      </c>
      <c r="B309" s="19" t="str">
        <f>IFERROR(VLOOKUP($A309,'02_Validation_Engine'!$A:$X,7,FALSE),"")</f>
        <v>Mar-2026</v>
      </c>
      <c r="C309" s="12" t="s">
        <v>16</v>
      </c>
      <c r="D309" s="12" t="s">
        <v>131</v>
      </c>
      <c r="E309" s="12" t="s">
        <v>10</v>
      </c>
      <c r="F309" s="12" t="s">
        <v>11</v>
      </c>
      <c r="G309" s="16">
        <v>15428.16</v>
      </c>
      <c r="H309" s="41">
        <v>1.08643</v>
      </c>
      <c r="I309" s="16">
        <v>16761.62</v>
      </c>
      <c r="J309" s="12" t="s">
        <v>279</v>
      </c>
    </row>
    <row r="310" spans="1:10">
      <c r="A310" s="18">
        <v>326</v>
      </c>
      <c r="B310" s="18" t="str">
        <f>IFERROR(VLOOKUP($A310,'02_Validation_Engine'!$A:$X,7,FALSE),"")</f>
        <v>Jan-2026</v>
      </c>
      <c r="C310" s="13" t="s">
        <v>16</v>
      </c>
      <c r="D310" s="13" t="s">
        <v>133</v>
      </c>
      <c r="E310" s="13" t="s">
        <v>10</v>
      </c>
      <c r="F310" s="13" t="s">
        <v>11</v>
      </c>
      <c r="G310" s="15">
        <v>14368.32</v>
      </c>
      <c r="H310" s="42">
        <v>1.08643</v>
      </c>
      <c r="I310" s="15">
        <v>15610.17</v>
      </c>
      <c r="J310" s="13" t="s">
        <v>281</v>
      </c>
    </row>
    <row r="311" spans="1:10">
      <c r="A311" s="19">
        <v>327</v>
      </c>
      <c r="B311" s="19" t="str">
        <f>IFERROR(VLOOKUP($A311,'02_Validation_Engine'!$A:$X,7,FALSE),"")</f>
        <v>Mar-2026</v>
      </c>
      <c r="C311" s="12" t="s">
        <v>16</v>
      </c>
      <c r="D311" s="12" t="s">
        <v>130</v>
      </c>
      <c r="E311" s="12" t="s">
        <v>6</v>
      </c>
      <c r="F311" s="12" t="s">
        <v>7</v>
      </c>
      <c r="G311" s="16">
        <v>61275.199999999997</v>
      </c>
      <c r="H311" s="41">
        <v>0.77017999999999998</v>
      </c>
      <c r="I311" s="16">
        <v>47192.93</v>
      </c>
      <c r="J311" s="12" t="s">
        <v>278</v>
      </c>
    </row>
    <row r="312" spans="1:10">
      <c r="A312" s="18">
        <v>328</v>
      </c>
      <c r="B312" s="18" t="str">
        <f>IFERROR(VLOOKUP($A312,'02_Validation_Engine'!$A:$X,7,FALSE),"")</f>
        <v>Mar-2026</v>
      </c>
      <c r="C312" s="13" t="s">
        <v>16</v>
      </c>
      <c r="D312" s="13" t="s">
        <v>133</v>
      </c>
      <c r="E312" s="13" t="s">
        <v>2</v>
      </c>
      <c r="F312" s="13" t="s">
        <v>3</v>
      </c>
      <c r="G312" s="15">
        <v>51885.599999999999</v>
      </c>
      <c r="H312" s="42">
        <v>1</v>
      </c>
      <c r="I312" s="15">
        <v>51885.599999999999</v>
      </c>
      <c r="J312" s="13" t="s">
        <v>281</v>
      </c>
    </row>
    <row r="313" spans="1:10">
      <c r="A313" s="19">
        <v>329</v>
      </c>
      <c r="B313" s="19" t="str">
        <f>IFERROR(VLOOKUP($A313,'02_Validation_Engine'!$A:$X,7,FALSE),"")</f>
        <v>Feb-2026</v>
      </c>
      <c r="C313" s="12" t="s">
        <v>16</v>
      </c>
      <c r="D313" s="12" t="s">
        <v>132</v>
      </c>
      <c r="E313" s="12" t="s">
        <v>4</v>
      </c>
      <c r="F313" s="12" t="s">
        <v>5</v>
      </c>
      <c r="G313" s="16">
        <v>47678.400000000001</v>
      </c>
      <c r="H313" s="41">
        <v>0.90888000000000002</v>
      </c>
      <c r="I313" s="16">
        <v>43333.94</v>
      </c>
      <c r="J313" s="12" t="s">
        <v>280</v>
      </c>
    </row>
    <row r="314" spans="1:10">
      <c r="A314" s="18">
        <v>330</v>
      </c>
      <c r="B314" s="18" t="str">
        <f>IFERROR(VLOOKUP($A314,'02_Validation_Engine'!$A:$X,7,FALSE),"")</f>
        <v>Feb-2026</v>
      </c>
      <c r="C314" s="13" t="s">
        <v>16</v>
      </c>
      <c r="D314" s="13" t="s">
        <v>133</v>
      </c>
      <c r="E314" s="13" t="s">
        <v>2</v>
      </c>
      <c r="F314" s="13" t="s">
        <v>3</v>
      </c>
      <c r="G314" s="15">
        <v>51885.599999999999</v>
      </c>
      <c r="H314" s="42">
        <v>1</v>
      </c>
      <c r="I314" s="15">
        <v>51885.599999999999</v>
      </c>
      <c r="J314" s="13" t="s">
        <v>281</v>
      </c>
    </row>
    <row r="315" spans="1:10">
      <c r="A315" s="19">
        <v>332</v>
      </c>
      <c r="B315" s="19" t="str">
        <f>IFERROR(VLOOKUP($A315,'02_Validation_Engine'!$A:$X,7,FALSE),"")</f>
        <v>Feb-2026</v>
      </c>
      <c r="C315" s="12" t="s">
        <v>16</v>
      </c>
      <c r="D315" s="12" t="s">
        <v>130</v>
      </c>
      <c r="E315" s="12" t="s">
        <v>6</v>
      </c>
      <c r="F315" s="12" t="s">
        <v>7</v>
      </c>
      <c r="G315" s="16">
        <v>61275.199999999997</v>
      </c>
      <c r="H315" s="41">
        <v>0.77017999999999998</v>
      </c>
      <c r="I315" s="16">
        <v>47192.93</v>
      </c>
      <c r="J315" s="12" t="s">
        <v>278</v>
      </c>
    </row>
    <row r="316" spans="1:10">
      <c r="A316" s="18">
        <v>334</v>
      </c>
      <c r="B316" s="18" t="str">
        <f>IFERROR(VLOOKUP($A316,'02_Validation_Engine'!$A:$X,7,FALSE),"")</f>
        <v>Jan-2026</v>
      </c>
      <c r="C316" s="13" t="s">
        <v>16</v>
      </c>
      <c r="D316" s="13" t="s">
        <v>133</v>
      </c>
      <c r="E316" s="13" t="s">
        <v>10</v>
      </c>
      <c r="F316" s="13" t="s">
        <v>11</v>
      </c>
      <c r="G316" s="15">
        <v>14368.32</v>
      </c>
      <c r="H316" s="42">
        <v>1.08643</v>
      </c>
      <c r="I316" s="15">
        <v>15610.17</v>
      </c>
      <c r="J316" s="13" t="s">
        <v>281</v>
      </c>
    </row>
    <row r="317" spans="1:10">
      <c r="A317" s="19">
        <v>335</v>
      </c>
      <c r="B317" s="19" t="str">
        <f>IFERROR(VLOOKUP($A317,'02_Validation_Engine'!$A:$X,7,FALSE),"")</f>
        <v>Jan-2026</v>
      </c>
      <c r="C317" s="12" t="s">
        <v>16</v>
      </c>
      <c r="D317" s="12" t="s">
        <v>134</v>
      </c>
      <c r="E317" s="12" t="s">
        <v>2</v>
      </c>
      <c r="F317" s="12" t="s">
        <v>3</v>
      </c>
      <c r="G317" s="16">
        <v>50887.199999999997</v>
      </c>
      <c r="H317" s="41">
        <v>1</v>
      </c>
      <c r="I317" s="16">
        <v>50887.199999999997</v>
      </c>
      <c r="J317" s="12" t="s">
        <v>282</v>
      </c>
    </row>
    <row r="318" spans="1:10">
      <c r="A318" s="18">
        <v>336</v>
      </c>
      <c r="B318" s="18" t="str">
        <f>IFERROR(VLOOKUP($A318,'02_Validation_Engine'!$A:$X,7,FALSE),"")</f>
        <v>Jan-2026</v>
      </c>
      <c r="C318" s="13" t="s">
        <v>16</v>
      </c>
      <c r="D318" s="13" t="s">
        <v>135</v>
      </c>
      <c r="E318" s="13" t="s">
        <v>4</v>
      </c>
      <c r="F318" s="13" t="s">
        <v>5</v>
      </c>
      <c r="G318" s="15">
        <v>52680</v>
      </c>
      <c r="H318" s="42">
        <v>0.90888000000000002</v>
      </c>
      <c r="I318" s="15">
        <v>47879.8</v>
      </c>
      <c r="J318" s="13" t="s">
        <v>283</v>
      </c>
    </row>
    <row r="319" spans="1:10">
      <c r="A319" s="19">
        <v>337</v>
      </c>
      <c r="B319" s="19" t="str">
        <f>IFERROR(VLOOKUP($A319,'02_Validation_Engine'!$A:$X,7,FALSE),"")</f>
        <v>Feb-2026</v>
      </c>
      <c r="C319" s="12" t="s">
        <v>16</v>
      </c>
      <c r="D319" s="12" t="s">
        <v>131</v>
      </c>
      <c r="E319" s="12" t="s">
        <v>10</v>
      </c>
      <c r="F319" s="12" t="s">
        <v>11</v>
      </c>
      <c r="G319" s="16">
        <v>15428.16</v>
      </c>
      <c r="H319" s="41">
        <v>1.08643</v>
      </c>
      <c r="I319" s="16">
        <v>16761.62</v>
      </c>
      <c r="J319" s="12" t="s">
        <v>279</v>
      </c>
    </row>
    <row r="320" spans="1:10">
      <c r="A320" s="18">
        <v>338</v>
      </c>
      <c r="B320" s="18" t="str">
        <f>IFERROR(VLOOKUP($A320,'02_Validation_Engine'!$A:$X,7,FALSE),"")</f>
        <v>Feb-2026</v>
      </c>
      <c r="C320" s="13" t="s">
        <v>16</v>
      </c>
      <c r="D320" s="13" t="s">
        <v>131</v>
      </c>
      <c r="E320" s="13" t="s">
        <v>6</v>
      </c>
      <c r="F320" s="13" t="s">
        <v>7</v>
      </c>
      <c r="G320" s="15">
        <v>59998.400000000001</v>
      </c>
      <c r="H320" s="42">
        <v>0.77017999999999998</v>
      </c>
      <c r="I320" s="15">
        <v>46209.57</v>
      </c>
      <c r="J320" s="13" t="s">
        <v>279</v>
      </c>
    </row>
    <row r="321" spans="1:10">
      <c r="A321" s="19">
        <v>339</v>
      </c>
      <c r="B321" s="19" t="str">
        <f>IFERROR(VLOOKUP($A321,'02_Validation_Engine'!$A:$X,7,FALSE),"")</f>
        <v>Mar-2026</v>
      </c>
      <c r="C321" s="12" t="s">
        <v>16</v>
      </c>
      <c r="D321" s="12" t="s">
        <v>132</v>
      </c>
      <c r="E321" s="12" t="s">
        <v>2</v>
      </c>
      <c r="F321" s="12" t="s">
        <v>3</v>
      </c>
      <c r="G321" s="16">
        <v>51651.6</v>
      </c>
      <c r="H321" s="41">
        <v>1</v>
      </c>
      <c r="I321" s="16">
        <v>51651.6</v>
      </c>
      <c r="J321" s="12" t="s">
        <v>280</v>
      </c>
    </row>
    <row r="322" spans="1:10">
      <c r="A322" s="18">
        <v>340</v>
      </c>
      <c r="B322" s="18" t="str">
        <f>IFERROR(VLOOKUP($A322,'02_Validation_Engine'!$A:$X,7,FALSE),"")</f>
        <v>Jan-2026</v>
      </c>
      <c r="C322" s="13" t="s">
        <v>16</v>
      </c>
      <c r="D322" s="13" t="s">
        <v>131</v>
      </c>
      <c r="E322" s="13" t="s">
        <v>6</v>
      </c>
      <c r="F322" s="13" t="s">
        <v>7</v>
      </c>
      <c r="G322" s="15">
        <v>59998.400000000001</v>
      </c>
      <c r="H322" s="42">
        <v>0.77017999999999998</v>
      </c>
      <c r="I322" s="15">
        <v>46209.57</v>
      </c>
      <c r="J322" s="13" t="s">
        <v>279</v>
      </c>
    </row>
    <row r="323" spans="1:10">
      <c r="A323" s="19">
        <v>341</v>
      </c>
      <c r="B323" s="19" t="str">
        <f>IFERROR(VLOOKUP($A323,'02_Validation_Engine'!$A:$X,7,FALSE),"")</f>
        <v>Jan-2026</v>
      </c>
      <c r="C323" s="12" t="s">
        <v>16</v>
      </c>
      <c r="D323" s="12" t="s">
        <v>131</v>
      </c>
      <c r="E323" s="12" t="s">
        <v>8</v>
      </c>
      <c r="F323" s="12" t="s">
        <v>9</v>
      </c>
      <c r="G323" s="16">
        <v>188566.39999999999</v>
      </c>
      <c r="H323" s="41">
        <v>0.21065</v>
      </c>
      <c r="I323" s="16">
        <v>39721.51</v>
      </c>
      <c r="J323" s="12" t="s">
        <v>279</v>
      </c>
    </row>
    <row r="324" spans="1:10">
      <c r="A324" s="18">
        <v>342</v>
      </c>
      <c r="B324" s="18" t="str">
        <f>IFERROR(VLOOKUP($A324,'02_Validation_Engine'!$A:$X,7,FALSE),"")</f>
        <v>Jan-2026</v>
      </c>
      <c r="C324" s="13" t="s">
        <v>16</v>
      </c>
      <c r="D324" s="13" t="s">
        <v>129</v>
      </c>
      <c r="E324" s="13" t="s">
        <v>10</v>
      </c>
      <c r="F324" s="13" t="s">
        <v>11</v>
      </c>
      <c r="G324" s="15">
        <v>15091.2</v>
      </c>
      <c r="H324" s="42">
        <v>1.08643</v>
      </c>
      <c r="I324" s="15">
        <v>16395.53</v>
      </c>
      <c r="J324" s="13" t="s">
        <v>277</v>
      </c>
    </row>
    <row r="325" spans="1:10">
      <c r="A325" s="19">
        <v>343</v>
      </c>
      <c r="B325" s="19" t="str">
        <f>IFERROR(VLOOKUP($A325,'02_Validation_Engine'!$A:$X,7,FALSE),"")</f>
        <v>Jan-2026</v>
      </c>
      <c r="C325" s="12" t="s">
        <v>16</v>
      </c>
      <c r="D325" s="12" t="s">
        <v>135</v>
      </c>
      <c r="E325" s="12" t="s">
        <v>10</v>
      </c>
      <c r="F325" s="12" t="s">
        <v>11</v>
      </c>
      <c r="G325" s="16">
        <v>15804</v>
      </c>
      <c r="H325" s="41">
        <v>1.08643</v>
      </c>
      <c r="I325" s="16">
        <v>17169.939999999999</v>
      </c>
      <c r="J325" s="12" t="s">
        <v>283</v>
      </c>
    </row>
    <row r="326" spans="1:10">
      <c r="A326" s="18">
        <v>344</v>
      </c>
      <c r="B326" s="18" t="str">
        <f>IFERROR(VLOOKUP($A326,'02_Validation_Engine'!$A:$X,7,FALSE),"")</f>
        <v>Mar-2026</v>
      </c>
      <c r="C326" s="13" t="s">
        <v>16</v>
      </c>
      <c r="D326" s="13" t="s">
        <v>130</v>
      </c>
      <c r="E326" s="13" t="s">
        <v>2</v>
      </c>
      <c r="F326" s="13" t="s">
        <v>3</v>
      </c>
      <c r="G326" s="15">
        <v>56898.400000000001</v>
      </c>
      <c r="H326" s="42">
        <v>1</v>
      </c>
      <c r="I326" s="15">
        <v>56898.400000000001</v>
      </c>
      <c r="J326" s="13" t="s">
        <v>278</v>
      </c>
    </row>
    <row r="327" spans="1:10">
      <c r="A327" s="19">
        <v>345</v>
      </c>
      <c r="B327" s="19" t="str">
        <f>IFERROR(VLOOKUP($A327,'02_Validation_Engine'!$A:$X,7,FALSE),"")</f>
        <v>Jan-2026</v>
      </c>
      <c r="C327" s="12" t="s">
        <v>16</v>
      </c>
      <c r="D327" s="12" t="s">
        <v>134</v>
      </c>
      <c r="E327" s="12" t="s">
        <v>10</v>
      </c>
      <c r="F327" s="12" t="s">
        <v>11</v>
      </c>
      <c r="G327" s="16">
        <v>14091.84</v>
      </c>
      <c r="H327" s="41">
        <v>1.08643</v>
      </c>
      <c r="I327" s="16">
        <v>15309.8</v>
      </c>
      <c r="J327" s="12" t="s">
        <v>282</v>
      </c>
    </row>
    <row r="328" spans="1:10">
      <c r="A328" s="18">
        <v>346</v>
      </c>
      <c r="B328" s="18" t="str">
        <f>IFERROR(VLOOKUP($A328,'02_Validation_Engine'!$A:$X,7,FALSE),"")</f>
        <v>Jan-2026</v>
      </c>
      <c r="C328" s="13" t="s">
        <v>16</v>
      </c>
      <c r="D328" s="13" t="s">
        <v>133</v>
      </c>
      <c r="E328" s="13" t="s">
        <v>8</v>
      </c>
      <c r="F328" s="13" t="s">
        <v>9</v>
      </c>
      <c r="G328" s="15">
        <v>175612.79999999999</v>
      </c>
      <c r="H328" s="42">
        <v>0.21065</v>
      </c>
      <c r="I328" s="15">
        <v>36992.839999999997</v>
      </c>
      <c r="J328" s="13" t="s">
        <v>281</v>
      </c>
    </row>
    <row r="329" spans="1:10">
      <c r="A329" s="19">
        <v>347</v>
      </c>
      <c r="B329" s="19" t="str">
        <f>IFERROR(VLOOKUP($A329,'02_Validation_Engine'!$A:$X,7,FALSE),"")</f>
        <v>Jan-2026</v>
      </c>
      <c r="C329" s="12" t="s">
        <v>16</v>
      </c>
      <c r="D329" s="12" t="s">
        <v>129</v>
      </c>
      <c r="E329" s="12" t="s">
        <v>2</v>
      </c>
      <c r="F329" s="12" t="s">
        <v>3</v>
      </c>
      <c r="G329" s="16">
        <v>54496</v>
      </c>
      <c r="H329" s="41">
        <v>1</v>
      </c>
      <c r="I329" s="16">
        <v>54496</v>
      </c>
      <c r="J329" s="12" t="s">
        <v>277</v>
      </c>
    </row>
    <row r="330" spans="1:10">
      <c r="A330" s="18">
        <v>348</v>
      </c>
      <c r="B330" s="18" t="str">
        <f>IFERROR(VLOOKUP($A330,'02_Validation_Engine'!$A:$X,7,FALSE),"")</f>
        <v>Feb-2026</v>
      </c>
      <c r="C330" s="13" t="s">
        <v>16</v>
      </c>
      <c r="D330" s="13" t="s">
        <v>133</v>
      </c>
      <c r="E330" s="13" t="s">
        <v>2</v>
      </c>
      <c r="F330" s="13" t="s">
        <v>3</v>
      </c>
      <c r="G330" s="15">
        <v>51885.599999999999</v>
      </c>
      <c r="H330" s="42">
        <v>1</v>
      </c>
      <c r="I330" s="15">
        <v>51885.599999999999</v>
      </c>
      <c r="J330" s="13" t="s">
        <v>281</v>
      </c>
    </row>
    <row r="331" spans="1:10">
      <c r="A331" s="20">
        <v>349</v>
      </c>
      <c r="B331" s="20" t="str">
        <f>IFERROR(VLOOKUP($A331,'02_Validation_Engine'!$A:$X,7,FALSE),"")</f>
        <v>Mar-2026</v>
      </c>
      <c r="C331" s="14" t="s">
        <v>16</v>
      </c>
      <c r="D331" s="14" t="s">
        <v>133</v>
      </c>
      <c r="E331" s="14" t="s">
        <v>2</v>
      </c>
      <c r="F331" s="14" t="s">
        <v>3</v>
      </c>
      <c r="G331" s="17">
        <v>51885.599999999999</v>
      </c>
      <c r="H331" s="43">
        <v>1</v>
      </c>
      <c r="I331" s="17">
        <v>51885.599999999999</v>
      </c>
      <c r="J331" s="14" t="s">
        <v>281</v>
      </c>
    </row>
  </sheetData>
  <conditionalFormatting sqref="I2:I331">
    <cfRule type="cellIs" dxfId="2" priority="1" operator="greaterThan">
      <formula>50000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X354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2.77734375" style="11" bestFit="1" customWidth="1"/>
    <col min="2" max="2" width="17.88671875" style="11" bestFit="1" customWidth="1"/>
    <col min="3" max="3" width="14.21875" style="11" bestFit="1" customWidth="1"/>
    <col min="4" max="4" width="10.6640625" style="11" bestFit="1" customWidth="1"/>
    <col min="5" max="5" width="27.33203125" style="11" bestFit="1" customWidth="1"/>
    <col min="6" max="6" width="29.77734375" style="11" bestFit="1" customWidth="1"/>
    <col min="7" max="7" width="9.5546875" style="11" bestFit="1" customWidth="1"/>
    <col min="8" max="8" width="11.44140625" style="11" bestFit="1" customWidth="1"/>
    <col min="9" max="9" width="15.33203125" bestFit="1" customWidth="1"/>
    <col min="10" max="10" width="18" style="2" bestFit="1" customWidth="1"/>
    <col min="11" max="11" width="12.33203125" style="2" bestFit="1" customWidth="1"/>
    <col min="12" max="12" width="15.77734375" style="2" bestFit="1" customWidth="1"/>
    <col min="13" max="13" width="17.21875" style="2" bestFit="1" customWidth="1"/>
    <col min="14" max="14" width="17.33203125" style="2" bestFit="1" customWidth="1"/>
    <col min="15" max="15" width="15.6640625" style="2" bestFit="1" customWidth="1"/>
    <col min="16" max="16" width="27.21875" style="11" bestFit="1" customWidth="1"/>
    <col min="17" max="17" width="21.77734375" style="11" bestFit="1" customWidth="1"/>
    <col min="18" max="18" width="22.44140625" style="11" bestFit="1" customWidth="1"/>
    <col min="19" max="19" width="27.21875" style="11" bestFit="1" customWidth="1"/>
    <col min="20" max="20" width="17.88671875" style="11" bestFit="1" customWidth="1"/>
    <col min="21" max="21" width="18.77734375" style="11" bestFit="1" customWidth="1"/>
    <col min="22" max="22" width="23.109375" style="11" bestFit="1" customWidth="1"/>
    <col min="23" max="23" width="20" style="11" bestFit="1" customWidth="1"/>
    <col min="24" max="24" width="22.77734375" style="11" bestFit="1" customWidth="1"/>
  </cols>
  <sheetData>
    <row r="1" spans="1:24" ht="15.6">
      <c r="A1" s="44" t="s">
        <v>22</v>
      </c>
      <c r="B1" s="44" t="s">
        <v>12</v>
      </c>
      <c r="C1" s="44" t="s">
        <v>17</v>
      </c>
      <c r="D1" s="44" t="s">
        <v>0</v>
      </c>
      <c r="E1" s="44" t="s">
        <v>23</v>
      </c>
      <c r="F1" s="44" t="s">
        <v>25</v>
      </c>
      <c r="G1" s="44" t="s">
        <v>26</v>
      </c>
      <c r="H1" s="44" t="s">
        <v>1</v>
      </c>
      <c r="I1" s="45" t="s">
        <v>156</v>
      </c>
      <c r="J1" s="39" t="s">
        <v>153</v>
      </c>
      <c r="K1" s="39" t="s">
        <v>154</v>
      </c>
      <c r="L1" s="39" t="s">
        <v>155</v>
      </c>
      <c r="M1" s="39" t="s">
        <v>24</v>
      </c>
      <c r="N1" s="39" t="s">
        <v>160</v>
      </c>
      <c r="O1" s="39" t="s">
        <v>161</v>
      </c>
      <c r="P1" s="44" t="s">
        <v>170</v>
      </c>
      <c r="Q1" s="44" t="s">
        <v>171</v>
      </c>
      <c r="R1" s="44" t="s">
        <v>172</v>
      </c>
      <c r="S1" s="44" t="s">
        <v>173</v>
      </c>
      <c r="T1" s="44" t="s">
        <v>174</v>
      </c>
      <c r="U1" s="44" t="s">
        <v>175</v>
      </c>
      <c r="V1" s="44" t="s">
        <v>176</v>
      </c>
      <c r="W1" s="44" t="s">
        <v>177</v>
      </c>
      <c r="X1" s="44" t="s">
        <v>178</v>
      </c>
    </row>
    <row r="2" spans="1:24">
      <c r="A2" s="11">
        <f>RawTable[[#This Row],[Record_ID]]</f>
        <v>1</v>
      </c>
      <c r="B2" s="11" t="str">
        <f>RawTable[[#This Row],[Payment_Type]]</f>
        <v>Payroll</v>
      </c>
      <c r="C2" s="11" t="str">
        <f>RawTable[[#This Row],[Entity_Type]]</f>
        <v>Employee</v>
      </c>
      <c r="D2" s="11" t="str">
        <f>RawTable[[#This Row],[Country]]</f>
        <v>Jordan</v>
      </c>
      <c r="E2" s="11" t="str">
        <f>RawTable[[#This Row],[Name]]</f>
        <v>Omar Müller</v>
      </c>
      <c r="F2" s="11" t="str">
        <f>RawTable[[#This Row],[Bank_Account]]</f>
        <v>JO-IBAN-00024690</v>
      </c>
      <c r="G2" s="11" t="str">
        <f>RawTable[[#This Row],[Month]]</f>
        <v>Feb-2026</v>
      </c>
      <c r="H2" s="11" t="str">
        <f>RawTable[[#This Row],[Currency]]</f>
        <v>JOD</v>
      </c>
      <c r="I2" s="4">
        <f>RawTable[[#This Row],[Net_Amount]]</f>
        <v>1687.14</v>
      </c>
      <c r="J2" s="2" t="str">
        <f>RawTable[[#This Row],[VAT_Applicable]]</f>
        <v>No</v>
      </c>
      <c r="K2" s="4">
        <f>RawTable[[#This Row],[VAT_Rate]]</f>
        <v>0</v>
      </c>
      <c r="L2" s="4">
        <f>RawTable[[#This Row],[VAT_Amount]]</f>
        <v>0</v>
      </c>
      <c r="M2" s="4">
        <f>RawTable[[#This Row],[Gross_Amount]]</f>
        <v>1687.14</v>
      </c>
      <c r="N2" s="4">
        <f>RawTable[[#This Row],[Exchange_Rate]]</f>
        <v>1.08643</v>
      </c>
      <c r="O2" s="4">
        <f>RawTable[[#This Row],[Amount_CHF]]</f>
        <v>1832.96</v>
      </c>
      <c r="P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" s="11" t="str">
        <f>IF(ValidationTable[[#This Row],[Currency]]="","Fail","Pass")</f>
        <v>Pass</v>
      </c>
      <c r="S2" s="11" t="str">
        <f>IF(
ValidationTable[[#This Row],[Currency]]="CHF",
IF(ValidationTable[[#This Row],[Exchange_Rate]]&lt;&gt;1,"Fail","Pass"),
IF(ValidationTable[[#This Row],[Exchange_Rate]]&lt;=0,"Fail","Pass")
)</f>
        <v>Pass</v>
      </c>
      <c r="T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" s="11" t="str">
        <f>IF(LEN(TRIM(ValidationTable[[#This Row],[Bank_Account]]))=0,"Fail","Pass")</f>
        <v>Pass</v>
      </c>
      <c r="V2" s="11" t="str">
        <f>IF(
COUNTIF(ValidationTable[Record_ID],ValidationTable[[#This Row],[Record_ID]])&gt;1,
"Fail",
"Pass"
)</f>
        <v>Pass</v>
      </c>
      <c r="W2" s="11" t="str">
        <f>IF(
COUNTIF(ValidationTable[[#This Row],[RequiredField_Validation]]:ValidationTable[[#This Row],[Duplicate_Validation]],"Fail")&gt;0,
"Fail",
"Pass"
)</f>
        <v>Pass</v>
      </c>
      <c r="X2" s="11" t="str">
        <f>IF(ValidationTable[[#This Row],[Validation_Result]]="Pass","Yes","No")</f>
        <v>Yes</v>
      </c>
    </row>
    <row r="3" spans="1:24" hidden="1">
      <c r="A3" s="11">
        <f>RawTable[[#This Row],[Record_ID]]</f>
        <v>2</v>
      </c>
      <c r="B3" s="11" t="str">
        <f>RawTable[[#This Row],[Payment_Type]]</f>
        <v>Payroll</v>
      </c>
      <c r="C3" s="11" t="str">
        <f>RawTable[[#This Row],[Entity_Type]]</f>
        <v>Employee</v>
      </c>
      <c r="D3" s="11" t="str">
        <f>RawTable[[#This Row],[Country]]</f>
        <v>USA</v>
      </c>
      <c r="E3" s="11" t="str">
        <f>RawTable[[#This Row],[Name]]</f>
        <v>Ahmed Schmidt</v>
      </c>
      <c r="F3" s="11" t="str">
        <f>RawTable[[#This Row],[Bank_Account]]</f>
        <v>US-RT-000003702-AC-0000017034</v>
      </c>
      <c r="G3" s="11" t="str">
        <f>RawTable[[#This Row],[Month]]</f>
        <v>Mar-2026</v>
      </c>
      <c r="H3" s="11" t="str">
        <f>RawTable[[#This Row],[Currency]]</f>
        <v>USD</v>
      </c>
      <c r="I3" s="4">
        <f>RawTable[[#This Row],[Net_Amount]]</f>
        <v>0</v>
      </c>
      <c r="J3" s="2" t="str">
        <f>RawTable[[#This Row],[VAT_Applicable]]</f>
        <v>No</v>
      </c>
      <c r="K3" s="4">
        <f>RawTable[[#This Row],[VAT_Rate]]</f>
        <v>0</v>
      </c>
      <c r="L3" s="4">
        <f>RawTable[[#This Row],[VAT_Amount]]</f>
        <v>0</v>
      </c>
      <c r="M3" s="4">
        <f>RawTable[[#This Row],[Gross_Amount]]</f>
        <v>0</v>
      </c>
      <c r="N3" s="4">
        <f>RawTable[[#This Row],[Exchange_Rate]]</f>
        <v>0.77017999999999998</v>
      </c>
      <c r="O3" s="4">
        <f>RawTable[[#This Row],[Amount_CHF]]</f>
        <v>0</v>
      </c>
      <c r="P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" s="11" t="str">
        <f>IF(
OR(ValidationTable[[#This Row],[Net_Amount]]&lt;=0,
ROUND(ValidationTable[[#This Row],[Net_Amount]]+ValidationTable[[#This Row],[VAT_Amount]],2)&lt;&gt;ROUND(ValidationTable[[#This Row],[Gross_Amount]],2)
),
"Fail",
"Pass"
)</f>
        <v>Fail</v>
      </c>
      <c r="R3" s="11" t="str">
        <f>IF(ValidationTable[[#This Row],[Currency]]="","Fail","Pass")</f>
        <v>Pass</v>
      </c>
      <c r="S3" s="11" t="str">
        <f>IF(
ValidationTable[[#This Row],[Currency]]="CHF",
IF(ValidationTable[[#This Row],[Exchange_Rate]]&lt;&gt;1,"Fail","Pass"),
IF(ValidationTable[[#This Row],[Exchange_Rate]]&lt;=0,"Fail","Pass")
)</f>
        <v>Pass</v>
      </c>
      <c r="T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" s="11" t="str">
        <f>IF(LEN(TRIM(ValidationTable[[#This Row],[Bank_Account]]))=0,"Fail","Pass")</f>
        <v>Pass</v>
      </c>
      <c r="V3" s="11" t="str">
        <f>IF(
COUNTIF(ValidationTable[Record_ID],ValidationTable[[#This Row],[Record_ID]])&gt;1,
"Fail",
"Pass"
)</f>
        <v>Pass</v>
      </c>
      <c r="W3" s="11" t="str">
        <f>IF(
COUNTIF(ValidationTable[[#This Row],[RequiredField_Validation]]:ValidationTable[[#This Row],[Duplicate_Validation]],"Fail")&gt;0,
"Fail",
"Pass"
)</f>
        <v>Fail</v>
      </c>
      <c r="X3" s="11" t="str">
        <f>IF(ValidationTable[[#This Row],[Validation_Result]]="Pass","Yes","No")</f>
        <v>No</v>
      </c>
    </row>
    <row r="4" spans="1:24">
      <c r="A4" s="11">
        <f>RawTable[[#This Row],[Record_ID]]</f>
        <v>3</v>
      </c>
      <c r="B4" s="11" t="str">
        <f>RawTable[[#This Row],[Payment_Type]]</f>
        <v>Payroll</v>
      </c>
      <c r="C4" s="11" t="str">
        <f>RawTable[[#This Row],[Entity_Type]]</f>
        <v>Employee</v>
      </c>
      <c r="D4" s="11" t="str">
        <f>RawTable[[#This Row],[Country]]</f>
        <v>USA</v>
      </c>
      <c r="E4" s="11" t="str">
        <f>RawTable[[#This Row],[Name]]</f>
        <v>David Wilson</v>
      </c>
      <c r="F4" s="11" t="str">
        <f>RawTable[[#This Row],[Bank_Account]]</f>
        <v>US-RT-000004936-AC-0000022712</v>
      </c>
      <c r="G4" s="11" t="str">
        <f>RawTable[[#This Row],[Month]]</f>
        <v>Feb-2026</v>
      </c>
      <c r="H4" s="11" t="str">
        <f>RawTable[[#This Row],[Currency]]</f>
        <v>USD</v>
      </c>
      <c r="I4" s="4">
        <f>RawTable[[#This Row],[Net_Amount]]</f>
        <v>7521.5</v>
      </c>
      <c r="J4" s="2" t="str">
        <f>RawTable[[#This Row],[VAT_Applicable]]</f>
        <v>No</v>
      </c>
      <c r="K4" s="4">
        <f>RawTable[[#This Row],[VAT_Rate]]</f>
        <v>0</v>
      </c>
      <c r="L4" s="4">
        <f>RawTable[[#This Row],[VAT_Amount]]</f>
        <v>0</v>
      </c>
      <c r="M4" s="4">
        <f>RawTable[[#This Row],[Gross_Amount]]</f>
        <v>7521.5</v>
      </c>
      <c r="N4" s="4">
        <f>RawTable[[#This Row],[Exchange_Rate]]</f>
        <v>0.77017999999999998</v>
      </c>
      <c r="O4" s="4">
        <f>RawTable[[#This Row],[Amount_CHF]]</f>
        <v>5792.91</v>
      </c>
      <c r="P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4" s="11" t="str">
        <f>IF(ValidationTable[[#This Row],[Currency]]="","Fail","Pass")</f>
        <v>Pass</v>
      </c>
      <c r="S4" s="11" t="str">
        <f>IF(
ValidationTable[[#This Row],[Currency]]="CHF",
IF(ValidationTable[[#This Row],[Exchange_Rate]]&lt;&gt;1,"Fail","Pass"),
IF(ValidationTable[[#This Row],[Exchange_Rate]]&lt;=0,"Fail","Pass")
)</f>
        <v>Pass</v>
      </c>
      <c r="T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4" s="11" t="str">
        <f>IF(LEN(TRIM(ValidationTable[[#This Row],[Bank_Account]]))=0,"Fail","Pass")</f>
        <v>Pass</v>
      </c>
      <c r="V4" s="11" t="str">
        <f>IF(
COUNTIF(ValidationTable[Record_ID],ValidationTable[[#This Row],[Record_ID]])&gt;1,
"Fail",
"Pass"
)</f>
        <v>Pass</v>
      </c>
      <c r="W4" s="11" t="str">
        <f>IF(
COUNTIF(ValidationTable[[#This Row],[RequiredField_Validation]]:ValidationTable[[#This Row],[Duplicate_Validation]],"Fail")&gt;0,
"Fail",
"Pass"
)</f>
        <v>Pass</v>
      </c>
      <c r="X4" s="11" t="str">
        <f>IF(ValidationTable[[#This Row],[Validation_Result]]="Pass","Yes","No")</f>
        <v>Yes</v>
      </c>
    </row>
    <row r="5" spans="1:24">
      <c r="A5" s="11">
        <f>RawTable[[#This Row],[Record_ID]]</f>
        <v>4</v>
      </c>
      <c r="B5" s="11" t="str">
        <f>RawTable[[#This Row],[Payment_Type]]</f>
        <v>Payroll</v>
      </c>
      <c r="C5" s="11" t="str">
        <f>RawTable[[#This Row],[Entity_Type]]</f>
        <v>Employee</v>
      </c>
      <c r="D5" s="11" t="str">
        <f>RawTable[[#This Row],[Country]]</f>
        <v>USA</v>
      </c>
      <c r="E5" s="11" t="str">
        <f>RawTable[[#This Row],[Name]]</f>
        <v>John Smith</v>
      </c>
      <c r="F5" s="11" t="str">
        <f>RawTable[[#This Row],[Bank_Account]]</f>
        <v>US-RT-000006170-AC-0000028390</v>
      </c>
      <c r="G5" s="11" t="str">
        <f>RawTable[[#This Row],[Month]]</f>
        <v>Mar-2026</v>
      </c>
      <c r="H5" s="11" t="str">
        <f>RawTable[[#This Row],[Currency]]</f>
        <v>USD</v>
      </c>
      <c r="I5" s="4">
        <f>RawTable[[#This Row],[Net_Amount]]</f>
        <v>7077</v>
      </c>
      <c r="J5" s="2" t="str">
        <f>RawTable[[#This Row],[VAT_Applicable]]</f>
        <v>No</v>
      </c>
      <c r="K5" s="4">
        <f>RawTable[[#This Row],[VAT_Rate]]</f>
        <v>0</v>
      </c>
      <c r="L5" s="4">
        <f>RawTable[[#This Row],[VAT_Amount]]</f>
        <v>0</v>
      </c>
      <c r="M5" s="4">
        <f>RawTable[[#This Row],[Gross_Amount]]</f>
        <v>7077</v>
      </c>
      <c r="N5" s="4">
        <f>RawTable[[#This Row],[Exchange_Rate]]</f>
        <v>0.77017999999999998</v>
      </c>
      <c r="O5" s="4">
        <f>RawTable[[#This Row],[Amount_CHF]]</f>
        <v>5450.56</v>
      </c>
      <c r="P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5" s="11" t="str">
        <f>IF(ValidationTable[[#This Row],[Currency]]="","Fail","Pass")</f>
        <v>Pass</v>
      </c>
      <c r="S5" s="11" t="str">
        <f>IF(
ValidationTable[[#This Row],[Currency]]="CHF",
IF(ValidationTable[[#This Row],[Exchange_Rate]]&lt;&gt;1,"Fail","Pass"),
IF(ValidationTable[[#This Row],[Exchange_Rate]]&lt;=0,"Fail","Pass")
)</f>
        <v>Pass</v>
      </c>
      <c r="T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5" s="11" t="str">
        <f>IF(LEN(TRIM(ValidationTable[[#This Row],[Bank_Account]]))=0,"Fail","Pass")</f>
        <v>Pass</v>
      </c>
      <c r="V5" s="11" t="str">
        <f>IF(
COUNTIF(ValidationTable[Record_ID],ValidationTable[[#This Row],[Record_ID]])&gt;1,
"Fail",
"Pass"
)</f>
        <v>Pass</v>
      </c>
      <c r="W5" s="11" t="str">
        <f>IF(
COUNTIF(ValidationTable[[#This Row],[RequiredField_Validation]]:ValidationTable[[#This Row],[Duplicate_Validation]],"Fail")&gt;0,
"Fail",
"Pass"
)</f>
        <v>Pass</v>
      </c>
      <c r="X5" s="11" t="str">
        <f>IF(ValidationTable[[#This Row],[Validation_Result]]="Pass","Yes","No")</f>
        <v>Yes</v>
      </c>
    </row>
    <row r="6" spans="1:24">
      <c r="A6" s="11">
        <f>RawTable[[#This Row],[Record_ID]]</f>
        <v>5</v>
      </c>
      <c r="B6" s="11" t="str">
        <f>RawTable[[#This Row],[Payment_Type]]</f>
        <v>Payroll</v>
      </c>
      <c r="C6" s="11" t="str">
        <f>RawTable[[#This Row],[Entity_Type]]</f>
        <v>Employee</v>
      </c>
      <c r="D6" s="11" t="str">
        <f>RawTable[[#This Row],[Country]]</f>
        <v>Germany</v>
      </c>
      <c r="E6" s="11" t="str">
        <f>RawTable[[#This Row],[Name]]</f>
        <v>Anna Khan</v>
      </c>
      <c r="F6" s="11" t="str">
        <f>RawTable[[#This Row],[Bank_Account]]</f>
        <v>DE890000000000081474</v>
      </c>
      <c r="G6" s="11" t="str">
        <f>RawTable[[#This Row],[Month]]</f>
        <v>Feb-2026</v>
      </c>
      <c r="H6" s="11" t="str">
        <f>RawTable[[#This Row],[Currency]]</f>
        <v>EUR</v>
      </c>
      <c r="I6" s="4">
        <f>RawTable[[#This Row],[Net_Amount]]</f>
        <v>5455.2</v>
      </c>
      <c r="J6" s="2" t="str">
        <f>RawTable[[#This Row],[VAT_Applicable]]</f>
        <v>No</v>
      </c>
      <c r="K6" s="4">
        <f>RawTable[[#This Row],[VAT_Rate]]</f>
        <v>0</v>
      </c>
      <c r="L6" s="4">
        <f>RawTable[[#This Row],[VAT_Amount]]</f>
        <v>0</v>
      </c>
      <c r="M6" s="4">
        <f>RawTable[[#This Row],[Gross_Amount]]</f>
        <v>5455.2</v>
      </c>
      <c r="N6" s="4">
        <f>RawTable[[#This Row],[Exchange_Rate]]</f>
        <v>0.90888000000000002</v>
      </c>
      <c r="O6" s="4">
        <f>RawTable[[#This Row],[Amount_CHF]]</f>
        <v>4958.12</v>
      </c>
      <c r="P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6" s="11" t="str">
        <f>IF(ValidationTable[[#This Row],[Currency]]="","Fail","Pass")</f>
        <v>Pass</v>
      </c>
      <c r="S6" s="11" t="str">
        <f>IF(
ValidationTable[[#This Row],[Currency]]="CHF",
IF(ValidationTable[[#This Row],[Exchange_Rate]]&lt;&gt;1,"Fail","Pass"),
IF(ValidationTable[[#This Row],[Exchange_Rate]]&lt;=0,"Fail","Pass")
)</f>
        <v>Pass</v>
      </c>
      <c r="T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6" s="11" t="str">
        <f>IF(LEN(TRIM(ValidationTable[[#This Row],[Bank_Account]]))=0,"Fail","Pass")</f>
        <v>Pass</v>
      </c>
      <c r="V6" s="11" t="str">
        <f>IF(
COUNTIF(ValidationTable[Record_ID],ValidationTable[[#This Row],[Record_ID]])&gt;1,
"Fail",
"Pass"
)</f>
        <v>Pass</v>
      </c>
      <c r="W6" s="11" t="str">
        <f>IF(
COUNTIF(ValidationTable[[#This Row],[RequiredField_Validation]]:ValidationTable[[#This Row],[Duplicate_Validation]],"Fail")&gt;0,
"Fail",
"Pass"
)</f>
        <v>Pass</v>
      </c>
      <c r="X6" s="11" t="str">
        <f>IF(ValidationTable[[#This Row],[Validation_Result]]="Pass","Yes","No")</f>
        <v>Yes</v>
      </c>
    </row>
    <row r="7" spans="1:24">
      <c r="A7" s="11">
        <f>RawTable[[#This Row],[Record_ID]]</f>
        <v>6</v>
      </c>
      <c r="B7" s="11" t="str">
        <f>RawTable[[#This Row],[Payment_Type]]</f>
        <v>Payroll</v>
      </c>
      <c r="C7" s="11" t="str">
        <f>RawTable[[#This Row],[Entity_Type]]</f>
        <v>Employee</v>
      </c>
      <c r="D7" s="11" t="str">
        <f>RawTable[[#This Row],[Country]]</f>
        <v>Germany</v>
      </c>
      <c r="E7" s="11" t="str">
        <f>RawTable[[#This Row],[Name]]</f>
        <v>David Haddad</v>
      </c>
      <c r="F7" s="11" t="str">
        <f>RawTable[[#This Row],[Bank_Account]]</f>
        <v>DE890000000000095053</v>
      </c>
      <c r="G7" s="11" t="str">
        <f>RawTable[[#This Row],[Month]]</f>
        <v>Jan-2026</v>
      </c>
      <c r="H7" s="11" t="str">
        <f>RawTable[[#This Row],[Currency]]</f>
        <v>EUR</v>
      </c>
      <c r="I7" s="4">
        <f>RawTable[[#This Row],[Net_Amount]]</f>
        <v>5775</v>
      </c>
      <c r="J7" s="2" t="str">
        <f>RawTable[[#This Row],[VAT_Applicable]]</f>
        <v>No</v>
      </c>
      <c r="K7" s="4">
        <f>RawTable[[#This Row],[VAT_Rate]]</f>
        <v>0</v>
      </c>
      <c r="L7" s="4">
        <f>RawTable[[#This Row],[VAT_Amount]]</f>
        <v>0</v>
      </c>
      <c r="M7" s="4">
        <f>RawTable[[#This Row],[Gross_Amount]]</f>
        <v>5775</v>
      </c>
      <c r="N7" s="4">
        <f>RawTable[[#This Row],[Exchange_Rate]]</f>
        <v>0.90888000000000002</v>
      </c>
      <c r="O7" s="4">
        <f>RawTable[[#This Row],[Amount_CHF]]</f>
        <v>5248.78</v>
      </c>
      <c r="P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7" s="11" t="str">
        <f>IF(ValidationTable[[#This Row],[Currency]]="","Fail","Pass")</f>
        <v>Pass</v>
      </c>
      <c r="S7" s="11" t="str">
        <f>IF(
ValidationTable[[#This Row],[Currency]]="CHF",
IF(ValidationTable[[#This Row],[Exchange_Rate]]&lt;&gt;1,"Fail","Pass"),
IF(ValidationTable[[#This Row],[Exchange_Rate]]&lt;=0,"Fail","Pass")
)</f>
        <v>Pass</v>
      </c>
      <c r="T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7" s="11" t="str">
        <f>IF(LEN(TRIM(ValidationTable[[#This Row],[Bank_Account]]))=0,"Fail","Pass")</f>
        <v>Pass</v>
      </c>
      <c r="V7" s="11" t="str">
        <f>IF(
COUNTIF(ValidationTable[Record_ID],ValidationTable[[#This Row],[Record_ID]])&gt;1,
"Fail",
"Pass"
)</f>
        <v>Pass</v>
      </c>
      <c r="W7" s="11" t="str">
        <f>IF(
COUNTIF(ValidationTable[[#This Row],[RequiredField_Validation]]:ValidationTable[[#This Row],[Duplicate_Validation]],"Fail")&gt;0,
"Fail",
"Pass"
)</f>
        <v>Pass</v>
      </c>
      <c r="X7" s="11" t="str">
        <f>IF(ValidationTable[[#This Row],[Validation_Result]]="Pass","Yes","No")</f>
        <v>Yes</v>
      </c>
    </row>
    <row r="8" spans="1:24">
      <c r="A8" s="11">
        <f>RawTable[[#This Row],[Record_ID]]</f>
        <v>7</v>
      </c>
      <c r="B8" s="11" t="str">
        <f>RawTable[[#This Row],[Payment_Type]]</f>
        <v>Payroll</v>
      </c>
      <c r="C8" s="11" t="str">
        <f>RawTable[[#This Row],[Entity_Type]]</f>
        <v>Employee</v>
      </c>
      <c r="D8" s="11" t="str">
        <f>RawTable[[#This Row],[Country]]</f>
        <v>Jordan</v>
      </c>
      <c r="E8" s="11" t="str">
        <f>RawTable[[#This Row],[Name]]</f>
        <v>Anna Taylor</v>
      </c>
      <c r="F8" s="11" t="str">
        <f>RawTable[[#This Row],[Bank_Account]]</f>
        <v>JO-IBAN-00098760</v>
      </c>
      <c r="G8" s="11" t="str">
        <f>RawTable[[#This Row],[Month]]</f>
        <v>Mar-2026</v>
      </c>
      <c r="H8" s="11" t="str">
        <f>RawTable[[#This Row],[Currency]]</f>
        <v>JOD</v>
      </c>
      <c r="I8" s="4">
        <f>RawTable[[#This Row],[Net_Amount]]</f>
        <v>1837.8</v>
      </c>
      <c r="J8" s="2" t="str">
        <f>RawTable[[#This Row],[VAT_Applicable]]</f>
        <v>No</v>
      </c>
      <c r="K8" s="4">
        <f>RawTable[[#This Row],[VAT_Rate]]</f>
        <v>0</v>
      </c>
      <c r="L8" s="4">
        <f>RawTable[[#This Row],[VAT_Amount]]</f>
        <v>0</v>
      </c>
      <c r="M8" s="4">
        <f>RawTable[[#This Row],[Gross_Amount]]</f>
        <v>1837.8</v>
      </c>
      <c r="N8" s="4">
        <f>RawTable[[#This Row],[Exchange_Rate]]</f>
        <v>1.08643</v>
      </c>
      <c r="O8" s="4">
        <f>RawTable[[#This Row],[Amount_CHF]]</f>
        <v>1996.64</v>
      </c>
      <c r="P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8" s="11" t="str">
        <f>IF(ValidationTable[[#This Row],[Currency]]="","Fail","Pass")</f>
        <v>Pass</v>
      </c>
      <c r="S8" s="11" t="str">
        <f>IF(
ValidationTable[[#This Row],[Currency]]="CHF",
IF(ValidationTable[[#This Row],[Exchange_Rate]]&lt;&gt;1,"Fail","Pass"),
IF(ValidationTable[[#This Row],[Exchange_Rate]]&lt;=0,"Fail","Pass")
)</f>
        <v>Pass</v>
      </c>
      <c r="T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8" s="11" t="str">
        <f>IF(LEN(TRIM(ValidationTable[[#This Row],[Bank_Account]]))=0,"Fail","Pass")</f>
        <v>Pass</v>
      </c>
      <c r="V8" s="11" t="str">
        <f>IF(
COUNTIF(ValidationTable[Record_ID],ValidationTable[[#This Row],[Record_ID]])&gt;1,
"Fail",
"Pass"
)</f>
        <v>Pass</v>
      </c>
      <c r="W8" s="11" t="str">
        <f>IF(
COUNTIF(ValidationTable[[#This Row],[RequiredField_Validation]]:ValidationTable[[#This Row],[Duplicate_Validation]],"Fail")&gt;0,
"Fail",
"Pass"
)</f>
        <v>Pass</v>
      </c>
      <c r="X8" s="11" t="str">
        <f>IF(ValidationTable[[#This Row],[Validation_Result]]="Pass","Yes","No")</f>
        <v>Yes</v>
      </c>
    </row>
    <row r="9" spans="1:24">
      <c r="A9" s="11">
        <f>RawTable[[#This Row],[Record_ID]]</f>
        <v>8</v>
      </c>
      <c r="B9" s="11" t="str">
        <f>RawTable[[#This Row],[Payment_Type]]</f>
        <v>Payroll</v>
      </c>
      <c r="C9" s="11" t="str">
        <f>RawTable[[#This Row],[Entity_Type]]</f>
        <v>Employee</v>
      </c>
      <c r="D9" s="11" t="str">
        <f>RawTable[[#This Row],[Country]]</f>
        <v>Germany</v>
      </c>
      <c r="E9" s="11" t="str">
        <f>RawTable[[#This Row],[Name]]</f>
        <v>David Khan</v>
      </c>
      <c r="F9" s="11" t="str">
        <f>RawTable[[#This Row],[Bank_Account]]</f>
        <v>DE890000000000122211</v>
      </c>
      <c r="G9" s="11" t="str">
        <f>RawTable[[#This Row],[Month]]</f>
        <v>Mar-2026</v>
      </c>
      <c r="H9" s="11" t="str">
        <f>RawTable[[#This Row],[Currency]]</f>
        <v>EUR</v>
      </c>
      <c r="I9" s="4">
        <f>RawTable[[#This Row],[Net_Amount]]</f>
        <v>6138.6</v>
      </c>
      <c r="J9" s="2" t="str">
        <f>RawTable[[#This Row],[VAT_Applicable]]</f>
        <v>No</v>
      </c>
      <c r="K9" s="4">
        <f>RawTable[[#This Row],[VAT_Rate]]</f>
        <v>0</v>
      </c>
      <c r="L9" s="4">
        <f>RawTable[[#This Row],[VAT_Amount]]</f>
        <v>0</v>
      </c>
      <c r="M9" s="4">
        <f>RawTable[[#This Row],[Gross_Amount]]</f>
        <v>6138.6</v>
      </c>
      <c r="N9" s="4">
        <f>RawTable[[#This Row],[Exchange_Rate]]</f>
        <v>0.90888000000000002</v>
      </c>
      <c r="O9" s="4">
        <f>RawTable[[#This Row],[Amount_CHF]]</f>
        <v>5579.25</v>
      </c>
      <c r="P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9" s="11" t="str">
        <f>IF(ValidationTable[[#This Row],[Currency]]="","Fail","Pass")</f>
        <v>Pass</v>
      </c>
      <c r="S9" s="11" t="str">
        <f>IF(
ValidationTable[[#This Row],[Currency]]="CHF",
IF(ValidationTable[[#This Row],[Exchange_Rate]]&lt;&gt;1,"Fail","Pass"),
IF(ValidationTable[[#This Row],[Exchange_Rate]]&lt;=0,"Fail","Pass")
)</f>
        <v>Pass</v>
      </c>
      <c r="T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9" s="11" t="str">
        <f>IF(LEN(TRIM(ValidationTable[[#This Row],[Bank_Account]]))=0,"Fail","Pass")</f>
        <v>Pass</v>
      </c>
      <c r="V9" s="11" t="str">
        <f>IF(
COUNTIF(ValidationTable[Record_ID],ValidationTable[[#This Row],[Record_ID]])&gt;1,
"Fail",
"Pass"
)</f>
        <v>Pass</v>
      </c>
      <c r="W9" s="11" t="str">
        <f>IF(
COUNTIF(ValidationTable[[#This Row],[RequiredField_Validation]]:ValidationTable[[#This Row],[Duplicate_Validation]],"Fail")&gt;0,
"Fail",
"Pass"
)</f>
        <v>Pass</v>
      </c>
      <c r="X9" s="11" t="str">
        <f>IF(ValidationTable[[#This Row],[Validation_Result]]="Pass","Yes","No")</f>
        <v>Yes</v>
      </c>
    </row>
    <row r="10" spans="1:24">
      <c r="A10" s="11">
        <f>RawTable[[#This Row],[Record_ID]]</f>
        <v>9</v>
      </c>
      <c r="B10" s="11" t="str">
        <f>RawTable[[#This Row],[Payment_Type]]</f>
        <v>Payroll</v>
      </c>
      <c r="C10" s="11" t="str">
        <f>RawTable[[#This Row],[Entity_Type]]</f>
        <v>Employee</v>
      </c>
      <c r="D10" s="11" t="str">
        <f>RawTable[[#This Row],[Country]]</f>
        <v>USA</v>
      </c>
      <c r="E10" s="11" t="str">
        <f>RawTable[[#This Row],[Name]]</f>
        <v>Lina Wilson</v>
      </c>
      <c r="F10" s="11" t="str">
        <f>RawTable[[#This Row],[Bank_Account]]</f>
        <v>US-RT-000012340-AC-0000056780</v>
      </c>
      <c r="G10" s="11" t="str">
        <f>RawTable[[#This Row],[Month]]</f>
        <v>Mar-2026</v>
      </c>
      <c r="H10" s="11" t="str">
        <f>RawTable[[#This Row],[Currency]]</f>
        <v>USD</v>
      </c>
      <c r="I10" s="4">
        <f>RawTable[[#This Row],[Net_Amount]]</f>
        <v>7459.9</v>
      </c>
      <c r="J10" s="2" t="str">
        <f>RawTable[[#This Row],[VAT_Applicable]]</f>
        <v>No</v>
      </c>
      <c r="K10" s="4">
        <f>RawTable[[#This Row],[VAT_Rate]]</f>
        <v>0</v>
      </c>
      <c r="L10" s="4">
        <f>RawTable[[#This Row],[VAT_Amount]]</f>
        <v>0</v>
      </c>
      <c r="M10" s="4">
        <f>RawTable[[#This Row],[Gross_Amount]]</f>
        <v>7459.9</v>
      </c>
      <c r="N10" s="4">
        <f>RawTable[[#This Row],[Exchange_Rate]]</f>
        <v>0.77017999999999998</v>
      </c>
      <c r="O10" s="4">
        <f>RawTable[[#This Row],[Amount_CHF]]</f>
        <v>5745.47</v>
      </c>
      <c r="P1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0" s="11" t="str">
        <f>IF(ValidationTable[[#This Row],[Currency]]="","Fail","Pass")</f>
        <v>Pass</v>
      </c>
      <c r="S10" s="11" t="str">
        <f>IF(
ValidationTable[[#This Row],[Currency]]="CHF",
IF(ValidationTable[[#This Row],[Exchange_Rate]]&lt;&gt;1,"Fail","Pass"),
IF(ValidationTable[[#This Row],[Exchange_Rate]]&lt;=0,"Fail","Pass")
)</f>
        <v>Pass</v>
      </c>
      <c r="T1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0" s="11" t="str">
        <f>IF(LEN(TRIM(ValidationTable[[#This Row],[Bank_Account]]))=0,"Fail","Pass")</f>
        <v>Pass</v>
      </c>
      <c r="V10" s="11" t="str">
        <f>IF(
COUNTIF(ValidationTable[Record_ID],ValidationTable[[#This Row],[Record_ID]])&gt;1,
"Fail",
"Pass"
)</f>
        <v>Pass</v>
      </c>
      <c r="W10" s="11" t="str">
        <f>IF(
COUNTIF(ValidationTable[[#This Row],[RequiredField_Validation]]:ValidationTable[[#This Row],[Duplicate_Validation]],"Fail")&gt;0,
"Fail",
"Pass"
)</f>
        <v>Pass</v>
      </c>
      <c r="X10" s="11" t="str">
        <f>IF(ValidationTable[[#This Row],[Validation_Result]]="Pass","Yes","No")</f>
        <v>Yes</v>
      </c>
    </row>
    <row r="11" spans="1:24">
      <c r="A11" s="11">
        <f>RawTable[[#This Row],[Record_ID]]</f>
        <v>10</v>
      </c>
      <c r="B11" s="11" t="str">
        <f>RawTable[[#This Row],[Payment_Type]]</f>
        <v>Payroll</v>
      </c>
      <c r="C11" s="11" t="str">
        <f>RawTable[[#This Row],[Entity_Type]]</f>
        <v>Employee</v>
      </c>
      <c r="D11" s="11" t="str">
        <f>RawTable[[#This Row],[Country]]</f>
        <v>USA</v>
      </c>
      <c r="E11" s="11" t="str">
        <f>RawTable[[#This Row],[Name]]</f>
        <v>Michael Wilson</v>
      </c>
      <c r="F11" s="11" t="str">
        <f>RawTable[[#This Row],[Bank_Account]]</f>
        <v>US-RT-000013574-AC-0000062458</v>
      </c>
      <c r="G11" s="11" t="str">
        <f>RawTable[[#This Row],[Month]]</f>
        <v>Mar-2026</v>
      </c>
      <c r="H11" s="11" t="str">
        <f>RawTable[[#This Row],[Currency]]</f>
        <v>USD</v>
      </c>
      <c r="I11" s="4">
        <f>RawTable[[#This Row],[Net_Amount]]</f>
        <v>7142.8</v>
      </c>
      <c r="J11" s="2" t="str">
        <f>RawTable[[#This Row],[VAT_Applicable]]</f>
        <v>No</v>
      </c>
      <c r="K11" s="4">
        <f>RawTable[[#This Row],[VAT_Rate]]</f>
        <v>0</v>
      </c>
      <c r="L11" s="4">
        <f>RawTable[[#This Row],[VAT_Amount]]</f>
        <v>0</v>
      </c>
      <c r="M11" s="4">
        <f>RawTable[[#This Row],[Gross_Amount]]</f>
        <v>7142.8</v>
      </c>
      <c r="N11" s="4">
        <f>RawTable[[#This Row],[Exchange_Rate]]</f>
        <v>0.77017999999999998</v>
      </c>
      <c r="O11" s="4">
        <f>RawTable[[#This Row],[Amount_CHF]]</f>
        <v>5501.24</v>
      </c>
      <c r="P1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1" s="11" t="str">
        <f>IF(ValidationTable[[#This Row],[Currency]]="","Fail","Pass")</f>
        <v>Pass</v>
      </c>
      <c r="S11" s="11" t="str">
        <f>IF(
ValidationTable[[#This Row],[Currency]]="CHF",
IF(ValidationTable[[#This Row],[Exchange_Rate]]&lt;&gt;1,"Fail","Pass"),
IF(ValidationTable[[#This Row],[Exchange_Rate]]&lt;=0,"Fail","Pass")
)</f>
        <v>Pass</v>
      </c>
      <c r="T1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1" s="11" t="str">
        <f>IF(LEN(TRIM(ValidationTable[[#This Row],[Bank_Account]]))=0,"Fail","Pass")</f>
        <v>Pass</v>
      </c>
      <c r="V11" s="11" t="str">
        <f>IF(
COUNTIF(ValidationTable[Record_ID],ValidationTable[[#This Row],[Record_ID]])&gt;1,
"Fail",
"Pass"
)</f>
        <v>Pass</v>
      </c>
      <c r="W11" s="11" t="str">
        <f>IF(
COUNTIF(ValidationTable[[#This Row],[RequiredField_Validation]]:ValidationTable[[#This Row],[Duplicate_Validation]],"Fail")&gt;0,
"Fail",
"Pass"
)</f>
        <v>Pass</v>
      </c>
      <c r="X11" s="11" t="str">
        <f>IF(ValidationTable[[#This Row],[Validation_Result]]="Pass","Yes","No")</f>
        <v>Yes</v>
      </c>
    </row>
    <row r="12" spans="1:24">
      <c r="A12" s="11">
        <f>RawTable[[#This Row],[Record_ID]]</f>
        <v>11</v>
      </c>
      <c r="B12" s="11" t="str">
        <f>RawTable[[#This Row],[Payment_Type]]</f>
        <v>Payroll</v>
      </c>
      <c r="C12" s="11" t="str">
        <f>RawTable[[#This Row],[Entity_Type]]</f>
        <v>Employee</v>
      </c>
      <c r="D12" s="11" t="str">
        <f>RawTable[[#This Row],[Country]]</f>
        <v>Jordan</v>
      </c>
      <c r="E12" s="11" t="str">
        <f>RawTable[[#This Row],[Name]]</f>
        <v>David Smith</v>
      </c>
      <c r="F12" s="11" t="str">
        <f>RawTable[[#This Row],[Bank_Account]]</f>
        <v>JO-IBAN-00148140</v>
      </c>
      <c r="G12" s="11" t="str">
        <f>RawTable[[#This Row],[Month]]</f>
        <v>Feb-2026</v>
      </c>
      <c r="H12" s="11" t="str">
        <f>RawTable[[#This Row],[Currency]]</f>
        <v>JOD</v>
      </c>
      <c r="I12" s="4">
        <f>RawTable[[#This Row],[Net_Amount]]</f>
        <v>1971.72</v>
      </c>
      <c r="J12" s="2" t="str">
        <f>RawTable[[#This Row],[VAT_Applicable]]</f>
        <v>No</v>
      </c>
      <c r="K12" s="4">
        <f>RawTable[[#This Row],[VAT_Rate]]</f>
        <v>0</v>
      </c>
      <c r="L12" s="4">
        <f>RawTable[[#This Row],[VAT_Amount]]</f>
        <v>0</v>
      </c>
      <c r="M12" s="4">
        <f>RawTable[[#This Row],[Gross_Amount]]</f>
        <v>1971.72</v>
      </c>
      <c r="N12" s="4">
        <f>RawTable[[#This Row],[Exchange_Rate]]</f>
        <v>1.08643</v>
      </c>
      <c r="O12" s="4">
        <f>RawTable[[#This Row],[Amount_CHF]]</f>
        <v>2142.14</v>
      </c>
      <c r="P1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2" s="11" t="str">
        <f>IF(ValidationTable[[#This Row],[Currency]]="","Fail","Pass")</f>
        <v>Pass</v>
      </c>
      <c r="S12" s="11" t="str">
        <f>IF(
ValidationTable[[#This Row],[Currency]]="CHF",
IF(ValidationTable[[#This Row],[Exchange_Rate]]&lt;&gt;1,"Fail","Pass"),
IF(ValidationTable[[#This Row],[Exchange_Rate]]&lt;=0,"Fail","Pass")
)</f>
        <v>Pass</v>
      </c>
      <c r="T1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2" s="11" t="str">
        <f>IF(LEN(TRIM(ValidationTable[[#This Row],[Bank_Account]]))=0,"Fail","Pass")</f>
        <v>Pass</v>
      </c>
      <c r="V12" s="11" t="str">
        <f>IF(
COUNTIF(ValidationTable[Record_ID],ValidationTable[[#This Row],[Record_ID]])&gt;1,
"Fail",
"Pass"
)</f>
        <v>Pass</v>
      </c>
      <c r="W12" s="11" t="str">
        <f>IF(
COUNTIF(ValidationTable[[#This Row],[RequiredField_Validation]]:ValidationTable[[#This Row],[Duplicate_Validation]],"Fail")&gt;0,
"Fail",
"Pass"
)</f>
        <v>Pass</v>
      </c>
      <c r="X12" s="11" t="str">
        <f>IF(ValidationTable[[#This Row],[Validation_Result]]="Pass","Yes","No")</f>
        <v>Yes</v>
      </c>
    </row>
    <row r="13" spans="1:24">
      <c r="A13" s="11">
        <f>RawTable[[#This Row],[Record_ID]]</f>
        <v>12</v>
      </c>
      <c r="B13" s="11" t="str">
        <f>RawTable[[#This Row],[Payment_Type]]</f>
        <v>Payroll</v>
      </c>
      <c r="C13" s="11" t="str">
        <f>RawTable[[#This Row],[Entity_Type]]</f>
        <v>Employee</v>
      </c>
      <c r="D13" s="11" t="str">
        <f>RawTable[[#This Row],[Country]]</f>
        <v>USA</v>
      </c>
      <c r="E13" s="11" t="str">
        <f>RawTable[[#This Row],[Name]]</f>
        <v>Michael Wilson</v>
      </c>
      <c r="F13" s="11" t="str">
        <f>RawTable[[#This Row],[Bank_Account]]</f>
        <v>US-RT-000013574-AC-0000062458</v>
      </c>
      <c r="G13" s="11" t="str">
        <f>RawTable[[#This Row],[Month]]</f>
        <v>Jan-2026</v>
      </c>
      <c r="H13" s="11" t="str">
        <f>RawTable[[#This Row],[Currency]]</f>
        <v>USD</v>
      </c>
      <c r="I13" s="4">
        <f>RawTable[[#This Row],[Net_Amount]]</f>
        <v>7249.94</v>
      </c>
      <c r="J13" s="2" t="str">
        <f>RawTable[[#This Row],[VAT_Applicable]]</f>
        <v>No</v>
      </c>
      <c r="K13" s="4">
        <f>RawTable[[#This Row],[VAT_Rate]]</f>
        <v>0</v>
      </c>
      <c r="L13" s="4">
        <f>RawTable[[#This Row],[VAT_Amount]]</f>
        <v>0</v>
      </c>
      <c r="M13" s="4">
        <f>RawTable[[#This Row],[Gross_Amount]]</f>
        <v>7249.94</v>
      </c>
      <c r="N13" s="4">
        <f>RawTable[[#This Row],[Exchange_Rate]]</f>
        <v>0.77017999999999998</v>
      </c>
      <c r="O13" s="4">
        <f>RawTable[[#This Row],[Amount_CHF]]</f>
        <v>5583.76</v>
      </c>
      <c r="P1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3" s="11" t="str">
        <f>IF(ValidationTable[[#This Row],[Currency]]="","Fail","Pass")</f>
        <v>Pass</v>
      </c>
      <c r="S13" s="11" t="str">
        <f>IF(
ValidationTable[[#This Row],[Currency]]="CHF",
IF(ValidationTable[[#This Row],[Exchange_Rate]]&lt;&gt;1,"Fail","Pass"),
IF(ValidationTable[[#This Row],[Exchange_Rate]]&lt;=0,"Fail","Pass")
)</f>
        <v>Pass</v>
      </c>
      <c r="T1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3" s="11" t="str">
        <f>IF(LEN(TRIM(ValidationTable[[#This Row],[Bank_Account]]))=0,"Fail","Pass")</f>
        <v>Pass</v>
      </c>
      <c r="V13" s="11" t="str">
        <f>IF(
COUNTIF(ValidationTable[Record_ID],ValidationTable[[#This Row],[Record_ID]])&gt;1,
"Fail",
"Pass"
)</f>
        <v>Pass</v>
      </c>
      <c r="W13" s="11" t="str">
        <f>IF(
COUNTIF(ValidationTable[[#This Row],[RequiredField_Validation]]:ValidationTable[[#This Row],[Duplicate_Validation]],"Fail")&gt;0,
"Fail",
"Pass"
)</f>
        <v>Pass</v>
      </c>
      <c r="X13" s="11" t="str">
        <f>IF(ValidationTable[[#This Row],[Validation_Result]]="Pass","Yes","No")</f>
        <v>Yes</v>
      </c>
    </row>
    <row r="14" spans="1:24">
      <c r="A14" s="11">
        <f>RawTable[[#This Row],[Record_ID]]</f>
        <v>13</v>
      </c>
      <c r="B14" s="11" t="str">
        <f>RawTable[[#This Row],[Payment_Type]]</f>
        <v>Payroll</v>
      </c>
      <c r="C14" s="11" t="str">
        <f>RawTable[[#This Row],[Entity_Type]]</f>
        <v>Employee</v>
      </c>
      <c r="D14" s="11" t="str">
        <f>RawTable[[#This Row],[Country]]</f>
        <v>Switzerland</v>
      </c>
      <c r="E14" s="11" t="str">
        <f>RawTable[[#This Row],[Name]]</f>
        <v>Julia Smith</v>
      </c>
      <c r="F14" s="11" t="str">
        <f>RawTable[[#This Row],[Bank_Account]]</f>
        <v>CH930000000000320840</v>
      </c>
      <c r="G14" s="11" t="str">
        <f>RawTable[[#This Row],[Month]]</f>
        <v>Jan-2026</v>
      </c>
      <c r="H14" s="11" t="str">
        <f>RawTable[[#This Row],[Currency]]</f>
        <v>CHF</v>
      </c>
      <c r="I14" s="4">
        <f>RawTable[[#This Row],[Net_Amount]]</f>
        <v>6364.8</v>
      </c>
      <c r="J14" s="2" t="str">
        <f>RawTable[[#This Row],[VAT_Applicable]]</f>
        <v>No</v>
      </c>
      <c r="K14" s="4">
        <f>RawTable[[#This Row],[VAT_Rate]]</f>
        <v>0</v>
      </c>
      <c r="L14" s="4">
        <f>RawTable[[#This Row],[VAT_Amount]]</f>
        <v>0</v>
      </c>
      <c r="M14" s="4">
        <f>RawTable[[#This Row],[Gross_Amount]]</f>
        <v>6364.8</v>
      </c>
      <c r="N14" s="4">
        <f>RawTable[[#This Row],[Exchange_Rate]]</f>
        <v>1</v>
      </c>
      <c r="O14" s="4">
        <f>RawTable[[#This Row],[Amount_CHF]]</f>
        <v>6364.8</v>
      </c>
      <c r="P1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4" s="11" t="str">
        <f>IF(ValidationTable[[#This Row],[Currency]]="","Fail","Pass")</f>
        <v>Pass</v>
      </c>
      <c r="S14" s="11" t="str">
        <f>IF(
ValidationTable[[#This Row],[Currency]]="CHF",
IF(ValidationTable[[#This Row],[Exchange_Rate]]&lt;&gt;1,"Fail","Pass"),
IF(ValidationTable[[#This Row],[Exchange_Rate]]&lt;=0,"Fail","Pass")
)</f>
        <v>Pass</v>
      </c>
      <c r="T1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4" s="11" t="str">
        <f>IF(LEN(TRIM(ValidationTable[[#This Row],[Bank_Account]]))=0,"Fail","Pass")</f>
        <v>Pass</v>
      </c>
      <c r="V14" s="11" t="str">
        <f>IF(
COUNTIF(ValidationTable[Record_ID],ValidationTable[[#This Row],[Record_ID]])&gt;1,
"Fail",
"Pass"
)</f>
        <v>Pass</v>
      </c>
      <c r="W14" s="11" t="str">
        <f>IF(
COUNTIF(ValidationTable[[#This Row],[RequiredField_Validation]]:ValidationTable[[#This Row],[Duplicate_Validation]],"Fail")&gt;0,
"Fail",
"Pass"
)</f>
        <v>Pass</v>
      </c>
      <c r="X14" s="11" t="str">
        <f>IF(ValidationTable[[#This Row],[Validation_Result]]="Pass","Yes","No")</f>
        <v>Yes</v>
      </c>
    </row>
    <row r="15" spans="1:24">
      <c r="A15" s="11">
        <f>RawTable[[#This Row],[Record_ID]]</f>
        <v>14</v>
      </c>
      <c r="B15" s="11" t="str">
        <f>RawTable[[#This Row],[Payment_Type]]</f>
        <v>Payroll</v>
      </c>
      <c r="C15" s="11" t="str">
        <f>RawTable[[#This Row],[Entity_Type]]</f>
        <v>Employee</v>
      </c>
      <c r="D15" s="11" t="str">
        <f>RawTable[[#This Row],[Country]]</f>
        <v>Germany</v>
      </c>
      <c r="E15" s="11" t="str">
        <f>RawTable[[#This Row],[Name]]</f>
        <v>Anna Schmidt</v>
      </c>
      <c r="F15" s="11" t="str">
        <f>RawTable[[#This Row],[Bank_Account]]</f>
        <v>DE890000000000190106</v>
      </c>
      <c r="G15" s="11" t="str">
        <f>RawTable[[#This Row],[Month]]</f>
        <v>Mar-2026</v>
      </c>
      <c r="H15" s="11" t="str">
        <f>RawTable[[#This Row],[Currency]]</f>
        <v>EUR</v>
      </c>
      <c r="I15" s="4">
        <f>RawTable[[#This Row],[Net_Amount]]</f>
        <v>6234</v>
      </c>
      <c r="J15" s="2" t="str">
        <f>RawTable[[#This Row],[VAT_Applicable]]</f>
        <v>No</v>
      </c>
      <c r="K15" s="4">
        <f>RawTable[[#This Row],[VAT_Rate]]</f>
        <v>0</v>
      </c>
      <c r="L15" s="4">
        <f>RawTable[[#This Row],[VAT_Amount]]</f>
        <v>0</v>
      </c>
      <c r="M15" s="4">
        <f>RawTable[[#This Row],[Gross_Amount]]</f>
        <v>6234</v>
      </c>
      <c r="N15" s="4">
        <f>RawTable[[#This Row],[Exchange_Rate]]</f>
        <v>0.90888000000000002</v>
      </c>
      <c r="O15" s="4">
        <f>RawTable[[#This Row],[Amount_CHF]]</f>
        <v>5665.96</v>
      </c>
      <c r="P1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5" s="11" t="str">
        <f>IF(ValidationTable[[#This Row],[Currency]]="","Fail","Pass")</f>
        <v>Pass</v>
      </c>
      <c r="S15" s="11" t="str">
        <f>IF(
ValidationTable[[#This Row],[Currency]]="CHF",
IF(ValidationTable[[#This Row],[Exchange_Rate]]&lt;&gt;1,"Fail","Pass"),
IF(ValidationTable[[#This Row],[Exchange_Rate]]&lt;=0,"Fail","Pass")
)</f>
        <v>Pass</v>
      </c>
      <c r="T1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5" s="11" t="str">
        <f>IF(LEN(TRIM(ValidationTable[[#This Row],[Bank_Account]]))=0,"Fail","Pass")</f>
        <v>Pass</v>
      </c>
      <c r="V15" s="11" t="str">
        <f>IF(
COUNTIF(ValidationTable[Record_ID],ValidationTable[[#This Row],[Record_ID]])&gt;1,
"Fail",
"Pass"
)</f>
        <v>Pass</v>
      </c>
      <c r="W15" s="11" t="str">
        <f>IF(
COUNTIF(ValidationTable[[#This Row],[RequiredField_Validation]]:ValidationTable[[#This Row],[Duplicate_Validation]],"Fail")&gt;0,
"Fail",
"Pass"
)</f>
        <v>Pass</v>
      </c>
      <c r="X15" s="11" t="str">
        <f>IF(ValidationTable[[#This Row],[Validation_Result]]="Pass","Yes","No")</f>
        <v>Yes</v>
      </c>
    </row>
    <row r="16" spans="1:24">
      <c r="A16" s="11">
        <f>RawTable[[#This Row],[Record_ID]]</f>
        <v>15</v>
      </c>
      <c r="B16" s="11" t="str">
        <f>RawTable[[#This Row],[Payment_Type]]</f>
        <v>Payroll</v>
      </c>
      <c r="C16" s="11" t="str">
        <f>RawTable[[#This Row],[Entity_Type]]</f>
        <v>Employee</v>
      </c>
      <c r="D16" s="11" t="str">
        <f>RawTable[[#This Row],[Country]]</f>
        <v>Germany</v>
      </c>
      <c r="E16" s="11" t="str">
        <f>RawTable[[#This Row],[Name]]</f>
        <v>Omar Brown</v>
      </c>
      <c r="F16" s="11" t="str">
        <f>RawTable[[#This Row],[Bank_Account]]</f>
        <v>DE890000000000203685</v>
      </c>
      <c r="G16" s="11" t="str">
        <f>RawTable[[#This Row],[Month]]</f>
        <v>Mar-2026</v>
      </c>
      <c r="H16" s="11" t="str">
        <f>RawTable[[#This Row],[Currency]]</f>
        <v>EUR</v>
      </c>
      <c r="I16" s="4">
        <f>RawTable[[#This Row],[Net_Amount]]</f>
        <v>6423</v>
      </c>
      <c r="J16" s="2" t="str">
        <f>RawTable[[#This Row],[VAT_Applicable]]</f>
        <v>No</v>
      </c>
      <c r="K16" s="4">
        <f>RawTable[[#This Row],[VAT_Rate]]</f>
        <v>0</v>
      </c>
      <c r="L16" s="4">
        <f>RawTable[[#This Row],[VAT_Amount]]</f>
        <v>0</v>
      </c>
      <c r="M16" s="4">
        <f>RawTable[[#This Row],[Gross_Amount]]</f>
        <v>6423</v>
      </c>
      <c r="N16" s="4">
        <f>RawTable[[#This Row],[Exchange_Rate]]</f>
        <v>0.90888000000000002</v>
      </c>
      <c r="O16" s="4">
        <f>RawTable[[#This Row],[Amount_CHF]]</f>
        <v>5837.74</v>
      </c>
      <c r="P1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6" s="11" t="str">
        <f>IF(ValidationTable[[#This Row],[Currency]]="","Fail","Pass")</f>
        <v>Pass</v>
      </c>
      <c r="S16" s="11" t="str">
        <f>IF(
ValidationTable[[#This Row],[Currency]]="CHF",
IF(ValidationTable[[#This Row],[Exchange_Rate]]&lt;&gt;1,"Fail","Pass"),
IF(ValidationTable[[#This Row],[Exchange_Rate]]&lt;=0,"Fail","Pass")
)</f>
        <v>Pass</v>
      </c>
      <c r="T1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6" s="11" t="str">
        <f>IF(LEN(TRIM(ValidationTable[[#This Row],[Bank_Account]]))=0,"Fail","Pass")</f>
        <v>Pass</v>
      </c>
      <c r="V16" s="11" t="str">
        <f>IF(
COUNTIF(ValidationTable[Record_ID],ValidationTable[[#This Row],[Record_ID]])&gt;1,
"Fail",
"Pass"
)</f>
        <v>Pass</v>
      </c>
      <c r="W16" s="11" t="str">
        <f>IF(
COUNTIF(ValidationTable[[#This Row],[RequiredField_Validation]]:ValidationTable[[#This Row],[Duplicate_Validation]],"Fail")&gt;0,
"Fail",
"Pass"
)</f>
        <v>Pass</v>
      </c>
      <c r="X16" s="11" t="str">
        <f>IF(ValidationTable[[#This Row],[Validation_Result]]="Pass","Yes","No")</f>
        <v>Yes</v>
      </c>
    </row>
    <row r="17" spans="1:24">
      <c r="A17" s="11">
        <f>RawTable[[#This Row],[Record_ID]]</f>
        <v>16</v>
      </c>
      <c r="B17" s="11" t="str">
        <f>RawTable[[#This Row],[Payment_Type]]</f>
        <v>Payroll</v>
      </c>
      <c r="C17" s="11" t="str">
        <f>RawTable[[#This Row],[Entity_Type]]</f>
        <v>Employee</v>
      </c>
      <c r="D17" s="11" t="str">
        <f>RawTable[[#This Row],[Country]]</f>
        <v>UAE</v>
      </c>
      <c r="E17" s="11" t="str">
        <f>RawTable[[#This Row],[Name]]</f>
        <v>Omar Schmidt</v>
      </c>
      <c r="F17" s="11" t="str">
        <f>RawTable[[#This Row],[Bank_Account]]</f>
        <v>AE-IBAN-00869136</v>
      </c>
      <c r="G17" s="11" t="str">
        <f>RawTable[[#This Row],[Month]]</f>
        <v>Jan-2026</v>
      </c>
      <c r="H17" s="11" t="str">
        <f>RawTable[[#This Row],[Currency]]</f>
        <v>AED</v>
      </c>
      <c r="I17" s="4">
        <f>RawTable[[#This Row],[Net_Amount]]</f>
        <v>23839.200000000001</v>
      </c>
      <c r="J17" s="2" t="str">
        <f>RawTable[[#This Row],[VAT_Applicable]]</f>
        <v>No</v>
      </c>
      <c r="K17" s="4">
        <f>RawTable[[#This Row],[VAT_Rate]]</f>
        <v>0</v>
      </c>
      <c r="L17" s="4">
        <f>RawTable[[#This Row],[VAT_Amount]]</f>
        <v>0</v>
      </c>
      <c r="M17" s="4">
        <f>RawTable[[#This Row],[Gross_Amount]]</f>
        <v>23839.200000000001</v>
      </c>
      <c r="N17" s="4">
        <f>RawTable[[#This Row],[Exchange_Rate]]</f>
        <v>0.21065</v>
      </c>
      <c r="O17" s="4">
        <f>RawTable[[#This Row],[Amount_CHF]]</f>
        <v>5021.7299999999996</v>
      </c>
      <c r="P1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7" s="11" t="str">
        <f>IF(ValidationTable[[#This Row],[Currency]]="","Fail","Pass")</f>
        <v>Pass</v>
      </c>
      <c r="S17" s="11" t="str">
        <f>IF(
ValidationTable[[#This Row],[Currency]]="CHF",
IF(ValidationTable[[#This Row],[Exchange_Rate]]&lt;&gt;1,"Fail","Pass"),
IF(ValidationTable[[#This Row],[Exchange_Rate]]&lt;=0,"Fail","Pass")
)</f>
        <v>Pass</v>
      </c>
      <c r="T1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7" s="11" t="str">
        <f>IF(LEN(TRIM(ValidationTable[[#This Row],[Bank_Account]]))=0,"Fail","Pass")</f>
        <v>Pass</v>
      </c>
      <c r="V17" s="11" t="str">
        <f>IF(
COUNTIF(ValidationTable[Record_ID],ValidationTable[[#This Row],[Record_ID]])&gt;1,
"Fail",
"Pass"
)</f>
        <v>Pass</v>
      </c>
      <c r="W17" s="11" t="str">
        <f>IF(
COUNTIF(ValidationTable[[#This Row],[RequiredField_Validation]]:ValidationTable[[#This Row],[Duplicate_Validation]],"Fail")&gt;0,
"Fail",
"Pass"
)</f>
        <v>Pass</v>
      </c>
      <c r="X17" s="11" t="str">
        <f>IF(ValidationTable[[#This Row],[Validation_Result]]="Pass","Yes","No")</f>
        <v>Yes</v>
      </c>
    </row>
    <row r="18" spans="1:24">
      <c r="A18" s="11">
        <f>RawTable[[#This Row],[Record_ID]]</f>
        <v>17</v>
      </c>
      <c r="B18" s="11" t="str">
        <f>RawTable[[#This Row],[Payment_Type]]</f>
        <v>Payroll</v>
      </c>
      <c r="C18" s="11" t="str">
        <f>RawTable[[#This Row],[Entity_Type]]</f>
        <v>Employee</v>
      </c>
      <c r="D18" s="11" t="str">
        <f>RawTable[[#This Row],[Country]]</f>
        <v>Jordan</v>
      </c>
      <c r="E18" s="11" t="str">
        <f>RawTable[[#This Row],[Name]]</f>
        <v>Ahmed Haddad</v>
      </c>
      <c r="F18" s="11" t="str">
        <f>RawTable[[#This Row],[Bank_Account]]</f>
        <v>JO-IBAN-00209865</v>
      </c>
      <c r="G18" s="11" t="str">
        <f>RawTable[[#This Row],[Month]]</f>
        <v>Feb-2026</v>
      </c>
      <c r="H18" s="11" t="str">
        <f>RawTable[[#This Row],[Currency]]</f>
        <v>JOD</v>
      </c>
      <c r="I18" s="4">
        <f>RawTable[[#This Row],[Net_Amount]]</f>
        <v>1873.8</v>
      </c>
      <c r="J18" s="2" t="str">
        <f>RawTable[[#This Row],[VAT_Applicable]]</f>
        <v>No</v>
      </c>
      <c r="K18" s="4">
        <f>RawTable[[#This Row],[VAT_Rate]]</f>
        <v>0</v>
      </c>
      <c r="L18" s="4">
        <f>RawTable[[#This Row],[VAT_Amount]]</f>
        <v>0</v>
      </c>
      <c r="M18" s="4">
        <f>RawTable[[#This Row],[Gross_Amount]]</f>
        <v>1873.8</v>
      </c>
      <c r="N18" s="4">
        <f>RawTable[[#This Row],[Exchange_Rate]]</f>
        <v>1.08643</v>
      </c>
      <c r="O18" s="4">
        <f>RawTable[[#This Row],[Amount_CHF]]</f>
        <v>2035.75</v>
      </c>
      <c r="P1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8" s="11" t="str">
        <f>IF(ValidationTable[[#This Row],[Currency]]="","Fail","Pass")</f>
        <v>Pass</v>
      </c>
      <c r="S18" s="11" t="str">
        <f>IF(
ValidationTable[[#This Row],[Currency]]="CHF",
IF(ValidationTable[[#This Row],[Exchange_Rate]]&lt;&gt;1,"Fail","Pass"),
IF(ValidationTable[[#This Row],[Exchange_Rate]]&lt;=0,"Fail","Pass")
)</f>
        <v>Pass</v>
      </c>
      <c r="T1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8" s="11" t="str">
        <f>IF(LEN(TRIM(ValidationTable[[#This Row],[Bank_Account]]))=0,"Fail","Pass")</f>
        <v>Pass</v>
      </c>
      <c r="V18" s="11" t="str">
        <f>IF(
COUNTIF(ValidationTable[Record_ID],ValidationTable[[#This Row],[Record_ID]])&gt;1,
"Fail",
"Pass"
)</f>
        <v>Pass</v>
      </c>
      <c r="W18" s="11" t="str">
        <f>IF(
COUNTIF(ValidationTable[[#This Row],[RequiredField_Validation]]:ValidationTable[[#This Row],[Duplicate_Validation]],"Fail")&gt;0,
"Fail",
"Pass"
)</f>
        <v>Pass</v>
      </c>
      <c r="X18" s="11" t="str">
        <f>IF(ValidationTable[[#This Row],[Validation_Result]]="Pass","Yes","No")</f>
        <v>Yes</v>
      </c>
    </row>
    <row r="19" spans="1:24">
      <c r="A19" s="11">
        <f>RawTable[[#This Row],[Record_ID]]</f>
        <v>18</v>
      </c>
      <c r="B19" s="11" t="str">
        <f>RawTable[[#This Row],[Payment_Type]]</f>
        <v>Payroll</v>
      </c>
      <c r="C19" s="11" t="str">
        <f>RawTable[[#This Row],[Entity_Type]]</f>
        <v>Employee</v>
      </c>
      <c r="D19" s="11" t="str">
        <f>RawTable[[#This Row],[Country]]</f>
        <v>Switzerland</v>
      </c>
      <c r="E19" s="11" t="str">
        <f>RawTable[[#This Row],[Name]]</f>
        <v>Omar Haddad</v>
      </c>
      <c r="F19" s="11" t="str">
        <f>RawTable[[#This Row],[Bank_Account]]</f>
        <v>CH930000000000444240</v>
      </c>
      <c r="G19" s="11" t="str">
        <f>RawTable[[#This Row],[Month]]</f>
        <v>Jan-2026</v>
      </c>
      <c r="H19" s="11" t="str">
        <f>RawTable[[#This Row],[Currency]]</f>
        <v>CHF</v>
      </c>
      <c r="I19" s="4">
        <f>RawTable[[#This Row],[Net_Amount]]</f>
        <v>6985.55</v>
      </c>
      <c r="J19" s="2" t="str">
        <f>RawTable[[#This Row],[VAT_Applicable]]</f>
        <v>No</v>
      </c>
      <c r="K19" s="4">
        <f>RawTable[[#This Row],[VAT_Rate]]</f>
        <v>0</v>
      </c>
      <c r="L19" s="4">
        <f>RawTable[[#This Row],[VAT_Amount]]</f>
        <v>0</v>
      </c>
      <c r="M19" s="4">
        <f>RawTable[[#This Row],[Gross_Amount]]</f>
        <v>6985.55</v>
      </c>
      <c r="N19" s="4">
        <f>RawTable[[#This Row],[Exchange_Rate]]</f>
        <v>1</v>
      </c>
      <c r="O19" s="4">
        <f>RawTable[[#This Row],[Amount_CHF]]</f>
        <v>6985.55</v>
      </c>
      <c r="P1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9" s="11" t="str">
        <f>IF(ValidationTable[[#This Row],[Currency]]="","Fail","Pass")</f>
        <v>Pass</v>
      </c>
      <c r="S19" s="11" t="str">
        <f>IF(
ValidationTable[[#This Row],[Currency]]="CHF",
IF(ValidationTable[[#This Row],[Exchange_Rate]]&lt;&gt;1,"Fail","Pass"),
IF(ValidationTable[[#This Row],[Exchange_Rate]]&lt;=0,"Fail","Pass")
)</f>
        <v>Pass</v>
      </c>
      <c r="T1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9" s="11" t="str">
        <f>IF(LEN(TRIM(ValidationTable[[#This Row],[Bank_Account]]))=0,"Fail","Pass")</f>
        <v>Pass</v>
      </c>
      <c r="V19" s="11" t="str">
        <f>IF(
COUNTIF(ValidationTable[Record_ID],ValidationTable[[#This Row],[Record_ID]])&gt;1,
"Fail",
"Pass"
)</f>
        <v>Pass</v>
      </c>
      <c r="W19" s="11" t="str">
        <f>IF(
COUNTIF(ValidationTable[[#This Row],[RequiredField_Validation]]:ValidationTable[[#This Row],[Duplicate_Validation]],"Fail")&gt;0,
"Fail",
"Pass"
)</f>
        <v>Pass</v>
      </c>
      <c r="X19" s="11" t="str">
        <f>IF(ValidationTable[[#This Row],[Validation_Result]]="Pass","Yes","No")</f>
        <v>Yes</v>
      </c>
    </row>
    <row r="20" spans="1:24">
      <c r="A20" s="11">
        <f>RawTable[[#This Row],[Record_ID]]</f>
        <v>19</v>
      </c>
      <c r="B20" s="11" t="str">
        <f>RawTable[[#This Row],[Payment_Type]]</f>
        <v>Payroll</v>
      </c>
      <c r="C20" s="11" t="str">
        <f>RawTable[[#This Row],[Entity_Type]]</f>
        <v>Employee</v>
      </c>
      <c r="D20" s="11" t="str">
        <f>RawTable[[#This Row],[Country]]</f>
        <v>UAE</v>
      </c>
      <c r="E20" s="11" t="str">
        <f>RawTable[[#This Row],[Name]]</f>
        <v>Omar Brown</v>
      </c>
      <c r="F20" s="11" t="str">
        <f>RawTable[[#This Row],[Bank_Account]]</f>
        <v>DE890000000000203685</v>
      </c>
      <c r="G20" s="11" t="str">
        <f>RawTable[[#This Row],[Month]]</f>
        <v>Mar-2026</v>
      </c>
      <c r="H20" s="11" t="str">
        <f>RawTable[[#This Row],[Currency]]</f>
        <v>AED</v>
      </c>
      <c r="I20" s="4">
        <f>RawTable[[#This Row],[Net_Amount]]</f>
        <v>23551</v>
      </c>
      <c r="J20" s="2" t="str">
        <f>RawTable[[#This Row],[VAT_Applicable]]</f>
        <v>No</v>
      </c>
      <c r="K20" s="4">
        <f>RawTable[[#This Row],[VAT_Rate]]</f>
        <v>0</v>
      </c>
      <c r="L20" s="4">
        <f>RawTable[[#This Row],[VAT_Amount]]</f>
        <v>0</v>
      </c>
      <c r="M20" s="4">
        <f>RawTable[[#This Row],[Gross_Amount]]</f>
        <v>23551</v>
      </c>
      <c r="N20" s="4">
        <f>RawTable[[#This Row],[Exchange_Rate]]</f>
        <v>0.21065</v>
      </c>
      <c r="O20" s="4">
        <f>RawTable[[#This Row],[Amount_CHF]]</f>
        <v>4961.0200000000004</v>
      </c>
      <c r="P2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0" s="11" t="str">
        <f>IF(ValidationTable[[#This Row],[Currency]]="","Fail","Pass")</f>
        <v>Pass</v>
      </c>
      <c r="S20" s="11" t="str">
        <f>IF(
ValidationTable[[#This Row],[Currency]]="CHF",
IF(ValidationTable[[#This Row],[Exchange_Rate]]&lt;&gt;1,"Fail","Pass"),
IF(ValidationTable[[#This Row],[Exchange_Rate]]&lt;=0,"Fail","Pass")
)</f>
        <v>Pass</v>
      </c>
      <c r="T2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0" s="11" t="str">
        <f>IF(LEN(TRIM(ValidationTable[[#This Row],[Bank_Account]]))=0,"Fail","Pass")</f>
        <v>Pass</v>
      </c>
      <c r="V20" s="11" t="str">
        <f>IF(
COUNTIF(ValidationTable[Record_ID],ValidationTable[[#This Row],[Record_ID]])&gt;1,
"Fail",
"Pass"
)</f>
        <v>Pass</v>
      </c>
      <c r="W20" s="11" t="str">
        <f>IF(
COUNTIF(ValidationTable[[#This Row],[RequiredField_Validation]]:ValidationTable[[#This Row],[Duplicate_Validation]],"Fail")&gt;0,
"Fail",
"Pass"
)</f>
        <v>Pass</v>
      </c>
      <c r="X20" s="11" t="str">
        <f>IF(ValidationTable[[#This Row],[Validation_Result]]="Pass","Yes","No")</f>
        <v>Yes</v>
      </c>
    </row>
    <row r="21" spans="1:24">
      <c r="A21" s="11">
        <f>RawTable[[#This Row],[Record_ID]]</f>
        <v>20</v>
      </c>
      <c r="B21" s="11" t="str">
        <f>RawTable[[#This Row],[Payment_Type]]</f>
        <v>Payroll</v>
      </c>
      <c r="C21" s="11" t="str">
        <f>RawTable[[#This Row],[Entity_Type]]</f>
        <v>Employee</v>
      </c>
      <c r="D21" s="11" t="str">
        <f>RawTable[[#This Row],[Country]]</f>
        <v>Jordan</v>
      </c>
      <c r="E21" s="11" t="str">
        <f>RawTable[[#This Row],[Name]]</f>
        <v>Lina Schmidt</v>
      </c>
      <c r="F21" s="11" t="str">
        <f>RawTable[[#This Row],[Bank_Account]]</f>
        <v>JO-IBAN-00234555</v>
      </c>
      <c r="G21" s="11" t="str">
        <f>RawTable[[#This Row],[Month]]</f>
        <v>Mar-2026</v>
      </c>
      <c r="H21" s="11" t="str">
        <f>RawTable[[#This Row],[Currency]]</f>
        <v>JOD</v>
      </c>
      <c r="I21" s="4">
        <f>RawTable[[#This Row],[Net_Amount]]</f>
        <v>1958.94</v>
      </c>
      <c r="J21" s="2" t="str">
        <f>RawTable[[#This Row],[VAT_Applicable]]</f>
        <v>No</v>
      </c>
      <c r="K21" s="4">
        <f>RawTable[[#This Row],[VAT_Rate]]</f>
        <v>0</v>
      </c>
      <c r="L21" s="4">
        <f>RawTable[[#This Row],[VAT_Amount]]</f>
        <v>0</v>
      </c>
      <c r="M21" s="4">
        <f>RawTable[[#This Row],[Gross_Amount]]</f>
        <v>1958.94</v>
      </c>
      <c r="N21" s="4">
        <f>RawTable[[#This Row],[Exchange_Rate]]</f>
        <v>1.08643</v>
      </c>
      <c r="O21" s="4">
        <f>RawTable[[#This Row],[Amount_CHF]]</f>
        <v>2128.25</v>
      </c>
      <c r="P2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1" s="11" t="str">
        <f>IF(ValidationTable[[#This Row],[Currency]]="","Fail","Pass")</f>
        <v>Pass</v>
      </c>
      <c r="S21" s="11" t="str">
        <f>IF(
ValidationTable[[#This Row],[Currency]]="CHF",
IF(ValidationTable[[#This Row],[Exchange_Rate]]&lt;&gt;1,"Fail","Pass"),
IF(ValidationTable[[#This Row],[Exchange_Rate]]&lt;=0,"Fail","Pass")
)</f>
        <v>Pass</v>
      </c>
      <c r="T2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1" s="11" t="str">
        <f>IF(LEN(TRIM(ValidationTable[[#This Row],[Bank_Account]]))=0,"Fail","Pass")</f>
        <v>Pass</v>
      </c>
      <c r="V21" s="11" t="str">
        <f>IF(
COUNTIF(ValidationTable[Record_ID],ValidationTable[[#This Row],[Record_ID]])&gt;1,
"Fail",
"Pass"
)</f>
        <v>Pass</v>
      </c>
      <c r="W21" s="11" t="str">
        <f>IF(
COUNTIF(ValidationTable[[#This Row],[RequiredField_Validation]]:ValidationTable[[#This Row],[Duplicate_Validation]],"Fail")&gt;0,
"Fail",
"Pass"
)</f>
        <v>Pass</v>
      </c>
      <c r="X21" s="11" t="str">
        <f>IF(ValidationTable[[#This Row],[Validation_Result]]="Pass","Yes","No")</f>
        <v>Yes</v>
      </c>
    </row>
    <row r="22" spans="1:24">
      <c r="A22" s="11">
        <f>RawTable[[#This Row],[Record_ID]]</f>
        <v>21</v>
      </c>
      <c r="B22" s="11" t="str">
        <f>RawTable[[#This Row],[Payment_Type]]</f>
        <v>Payroll</v>
      </c>
      <c r="C22" s="11" t="str">
        <f>RawTable[[#This Row],[Entity_Type]]</f>
        <v>Employee</v>
      </c>
      <c r="D22" s="11" t="str">
        <f>RawTable[[#This Row],[Country]]</f>
        <v>Jordan</v>
      </c>
      <c r="E22" s="11" t="str">
        <f>RawTable[[#This Row],[Name]]</f>
        <v>Ahmed Schmidt</v>
      </c>
      <c r="F22" s="11" t="str">
        <f>RawTable[[#This Row],[Bank_Account]]</f>
        <v>US-RT-000003702-AC-0000017034</v>
      </c>
      <c r="G22" s="11" t="str">
        <f>RawTable[[#This Row],[Month]]</f>
        <v>Jan-2026</v>
      </c>
      <c r="H22" s="11" t="str">
        <f>RawTable[[#This Row],[Currency]]</f>
        <v>JOD</v>
      </c>
      <c r="I22" s="4">
        <f>RawTable[[#This Row],[Net_Amount]]</f>
        <v>1805.94</v>
      </c>
      <c r="J22" s="2" t="str">
        <f>RawTable[[#This Row],[VAT_Applicable]]</f>
        <v>No</v>
      </c>
      <c r="K22" s="4">
        <f>RawTable[[#This Row],[VAT_Rate]]</f>
        <v>0</v>
      </c>
      <c r="L22" s="4">
        <f>RawTable[[#This Row],[VAT_Amount]]</f>
        <v>0</v>
      </c>
      <c r="M22" s="4">
        <f>RawTable[[#This Row],[Gross_Amount]]</f>
        <v>1805.94</v>
      </c>
      <c r="N22" s="4">
        <f>RawTable[[#This Row],[Exchange_Rate]]</f>
        <v>1.08643</v>
      </c>
      <c r="O22" s="4">
        <f>RawTable[[#This Row],[Amount_CHF]]</f>
        <v>1962.03</v>
      </c>
      <c r="P2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2" s="11" t="str">
        <f>IF(ValidationTable[[#This Row],[Currency]]="","Fail","Pass")</f>
        <v>Pass</v>
      </c>
      <c r="S22" s="11" t="str">
        <f>IF(
ValidationTable[[#This Row],[Currency]]="CHF",
IF(ValidationTable[[#This Row],[Exchange_Rate]]&lt;&gt;1,"Fail","Pass"),
IF(ValidationTable[[#This Row],[Exchange_Rate]]&lt;=0,"Fail","Pass")
)</f>
        <v>Pass</v>
      </c>
      <c r="T2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2" s="11" t="str">
        <f>IF(LEN(TRIM(ValidationTable[[#This Row],[Bank_Account]]))=0,"Fail","Pass")</f>
        <v>Pass</v>
      </c>
      <c r="V22" s="11" t="str">
        <f>IF(
COUNTIF(ValidationTable[Record_ID],ValidationTable[[#This Row],[Record_ID]])&gt;1,
"Fail",
"Pass"
)</f>
        <v>Pass</v>
      </c>
      <c r="W22" s="11" t="str">
        <f>IF(
COUNTIF(ValidationTable[[#This Row],[RequiredField_Validation]]:ValidationTable[[#This Row],[Duplicate_Validation]],"Fail")&gt;0,
"Fail",
"Pass"
)</f>
        <v>Pass</v>
      </c>
      <c r="X22" s="11" t="str">
        <f>IF(ValidationTable[[#This Row],[Validation_Result]]="Pass","Yes","No")</f>
        <v>Yes</v>
      </c>
    </row>
    <row r="23" spans="1:24">
      <c r="A23" s="11">
        <f>RawTable[[#This Row],[Record_ID]]</f>
        <v>22</v>
      </c>
      <c r="B23" s="11" t="str">
        <f>RawTable[[#This Row],[Payment_Type]]</f>
        <v>Payroll</v>
      </c>
      <c r="C23" s="11" t="str">
        <f>RawTable[[#This Row],[Entity_Type]]</f>
        <v>Employee</v>
      </c>
      <c r="D23" s="11" t="str">
        <f>RawTable[[#This Row],[Country]]</f>
        <v>USA</v>
      </c>
      <c r="E23" s="11" t="str">
        <f>RawTable[[#This Row],[Name]]</f>
        <v>Michael Taylor</v>
      </c>
      <c r="F23" s="11" t="str">
        <f>RawTable[[#This Row],[Bank_Account]]</f>
        <v>US-RT-000024680-AC-0000113560</v>
      </c>
      <c r="G23" s="11" t="str">
        <f>RawTable[[#This Row],[Month]]</f>
        <v>Jan-2026</v>
      </c>
      <c r="H23" s="11" t="str">
        <f>RawTable[[#This Row],[Currency]]</f>
        <v>USD</v>
      </c>
      <c r="I23" s="4">
        <f>RawTable[[#This Row],[Net_Amount]]</f>
        <v>7464.1</v>
      </c>
      <c r="J23" s="2" t="str">
        <f>RawTable[[#This Row],[VAT_Applicable]]</f>
        <v>No</v>
      </c>
      <c r="K23" s="4">
        <f>RawTable[[#This Row],[VAT_Rate]]</f>
        <v>0</v>
      </c>
      <c r="L23" s="4">
        <f>RawTable[[#This Row],[VAT_Amount]]</f>
        <v>0</v>
      </c>
      <c r="M23" s="4">
        <f>RawTable[[#This Row],[Gross_Amount]]</f>
        <v>7464.1</v>
      </c>
      <c r="N23" s="4">
        <f>RawTable[[#This Row],[Exchange_Rate]]</f>
        <v>0.77017999999999998</v>
      </c>
      <c r="O23" s="4">
        <f>RawTable[[#This Row],[Amount_CHF]]</f>
        <v>5748.7</v>
      </c>
      <c r="P2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3" s="11" t="str">
        <f>IF(ValidationTable[[#This Row],[Currency]]="","Fail","Pass")</f>
        <v>Pass</v>
      </c>
      <c r="S23" s="11" t="str">
        <f>IF(
ValidationTable[[#This Row],[Currency]]="CHF",
IF(ValidationTable[[#This Row],[Exchange_Rate]]&lt;&gt;1,"Fail","Pass"),
IF(ValidationTable[[#This Row],[Exchange_Rate]]&lt;=0,"Fail","Pass")
)</f>
        <v>Pass</v>
      </c>
      <c r="T2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3" s="11" t="str">
        <f>IF(LEN(TRIM(ValidationTable[[#This Row],[Bank_Account]]))=0,"Fail","Pass")</f>
        <v>Pass</v>
      </c>
      <c r="V23" s="11" t="str">
        <f>IF(
COUNTIF(ValidationTable[Record_ID],ValidationTable[[#This Row],[Record_ID]])&gt;1,
"Fail",
"Pass"
)</f>
        <v>Pass</v>
      </c>
      <c r="W23" s="11" t="str">
        <f>IF(
COUNTIF(ValidationTable[[#This Row],[RequiredField_Validation]]:ValidationTable[[#This Row],[Duplicate_Validation]],"Fail")&gt;0,
"Fail",
"Pass"
)</f>
        <v>Pass</v>
      </c>
      <c r="X23" s="11" t="str">
        <f>IF(ValidationTable[[#This Row],[Validation_Result]]="Pass","Yes","No")</f>
        <v>Yes</v>
      </c>
    </row>
    <row r="24" spans="1:24">
      <c r="A24" s="11">
        <f>RawTable[[#This Row],[Record_ID]]</f>
        <v>23</v>
      </c>
      <c r="B24" s="11" t="str">
        <f>RawTable[[#This Row],[Payment_Type]]</f>
        <v>Payroll</v>
      </c>
      <c r="C24" s="11" t="str">
        <f>RawTable[[#This Row],[Entity_Type]]</f>
        <v>Employee</v>
      </c>
      <c r="D24" s="11" t="str">
        <f>RawTable[[#This Row],[Country]]</f>
        <v>Switzerland</v>
      </c>
      <c r="E24" s="11" t="str">
        <f>RawTable[[#This Row],[Name]]</f>
        <v>Julia Brown</v>
      </c>
      <c r="F24" s="11" t="str">
        <f>RawTable[[#This Row],[Bank_Account]]</f>
        <v>CH930000000000518280</v>
      </c>
      <c r="G24" s="11" t="str">
        <f>RawTable[[#This Row],[Month]]</f>
        <v>Mar-2026</v>
      </c>
      <c r="H24" s="11" t="str">
        <f>RawTable[[#This Row],[Currency]]</f>
        <v>CHF</v>
      </c>
      <c r="I24" s="4">
        <f>RawTable[[#This Row],[Net_Amount]]</f>
        <v>6494.8</v>
      </c>
      <c r="J24" s="2" t="str">
        <f>RawTable[[#This Row],[VAT_Applicable]]</f>
        <v>No</v>
      </c>
      <c r="K24" s="4">
        <f>RawTable[[#This Row],[VAT_Rate]]</f>
        <v>0</v>
      </c>
      <c r="L24" s="4">
        <f>RawTable[[#This Row],[VAT_Amount]]</f>
        <v>0</v>
      </c>
      <c r="M24" s="4">
        <f>RawTable[[#This Row],[Gross_Amount]]</f>
        <v>6494.8</v>
      </c>
      <c r="N24" s="4">
        <f>RawTable[[#This Row],[Exchange_Rate]]</f>
        <v>1</v>
      </c>
      <c r="O24" s="4">
        <f>RawTable[[#This Row],[Amount_CHF]]</f>
        <v>6494.8</v>
      </c>
      <c r="P2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4" s="11" t="str">
        <f>IF(ValidationTable[[#This Row],[Currency]]="","Fail","Pass")</f>
        <v>Pass</v>
      </c>
      <c r="S24" s="11" t="str">
        <f>IF(
ValidationTable[[#This Row],[Currency]]="CHF",
IF(ValidationTable[[#This Row],[Exchange_Rate]]&lt;&gt;1,"Fail","Pass"),
IF(ValidationTable[[#This Row],[Exchange_Rate]]&lt;=0,"Fail","Pass")
)</f>
        <v>Pass</v>
      </c>
      <c r="T2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4" s="11" t="str">
        <f>IF(LEN(TRIM(ValidationTable[[#This Row],[Bank_Account]]))=0,"Fail","Pass")</f>
        <v>Pass</v>
      </c>
      <c r="V24" s="11" t="str">
        <f>IF(
COUNTIF(ValidationTable[Record_ID],ValidationTable[[#This Row],[Record_ID]])&gt;1,
"Fail",
"Pass"
)</f>
        <v>Pass</v>
      </c>
      <c r="W24" s="11" t="str">
        <f>IF(
COUNTIF(ValidationTable[[#This Row],[RequiredField_Validation]]:ValidationTable[[#This Row],[Duplicate_Validation]],"Fail")&gt;0,
"Fail",
"Pass"
)</f>
        <v>Pass</v>
      </c>
      <c r="X24" s="11" t="str">
        <f>IF(ValidationTable[[#This Row],[Validation_Result]]="Pass","Yes","No")</f>
        <v>Yes</v>
      </c>
    </row>
    <row r="25" spans="1:24">
      <c r="A25" s="11">
        <f>RawTable[[#This Row],[Record_ID]]</f>
        <v>24</v>
      </c>
      <c r="B25" s="11" t="str">
        <f>RawTable[[#This Row],[Payment_Type]]</f>
        <v>Payroll</v>
      </c>
      <c r="C25" s="11" t="str">
        <f>RawTable[[#This Row],[Entity_Type]]</f>
        <v>Employee</v>
      </c>
      <c r="D25" s="11" t="str">
        <f>RawTable[[#This Row],[Country]]</f>
        <v>Germany</v>
      </c>
      <c r="E25" s="11" t="str">
        <f>RawTable[[#This Row],[Name]]</f>
        <v>Ahmed Khan</v>
      </c>
      <c r="F25" s="11" t="str">
        <f>RawTable[[#This Row],[Bank_Account]]</f>
        <v>DE890000000000298738</v>
      </c>
      <c r="G25" s="11" t="str">
        <f>RawTable[[#This Row],[Month]]</f>
        <v>Feb-2026</v>
      </c>
      <c r="H25" s="11" t="str">
        <f>RawTable[[#This Row],[Currency]]</f>
        <v>EUR</v>
      </c>
      <c r="I25" s="4">
        <f>RawTable[[#This Row],[Net_Amount]]</f>
        <v>6219.6</v>
      </c>
      <c r="J25" s="2" t="str">
        <f>RawTable[[#This Row],[VAT_Applicable]]</f>
        <v>No</v>
      </c>
      <c r="K25" s="4">
        <f>RawTable[[#This Row],[VAT_Rate]]</f>
        <v>0</v>
      </c>
      <c r="L25" s="4">
        <f>RawTable[[#This Row],[VAT_Amount]]</f>
        <v>0</v>
      </c>
      <c r="M25" s="4">
        <f>RawTable[[#This Row],[Gross_Amount]]</f>
        <v>6219.6</v>
      </c>
      <c r="N25" s="4">
        <f>RawTable[[#This Row],[Exchange_Rate]]</f>
        <v>0.90888000000000002</v>
      </c>
      <c r="O25" s="4">
        <f>RawTable[[#This Row],[Amount_CHF]]</f>
        <v>5652.87</v>
      </c>
      <c r="P2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5" s="11" t="str">
        <f>IF(ValidationTable[[#This Row],[Currency]]="","Fail","Pass")</f>
        <v>Pass</v>
      </c>
      <c r="S25" s="11" t="str">
        <f>IF(
ValidationTable[[#This Row],[Currency]]="CHF",
IF(ValidationTable[[#This Row],[Exchange_Rate]]&lt;&gt;1,"Fail","Pass"),
IF(ValidationTable[[#This Row],[Exchange_Rate]]&lt;=0,"Fail","Pass")
)</f>
        <v>Pass</v>
      </c>
      <c r="T2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5" s="11" t="str">
        <f>IF(LEN(TRIM(ValidationTable[[#This Row],[Bank_Account]]))=0,"Fail","Pass")</f>
        <v>Pass</v>
      </c>
      <c r="V25" s="11" t="str">
        <f>IF(
COUNTIF(ValidationTable[Record_ID],ValidationTable[[#This Row],[Record_ID]])&gt;1,
"Fail",
"Pass"
)</f>
        <v>Pass</v>
      </c>
      <c r="W25" s="11" t="str">
        <f>IF(
COUNTIF(ValidationTable[[#This Row],[RequiredField_Validation]]:ValidationTable[[#This Row],[Duplicate_Validation]],"Fail")&gt;0,
"Fail",
"Pass"
)</f>
        <v>Pass</v>
      </c>
      <c r="X25" s="11" t="str">
        <f>IF(ValidationTable[[#This Row],[Validation_Result]]="Pass","Yes","No")</f>
        <v>Yes</v>
      </c>
    </row>
    <row r="26" spans="1:24">
      <c r="A26" s="11">
        <f>RawTable[[#This Row],[Record_ID]]</f>
        <v>25</v>
      </c>
      <c r="B26" s="11" t="str">
        <f>RawTable[[#This Row],[Payment_Type]]</f>
        <v>Payroll</v>
      </c>
      <c r="C26" s="11" t="str">
        <f>RawTable[[#This Row],[Entity_Type]]</f>
        <v>Employee</v>
      </c>
      <c r="D26" s="11" t="str">
        <f>RawTable[[#This Row],[Country]]</f>
        <v>Germany</v>
      </c>
      <c r="E26" s="11" t="str">
        <f>RawTable[[#This Row],[Name]]</f>
        <v>John Ali</v>
      </c>
      <c r="F26" s="11" t="str">
        <f>RawTable[[#This Row],[Bank_Account]]</f>
        <v>DE890000000000312317</v>
      </c>
      <c r="G26" s="11" t="str">
        <f>RawTable[[#This Row],[Month]]</f>
        <v>Mar-2026</v>
      </c>
      <c r="H26" s="11" t="str">
        <f>RawTable[[#This Row],[Currency]]</f>
        <v>EUR</v>
      </c>
      <c r="I26" s="4">
        <f>RawTable[[#This Row],[Net_Amount]]</f>
        <v>5759.4</v>
      </c>
      <c r="J26" s="2" t="str">
        <f>RawTable[[#This Row],[VAT_Applicable]]</f>
        <v>No</v>
      </c>
      <c r="K26" s="4">
        <f>RawTable[[#This Row],[VAT_Rate]]</f>
        <v>0</v>
      </c>
      <c r="L26" s="4">
        <f>RawTable[[#This Row],[VAT_Amount]]</f>
        <v>0</v>
      </c>
      <c r="M26" s="4">
        <f>RawTable[[#This Row],[Gross_Amount]]</f>
        <v>5759.4</v>
      </c>
      <c r="N26" s="4">
        <f>RawTable[[#This Row],[Exchange_Rate]]</f>
        <v>0.90888000000000002</v>
      </c>
      <c r="O26" s="4">
        <f>RawTable[[#This Row],[Amount_CHF]]</f>
        <v>5234.6000000000004</v>
      </c>
      <c r="P2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6" s="11" t="str">
        <f>IF(ValidationTable[[#This Row],[Currency]]="","Fail","Pass")</f>
        <v>Pass</v>
      </c>
      <c r="S26" s="11" t="str">
        <f>IF(
ValidationTable[[#This Row],[Currency]]="CHF",
IF(ValidationTable[[#This Row],[Exchange_Rate]]&lt;&gt;1,"Fail","Pass"),
IF(ValidationTable[[#This Row],[Exchange_Rate]]&lt;=0,"Fail","Pass")
)</f>
        <v>Pass</v>
      </c>
      <c r="T2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6" s="11" t="str">
        <f>IF(LEN(TRIM(ValidationTable[[#This Row],[Bank_Account]]))=0,"Fail","Pass")</f>
        <v>Pass</v>
      </c>
      <c r="V26" s="11" t="str">
        <f>IF(
COUNTIF(ValidationTable[Record_ID],ValidationTable[[#This Row],[Record_ID]])&gt;1,
"Fail",
"Pass"
)</f>
        <v>Pass</v>
      </c>
      <c r="W26" s="11" t="str">
        <f>IF(
COUNTIF(ValidationTable[[#This Row],[RequiredField_Validation]]:ValidationTable[[#This Row],[Duplicate_Validation]],"Fail")&gt;0,
"Fail",
"Pass"
)</f>
        <v>Pass</v>
      </c>
      <c r="X26" s="11" t="str">
        <f>IF(ValidationTable[[#This Row],[Validation_Result]]="Pass","Yes","No")</f>
        <v>Yes</v>
      </c>
    </row>
    <row r="27" spans="1:24">
      <c r="A27" s="11">
        <f>RawTable[[#This Row],[Record_ID]]</f>
        <v>26</v>
      </c>
      <c r="B27" s="11" t="str">
        <f>RawTable[[#This Row],[Payment_Type]]</f>
        <v>Payroll</v>
      </c>
      <c r="C27" s="11" t="str">
        <f>RawTable[[#This Row],[Entity_Type]]</f>
        <v>Employee</v>
      </c>
      <c r="D27" s="11" t="str">
        <f>RawTable[[#This Row],[Country]]</f>
        <v>Switzerland</v>
      </c>
      <c r="E27" s="11" t="str">
        <f>RawTable[[#This Row],[Name]]</f>
        <v>Anna Taylor</v>
      </c>
      <c r="F27" s="11" t="str">
        <f>RawTable[[#This Row],[Bank_Account]]</f>
        <v>JO-IBAN-00098760</v>
      </c>
      <c r="G27" s="11" t="str">
        <f>RawTable[[#This Row],[Month]]</f>
        <v>Mar-2026</v>
      </c>
      <c r="H27" s="11" t="str">
        <f>RawTable[[#This Row],[Currency]]</f>
        <v>CHF</v>
      </c>
      <c r="I27" s="4">
        <f>RawTable[[#This Row],[Net_Amount]]</f>
        <v>6636.5</v>
      </c>
      <c r="J27" s="2" t="str">
        <f>RawTable[[#This Row],[VAT_Applicable]]</f>
        <v>No</v>
      </c>
      <c r="K27" s="4">
        <f>RawTable[[#This Row],[VAT_Rate]]</f>
        <v>0</v>
      </c>
      <c r="L27" s="4">
        <f>RawTable[[#This Row],[VAT_Amount]]</f>
        <v>0</v>
      </c>
      <c r="M27" s="4">
        <f>RawTable[[#This Row],[Gross_Amount]]</f>
        <v>6636.5</v>
      </c>
      <c r="N27" s="4">
        <f>RawTable[[#This Row],[Exchange_Rate]]</f>
        <v>1</v>
      </c>
      <c r="O27" s="4">
        <f>RawTable[[#This Row],[Amount_CHF]]</f>
        <v>6636.5</v>
      </c>
      <c r="P2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7" s="11" t="str">
        <f>IF(ValidationTable[[#This Row],[Currency]]="","Fail","Pass")</f>
        <v>Pass</v>
      </c>
      <c r="S27" s="11" t="str">
        <f>IF(
ValidationTable[[#This Row],[Currency]]="CHF",
IF(ValidationTable[[#This Row],[Exchange_Rate]]&lt;&gt;1,"Fail","Pass"),
IF(ValidationTable[[#This Row],[Exchange_Rate]]&lt;=0,"Fail","Pass")
)</f>
        <v>Pass</v>
      </c>
      <c r="T2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7" s="11" t="str">
        <f>IF(LEN(TRIM(ValidationTable[[#This Row],[Bank_Account]]))=0,"Fail","Pass")</f>
        <v>Pass</v>
      </c>
      <c r="V27" s="11" t="str">
        <f>IF(
COUNTIF(ValidationTable[Record_ID],ValidationTable[[#This Row],[Record_ID]])&gt;1,
"Fail",
"Pass"
)</f>
        <v>Pass</v>
      </c>
      <c r="W27" s="11" t="str">
        <f>IF(
COUNTIF(ValidationTable[[#This Row],[RequiredField_Validation]]:ValidationTable[[#This Row],[Duplicate_Validation]],"Fail")&gt;0,
"Fail",
"Pass"
)</f>
        <v>Pass</v>
      </c>
      <c r="X27" s="11" t="str">
        <f>IF(ValidationTable[[#This Row],[Validation_Result]]="Pass","Yes","No")</f>
        <v>Yes</v>
      </c>
    </row>
    <row r="28" spans="1:24">
      <c r="A28" s="11">
        <f>RawTable[[#This Row],[Record_ID]]</f>
        <v>27</v>
      </c>
      <c r="B28" s="11" t="str">
        <f>RawTable[[#This Row],[Payment_Type]]</f>
        <v>Payroll</v>
      </c>
      <c r="C28" s="11" t="str">
        <f>RawTable[[#This Row],[Entity_Type]]</f>
        <v>Employee</v>
      </c>
      <c r="D28" s="11" t="str">
        <f>RawTable[[#This Row],[Country]]</f>
        <v>Switzerland</v>
      </c>
      <c r="E28" s="11" t="str">
        <f>RawTable[[#This Row],[Name]]</f>
        <v>Michael Müller</v>
      </c>
      <c r="F28" s="11" t="str">
        <f>RawTable[[#This Row],[Bank_Account]]</f>
        <v>CH930000000000592320</v>
      </c>
      <c r="G28" s="11" t="str">
        <f>RawTable[[#This Row],[Month]]</f>
        <v>Feb-2026</v>
      </c>
      <c r="H28" s="11" t="str">
        <f>RawTable[[#This Row],[Currency]]</f>
        <v>CHF</v>
      </c>
      <c r="I28" s="4">
        <f>RawTable[[#This Row],[Net_Amount]]</f>
        <v>6427.85</v>
      </c>
      <c r="J28" s="2" t="str">
        <f>RawTable[[#This Row],[VAT_Applicable]]</f>
        <v>No</v>
      </c>
      <c r="K28" s="4">
        <f>RawTable[[#This Row],[VAT_Rate]]</f>
        <v>0</v>
      </c>
      <c r="L28" s="4">
        <f>RawTable[[#This Row],[VAT_Amount]]</f>
        <v>0</v>
      </c>
      <c r="M28" s="4">
        <f>RawTable[[#This Row],[Gross_Amount]]</f>
        <v>6427.85</v>
      </c>
      <c r="N28" s="4">
        <f>RawTable[[#This Row],[Exchange_Rate]]</f>
        <v>1</v>
      </c>
      <c r="O28" s="4">
        <f>RawTable[[#This Row],[Amount_CHF]]</f>
        <v>6427.85</v>
      </c>
      <c r="P2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8" s="11" t="str">
        <f>IF(ValidationTable[[#This Row],[Currency]]="","Fail","Pass")</f>
        <v>Pass</v>
      </c>
      <c r="S28" s="11" t="str">
        <f>IF(
ValidationTable[[#This Row],[Currency]]="CHF",
IF(ValidationTable[[#This Row],[Exchange_Rate]]&lt;&gt;1,"Fail","Pass"),
IF(ValidationTable[[#This Row],[Exchange_Rate]]&lt;=0,"Fail","Pass")
)</f>
        <v>Pass</v>
      </c>
      <c r="T2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8" s="11" t="str">
        <f>IF(LEN(TRIM(ValidationTable[[#This Row],[Bank_Account]]))=0,"Fail","Pass")</f>
        <v>Pass</v>
      </c>
      <c r="V28" s="11" t="str">
        <f>IF(
COUNTIF(ValidationTable[Record_ID],ValidationTable[[#This Row],[Record_ID]])&gt;1,
"Fail",
"Pass"
)</f>
        <v>Pass</v>
      </c>
      <c r="W28" s="11" t="str">
        <f>IF(
COUNTIF(ValidationTable[[#This Row],[RequiredField_Validation]]:ValidationTable[[#This Row],[Duplicate_Validation]],"Fail")&gt;0,
"Fail",
"Pass"
)</f>
        <v>Pass</v>
      </c>
      <c r="X28" s="11" t="str">
        <f>IF(ValidationTable[[#This Row],[Validation_Result]]="Pass","Yes","No")</f>
        <v>Yes</v>
      </c>
    </row>
    <row r="29" spans="1:24">
      <c r="A29" s="11">
        <f>RawTable[[#This Row],[Record_ID]]</f>
        <v>28</v>
      </c>
      <c r="B29" s="11" t="str">
        <f>RawTable[[#This Row],[Payment_Type]]</f>
        <v>Payroll</v>
      </c>
      <c r="C29" s="11" t="str">
        <f>RawTable[[#This Row],[Entity_Type]]</f>
        <v>Employee</v>
      </c>
      <c r="D29" s="11" t="str">
        <f>RawTable[[#This Row],[Country]]</f>
        <v>Germany</v>
      </c>
      <c r="E29" s="11" t="str">
        <f>RawTable[[#This Row],[Name]]</f>
        <v>Laura Brown</v>
      </c>
      <c r="F29" s="11" t="str">
        <f>RawTable[[#This Row],[Bank_Account]]</f>
        <v>DE890000000000339475</v>
      </c>
      <c r="G29" s="11" t="str">
        <f>RawTable[[#This Row],[Month]]</f>
        <v>Feb-2026</v>
      </c>
      <c r="H29" s="11" t="str">
        <f>RawTable[[#This Row],[Currency]]</f>
        <v>EUR</v>
      </c>
      <c r="I29" s="4">
        <f>RawTable[[#This Row],[Net_Amount]]</f>
        <v>6018.6</v>
      </c>
      <c r="J29" s="2" t="str">
        <f>RawTable[[#This Row],[VAT_Applicable]]</f>
        <v>No</v>
      </c>
      <c r="K29" s="4">
        <f>RawTable[[#This Row],[VAT_Rate]]</f>
        <v>0</v>
      </c>
      <c r="L29" s="4">
        <f>RawTable[[#This Row],[VAT_Amount]]</f>
        <v>0</v>
      </c>
      <c r="M29" s="4">
        <f>RawTable[[#This Row],[Gross_Amount]]</f>
        <v>6018.6</v>
      </c>
      <c r="N29" s="4">
        <f>RawTable[[#This Row],[Exchange_Rate]]</f>
        <v>0.90888000000000002</v>
      </c>
      <c r="O29" s="4">
        <f>RawTable[[#This Row],[Amount_CHF]]</f>
        <v>5470.19</v>
      </c>
      <c r="P2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9" s="11" t="str">
        <f>IF(ValidationTable[[#This Row],[Currency]]="","Fail","Pass")</f>
        <v>Pass</v>
      </c>
      <c r="S29" s="11" t="str">
        <f>IF(
ValidationTable[[#This Row],[Currency]]="CHF",
IF(ValidationTable[[#This Row],[Exchange_Rate]]&lt;&gt;1,"Fail","Pass"),
IF(ValidationTable[[#This Row],[Exchange_Rate]]&lt;=0,"Fail","Pass")
)</f>
        <v>Pass</v>
      </c>
      <c r="T2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9" s="11" t="str">
        <f>IF(LEN(TRIM(ValidationTable[[#This Row],[Bank_Account]]))=0,"Fail","Pass")</f>
        <v>Pass</v>
      </c>
      <c r="V29" s="11" t="str">
        <f>IF(
COUNTIF(ValidationTable[Record_ID],ValidationTable[[#This Row],[Record_ID]])&gt;1,
"Fail",
"Pass"
)</f>
        <v>Pass</v>
      </c>
      <c r="W29" s="11" t="str">
        <f>IF(
COUNTIF(ValidationTable[[#This Row],[RequiredField_Validation]]:ValidationTable[[#This Row],[Duplicate_Validation]],"Fail")&gt;0,
"Fail",
"Pass"
)</f>
        <v>Pass</v>
      </c>
      <c r="X29" s="11" t="str">
        <f>IF(ValidationTable[[#This Row],[Validation_Result]]="Pass","Yes","No")</f>
        <v>Yes</v>
      </c>
    </row>
    <row r="30" spans="1:24">
      <c r="A30" s="11">
        <f>RawTable[[#This Row],[Record_ID]]</f>
        <v>29</v>
      </c>
      <c r="B30" s="11" t="str">
        <f>RawTable[[#This Row],[Payment_Type]]</f>
        <v>Payroll</v>
      </c>
      <c r="C30" s="11" t="str">
        <f>RawTable[[#This Row],[Entity_Type]]</f>
        <v>Employee</v>
      </c>
      <c r="D30" s="11" t="str">
        <f>RawTable[[#This Row],[Country]]</f>
        <v>Switzerland</v>
      </c>
      <c r="E30" s="11" t="str">
        <f>RawTable[[#This Row],[Name]]</f>
        <v>John Brown</v>
      </c>
      <c r="F30" s="11" t="str">
        <f>RawTable[[#This Row],[Bank_Account]]</f>
        <v>CH930000000000641680</v>
      </c>
      <c r="G30" s="11" t="str">
        <f>RawTable[[#This Row],[Month]]</f>
        <v>Jan-2026</v>
      </c>
      <c r="H30" s="11" t="str">
        <f>RawTable[[#This Row],[Currency]]</f>
        <v>CHF</v>
      </c>
      <c r="I30" s="4">
        <f>RawTable[[#This Row],[Net_Amount]]</f>
        <v>6904.3</v>
      </c>
      <c r="J30" s="2" t="str">
        <f>RawTable[[#This Row],[VAT_Applicable]]</f>
        <v>No</v>
      </c>
      <c r="K30" s="4">
        <f>RawTable[[#This Row],[VAT_Rate]]</f>
        <v>0</v>
      </c>
      <c r="L30" s="4">
        <f>RawTable[[#This Row],[VAT_Amount]]</f>
        <v>0</v>
      </c>
      <c r="M30" s="4">
        <f>RawTable[[#This Row],[Gross_Amount]]</f>
        <v>6904.3</v>
      </c>
      <c r="N30" s="4">
        <f>RawTable[[#This Row],[Exchange_Rate]]</f>
        <v>1</v>
      </c>
      <c r="O30" s="4">
        <f>RawTable[[#This Row],[Amount_CHF]]</f>
        <v>6904.3</v>
      </c>
      <c r="P3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0" s="11" t="str">
        <f>IF(ValidationTable[[#This Row],[Currency]]="","Fail","Pass")</f>
        <v>Pass</v>
      </c>
      <c r="S30" s="11" t="str">
        <f>IF(
ValidationTable[[#This Row],[Currency]]="CHF",
IF(ValidationTable[[#This Row],[Exchange_Rate]]&lt;&gt;1,"Fail","Pass"),
IF(ValidationTable[[#This Row],[Exchange_Rate]]&lt;=0,"Fail","Pass")
)</f>
        <v>Pass</v>
      </c>
      <c r="T3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0" s="11" t="str">
        <f>IF(LEN(TRIM(ValidationTable[[#This Row],[Bank_Account]]))=0,"Fail","Pass")</f>
        <v>Pass</v>
      </c>
      <c r="V30" s="11" t="str">
        <f>IF(
COUNTIF(ValidationTable[Record_ID],ValidationTable[[#This Row],[Record_ID]])&gt;1,
"Fail",
"Pass"
)</f>
        <v>Pass</v>
      </c>
      <c r="W30" s="11" t="str">
        <f>IF(
COUNTIF(ValidationTable[[#This Row],[RequiredField_Validation]]:ValidationTable[[#This Row],[Duplicate_Validation]],"Fail")&gt;0,
"Fail",
"Pass"
)</f>
        <v>Pass</v>
      </c>
      <c r="X30" s="11" t="str">
        <f>IF(ValidationTable[[#This Row],[Validation_Result]]="Pass","Yes","No")</f>
        <v>Yes</v>
      </c>
    </row>
    <row r="31" spans="1:24" hidden="1">
      <c r="A31" s="11">
        <f>RawTable[[#This Row],[Record_ID]]</f>
        <v>30</v>
      </c>
      <c r="B31" s="11" t="str">
        <f>RawTable[[#This Row],[Payment_Type]]</f>
        <v>Payroll</v>
      </c>
      <c r="C31" s="11" t="str">
        <f>RawTable[[#This Row],[Entity_Type]]</f>
        <v>Employee</v>
      </c>
      <c r="D31" s="11" t="str">
        <f>RawTable[[#This Row],[Country]]</f>
        <v>Germany</v>
      </c>
      <c r="E31" s="11" t="str">
        <f>RawTable[[#This Row],[Name]]</f>
        <v>Omar Johnson</v>
      </c>
      <c r="F31" s="11" t="str">
        <f>RawTable[[#This Row],[Bank_Account]]</f>
        <v>DE890000000000366633</v>
      </c>
      <c r="G31" s="11" t="str">
        <f>RawTable[[#This Row],[Month]]</f>
        <v>Feb-2026</v>
      </c>
      <c r="H31" s="11" t="str">
        <f>RawTable[[#This Row],[Currency]]</f>
        <v>EUR</v>
      </c>
      <c r="I31" s="4">
        <f>RawTable[[#This Row],[Net_Amount]]</f>
        <v>0</v>
      </c>
      <c r="J31" s="2" t="str">
        <f>RawTable[[#This Row],[VAT_Applicable]]</f>
        <v>No</v>
      </c>
      <c r="K31" s="4">
        <f>RawTable[[#This Row],[VAT_Rate]]</f>
        <v>0</v>
      </c>
      <c r="L31" s="4">
        <f>RawTable[[#This Row],[VAT_Amount]]</f>
        <v>0</v>
      </c>
      <c r="M31" s="4">
        <f>RawTable[[#This Row],[Gross_Amount]]</f>
        <v>0</v>
      </c>
      <c r="N31" s="4">
        <f>RawTable[[#This Row],[Exchange_Rate]]</f>
        <v>0.90888000000000002</v>
      </c>
      <c r="O31" s="4">
        <f>RawTable[[#This Row],[Amount_CHF]]</f>
        <v>0</v>
      </c>
      <c r="P3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1" s="11" t="str">
        <f>IF(
OR(ValidationTable[[#This Row],[Net_Amount]]&lt;=0,
ROUND(ValidationTable[[#This Row],[Net_Amount]]+ValidationTable[[#This Row],[VAT_Amount]],2)&lt;&gt;ROUND(ValidationTable[[#This Row],[Gross_Amount]],2)
),
"Fail",
"Pass"
)</f>
        <v>Fail</v>
      </c>
      <c r="R31" s="11" t="str">
        <f>IF(ValidationTable[[#This Row],[Currency]]="","Fail","Pass")</f>
        <v>Pass</v>
      </c>
      <c r="S31" s="11" t="str">
        <f>IF(
ValidationTable[[#This Row],[Currency]]="CHF",
IF(ValidationTable[[#This Row],[Exchange_Rate]]&lt;&gt;1,"Fail","Pass"),
IF(ValidationTable[[#This Row],[Exchange_Rate]]&lt;=0,"Fail","Pass")
)</f>
        <v>Pass</v>
      </c>
      <c r="T3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1" s="11" t="str">
        <f>IF(LEN(TRIM(ValidationTable[[#This Row],[Bank_Account]]))=0,"Fail","Pass")</f>
        <v>Pass</v>
      </c>
      <c r="V31" s="11" t="str">
        <f>IF(
COUNTIF(ValidationTable[Record_ID],ValidationTable[[#This Row],[Record_ID]])&gt;1,
"Fail",
"Pass"
)</f>
        <v>Pass</v>
      </c>
      <c r="W31" s="11" t="str">
        <f>IF(
COUNTIF(ValidationTable[[#This Row],[RequiredField_Validation]]:ValidationTable[[#This Row],[Duplicate_Validation]],"Fail")&gt;0,
"Fail",
"Pass"
)</f>
        <v>Fail</v>
      </c>
      <c r="X31" s="11" t="str">
        <f>IF(ValidationTable[[#This Row],[Validation_Result]]="Pass","Yes","No")</f>
        <v>No</v>
      </c>
    </row>
    <row r="32" spans="1:24">
      <c r="A32" s="11">
        <f>RawTable[[#This Row],[Record_ID]]</f>
        <v>31</v>
      </c>
      <c r="B32" s="11" t="str">
        <f>RawTable[[#This Row],[Payment_Type]]</f>
        <v>Payroll</v>
      </c>
      <c r="C32" s="11" t="str">
        <f>RawTable[[#This Row],[Entity_Type]]</f>
        <v>Employee</v>
      </c>
      <c r="D32" s="11" t="str">
        <f>RawTable[[#This Row],[Country]]</f>
        <v>UAE</v>
      </c>
      <c r="E32" s="11" t="str">
        <f>RawTable[[#This Row],[Name]]</f>
        <v>John Khan</v>
      </c>
      <c r="F32" s="11" t="str">
        <f>RawTable[[#This Row],[Bank_Account]]</f>
        <v>AE-IBAN-01520988</v>
      </c>
      <c r="G32" s="11" t="str">
        <f>RawTable[[#This Row],[Month]]</f>
        <v>Mar-2026</v>
      </c>
      <c r="H32" s="11" t="str">
        <f>RawTable[[#This Row],[Currency]]</f>
        <v>AED</v>
      </c>
      <c r="I32" s="4">
        <f>RawTable[[#This Row],[Net_Amount]]</f>
        <v>23348.6</v>
      </c>
      <c r="J32" s="2" t="str">
        <f>RawTable[[#This Row],[VAT_Applicable]]</f>
        <v>No</v>
      </c>
      <c r="K32" s="4">
        <f>RawTable[[#This Row],[VAT_Rate]]</f>
        <v>0</v>
      </c>
      <c r="L32" s="4">
        <f>RawTable[[#This Row],[VAT_Amount]]</f>
        <v>0</v>
      </c>
      <c r="M32" s="4">
        <f>RawTable[[#This Row],[Gross_Amount]]</f>
        <v>23348.6</v>
      </c>
      <c r="N32" s="4">
        <f>RawTable[[#This Row],[Exchange_Rate]]</f>
        <v>0.21065</v>
      </c>
      <c r="O32" s="4">
        <f>RawTable[[#This Row],[Amount_CHF]]</f>
        <v>4918.38</v>
      </c>
      <c r="P3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2" s="11" t="str">
        <f>IF(ValidationTable[[#This Row],[Currency]]="","Fail","Pass")</f>
        <v>Pass</v>
      </c>
      <c r="S32" s="11" t="str">
        <f>IF(
ValidationTable[[#This Row],[Currency]]="CHF",
IF(ValidationTable[[#This Row],[Exchange_Rate]]&lt;&gt;1,"Fail","Pass"),
IF(ValidationTable[[#This Row],[Exchange_Rate]]&lt;=0,"Fail","Pass")
)</f>
        <v>Pass</v>
      </c>
      <c r="T3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2" s="11" t="str">
        <f>IF(LEN(TRIM(ValidationTable[[#This Row],[Bank_Account]]))=0,"Fail","Pass")</f>
        <v>Pass</v>
      </c>
      <c r="V32" s="11" t="str">
        <f>IF(
COUNTIF(ValidationTable[Record_ID],ValidationTable[[#This Row],[Record_ID]])&gt;1,
"Fail",
"Pass"
)</f>
        <v>Pass</v>
      </c>
      <c r="W32" s="11" t="str">
        <f>IF(
COUNTIF(ValidationTable[[#This Row],[RequiredField_Validation]]:ValidationTable[[#This Row],[Duplicate_Validation]],"Fail")&gt;0,
"Fail",
"Pass"
)</f>
        <v>Pass</v>
      </c>
      <c r="X32" s="11" t="str">
        <f>IF(ValidationTable[[#This Row],[Validation_Result]]="Pass","Yes","No")</f>
        <v>Yes</v>
      </c>
    </row>
    <row r="33" spans="1:24">
      <c r="A33" s="11">
        <f>RawTable[[#This Row],[Record_ID]]</f>
        <v>32</v>
      </c>
      <c r="B33" s="11" t="str">
        <f>RawTable[[#This Row],[Payment_Type]]</f>
        <v>Payroll</v>
      </c>
      <c r="C33" s="11" t="str">
        <f>RawTable[[#This Row],[Entity_Type]]</f>
        <v>Employee</v>
      </c>
      <c r="D33" s="11" t="str">
        <f>RawTable[[#This Row],[Country]]</f>
        <v>Switzerland</v>
      </c>
      <c r="E33" s="11" t="str">
        <f>RawTable[[#This Row],[Name]]</f>
        <v>Julia Johnson</v>
      </c>
      <c r="F33" s="11" t="str">
        <f>RawTable[[#This Row],[Bank_Account]]</f>
        <v>CH930000000000715720</v>
      </c>
      <c r="G33" s="11" t="str">
        <f>RawTable[[#This Row],[Month]]</f>
        <v>Jan-2026</v>
      </c>
      <c r="H33" s="11" t="str">
        <f>RawTable[[#This Row],[Currency]]</f>
        <v>CHF</v>
      </c>
      <c r="I33" s="4">
        <f>RawTable[[#This Row],[Net_Amount]]</f>
        <v>7104.5</v>
      </c>
      <c r="J33" s="2" t="str">
        <f>RawTable[[#This Row],[VAT_Applicable]]</f>
        <v>No</v>
      </c>
      <c r="K33" s="4">
        <f>RawTable[[#This Row],[VAT_Rate]]</f>
        <v>0</v>
      </c>
      <c r="L33" s="4">
        <f>RawTable[[#This Row],[VAT_Amount]]</f>
        <v>0</v>
      </c>
      <c r="M33" s="4">
        <f>RawTable[[#This Row],[Gross_Amount]]</f>
        <v>7104.5</v>
      </c>
      <c r="N33" s="4">
        <f>RawTable[[#This Row],[Exchange_Rate]]</f>
        <v>1</v>
      </c>
      <c r="O33" s="4">
        <f>RawTable[[#This Row],[Amount_CHF]]</f>
        <v>7104.5</v>
      </c>
      <c r="P3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3" s="11" t="str">
        <f>IF(ValidationTable[[#This Row],[Currency]]="","Fail","Pass")</f>
        <v>Pass</v>
      </c>
      <c r="S33" s="11" t="str">
        <f>IF(
ValidationTable[[#This Row],[Currency]]="CHF",
IF(ValidationTable[[#This Row],[Exchange_Rate]]&lt;&gt;1,"Fail","Pass"),
IF(ValidationTable[[#This Row],[Exchange_Rate]]&lt;=0,"Fail","Pass")
)</f>
        <v>Pass</v>
      </c>
      <c r="T3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3" s="11" t="str">
        <f>IF(LEN(TRIM(ValidationTable[[#This Row],[Bank_Account]]))=0,"Fail","Pass")</f>
        <v>Pass</v>
      </c>
      <c r="V33" s="11" t="str">
        <f>IF(
COUNTIF(ValidationTable[Record_ID],ValidationTable[[#This Row],[Record_ID]])&gt;1,
"Fail",
"Pass"
)</f>
        <v>Pass</v>
      </c>
      <c r="W33" s="11" t="str">
        <f>IF(
COUNTIF(ValidationTable[[#This Row],[RequiredField_Validation]]:ValidationTable[[#This Row],[Duplicate_Validation]],"Fail")&gt;0,
"Fail",
"Pass"
)</f>
        <v>Pass</v>
      </c>
      <c r="X33" s="11" t="str">
        <f>IF(ValidationTable[[#This Row],[Validation_Result]]="Pass","Yes","No")</f>
        <v>Yes</v>
      </c>
    </row>
    <row r="34" spans="1:24">
      <c r="A34" s="11">
        <f>RawTable[[#This Row],[Record_ID]]</f>
        <v>33</v>
      </c>
      <c r="B34" s="11" t="str">
        <f>RawTable[[#This Row],[Payment_Type]]</f>
        <v>Payroll</v>
      </c>
      <c r="C34" s="11" t="str">
        <f>RawTable[[#This Row],[Entity_Type]]</f>
        <v>Employee</v>
      </c>
      <c r="D34" s="11" t="str">
        <f>RawTable[[#This Row],[Country]]</f>
        <v>USA</v>
      </c>
      <c r="E34" s="11" t="str">
        <f>RawTable[[#This Row],[Name]]</f>
        <v>Omar Johnson</v>
      </c>
      <c r="F34" s="11" t="str">
        <f>RawTable[[#This Row],[Bank_Account]]</f>
        <v>DE890000000000366633</v>
      </c>
      <c r="G34" s="11" t="str">
        <f>RawTable[[#This Row],[Month]]</f>
        <v>Feb-2026</v>
      </c>
      <c r="H34" s="11" t="str">
        <f>RawTable[[#This Row],[Currency]]</f>
        <v>USD</v>
      </c>
      <c r="I34" s="4">
        <f>RawTable[[#This Row],[Net_Amount]]</f>
        <v>7047.6</v>
      </c>
      <c r="J34" s="2" t="str">
        <f>RawTable[[#This Row],[VAT_Applicable]]</f>
        <v>No</v>
      </c>
      <c r="K34" s="4">
        <f>RawTable[[#This Row],[VAT_Rate]]</f>
        <v>0</v>
      </c>
      <c r="L34" s="4">
        <f>RawTable[[#This Row],[VAT_Amount]]</f>
        <v>0</v>
      </c>
      <c r="M34" s="4">
        <f>RawTable[[#This Row],[Gross_Amount]]</f>
        <v>7047.6</v>
      </c>
      <c r="N34" s="4">
        <f>RawTable[[#This Row],[Exchange_Rate]]</f>
        <v>0.77017999999999998</v>
      </c>
      <c r="O34" s="4">
        <f>RawTable[[#This Row],[Amount_CHF]]</f>
        <v>5427.92</v>
      </c>
      <c r="P3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4" s="11" t="str">
        <f>IF(ValidationTable[[#This Row],[Currency]]="","Fail","Pass")</f>
        <v>Pass</v>
      </c>
      <c r="S34" s="11" t="str">
        <f>IF(
ValidationTable[[#This Row],[Currency]]="CHF",
IF(ValidationTable[[#This Row],[Exchange_Rate]]&lt;&gt;1,"Fail","Pass"),
IF(ValidationTable[[#This Row],[Exchange_Rate]]&lt;=0,"Fail","Pass")
)</f>
        <v>Pass</v>
      </c>
      <c r="T3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4" s="11" t="str">
        <f>IF(LEN(TRIM(ValidationTable[[#This Row],[Bank_Account]]))=0,"Fail","Pass")</f>
        <v>Pass</v>
      </c>
      <c r="V34" s="11" t="str">
        <f>IF(
COUNTIF(ValidationTable[Record_ID],ValidationTable[[#This Row],[Record_ID]])&gt;1,
"Fail",
"Pass"
)</f>
        <v>Pass</v>
      </c>
      <c r="W34" s="11" t="str">
        <f>IF(
COUNTIF(ValidationTable[[#This Row],[RequiredField_Validation]]:ValidationTable[[#This Row],[Duplicate_Validation]],"Fail")&gt;0,
"Fail",
"Pass"
)</f>
        <v>Pass</v>
      </c>
      <c r="X34" s="11" t="str">
        <f>IF(ValidationTable[[#This Row],[Validation_Result]]="Pass","Yes","No")</f>
        <v>Yes</v>
      </c>
    </row>
    <row r="35" spans="1:24">
      <c r="A35" s="11">
        <f>RawTable[[#This Row],[Record_ID]]</f>
        <v>34</v>
      </c>
      <c r="B35" s="11" t="str">
        <f>RawTable[[#This Row],[Payment_Type]]</f>
        <v>Payroll</v>
      </c>
      <c r="C35" s="11" t="str">
        <f>RawTable[[#This Row],[Entity_Type]]</f>
        <v>Employee</v>
      </c>
      <c r="D35" s="11" t="str">
        <f>RawTable[[#This Row],[Country]]</f>
        <v>Switzerland</v>
      </c>
      <c r="E35" s="11" t="str">
        <f>RawTable[[#This Row],[Name]]</f>
        <v>David Haddad</v>
      </c>
      <c r="F35" s="11" t="str">
        <f>RawTable[[#This Row],[Bank_Account]]</f>
        <v>DE890000000000095053</v>
      </c>
      <c r="G35" s="11" t="str">
        <f>RawTable[[#This Row],[Month]]</f>
        <v>Feb-2026</v>
      </c>
      <c r="H35" s="11" t="str">
        <f>RawTable[[#This Row],[Currency]]</f>
        <v>CHF</v>
      </c>
      <c r="I35" s="4">
        <f>RawTable[[#This Row],[Net_Amount]]</f>
        <v>6256.25</v>
      </c>
      <c r="J35" s="2" t="str">
        <f>RawTable[[#This Row],[VAT_Applicable]]</f>
        <v>No</v>
      </c>
      <c r="K35" s="4">
        <f>RawTable[[#This Row],[VAT_Rate]]</f>
        <v>0</v>
      </c>
      <c r="L35" s="4">
        <f>RawTable[[#This Row],[VAT_Amount]]</f>
        <v>0</v>
      </c>
      <c r="M35" s="4">
        <f>RawTable[[#This Row],[Gross_Amount]]</f>
        <v>6256.25</v>
      </c>
      <c r="N35" s="4">
        <f>RawTable[[#This Row],[Exchange_Rate]]</f>
        <v>1</v>
      </c>
      <c r="O35" s="4">
        <f>RawTable[[#This Row],[Amount_CHF]]</f>
        <v>6256.25</v>
      </c>
      <c r="P3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5" s="11" t="str">
        <f>IF(ValidationTable[[#This Row],[Currency]]="","Fail","Pass")</f>
        <v>Pass</v>
      </c>
      <c r="S35" s="11" t="str">
        <f>IF(
ValidationTable[[#This Row],[Currency]]="CHF",
IF(ValidationTable[[#This Row],[Exchange_Rate]]&lt;&gt;1,"Fail","Pass"),
IF(ValidationTable[[#This Row],[Exchange_Rate]]&lt;=0,"Fail","Pass")
)</f>
        <v>Pass</v>
      </c>
      <c r="T3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5" s="11" t="str">
        <f>IF(LEN(TRIM(ValidationTable[[#This Row],[Bank_Account]]))=0,"Fail","Pass")</f>
        <v>Pass</v>
      </c>
      <c r="V35" s="11" t="str">
        <f>IF(
COUNTIF(ValidationTable[Record_ID],ValidationTable[[#This Row],[Record_ID]])&gt;1,
"Fail",
"Pass"
)</f>
        <v>Pass</v>
      </c>
      <c r="W35" s="11" t="str">
        <f>IF(
COUNTIF(ValidationTable[[#This Row],[RequiredField_Validation]]:ValidationTable[[#This Row],[Duplicate_Validation]],"Fail")&gt;0,
"Fail",
"Pass"
)</f>
        <v>Pass</v>
      </c>
      <c r="X35" s="11" t="str">
        <f>IF(ValidationTable[[#This Row],[Validation_Result]]="Pass","Yes","No")</f>
        <v>Yes</v>
      </c>
    </row>
    <row r="36" spans="1:24">
      <c r="A36" s="11">
        <f>RawTable[[#This Row],[Record_ID]]</f>
        <v>35</v>
      </c>
      <c r="B36" s="11" t="str">
        <f>RawTable[[#This Row],[Payment_Type]]</f>
        <v>Payroll</v>
      </c>
      <c r="C36" s="11" t="str">
        <f>RawTable[[#This Row],[Entity_Type]]</f>
        <v>Employee</v>
      </c>
      <c r="D36" s="11" t="str">
        <f>RawTable[[#This Row],[Country]]</f>
        <v>Switzerland</v>
      </c>
      <c r="E36" s="11" t="str">
        <f>RawTable[[#This Row],[Name]]</f>
        <v>Lina Johnson</v>
      </c>
      <c r="F36" s="11" t="str">
        <f>RawTable[[#This Row],[Bank_Account]]</f>
        <v>CH930000000000740400</v>
      </c>
      <c r="G36" s="11" t="str">
        <f>RawTable[[#This Row],[Month]]</f>
        <v>Feb-2026</v>
      </c>
      <c r="H36" s="11" t="str">
        <f>RawTable[[#This Row],[Currency]]</f>
        <v>CHF</v>
      </c>
      <c r="I36" s="4">
        <f>RawTable[[#This Row],[Net_Amount]]</f>
        <v>6693.05</v>
      </c>
      <c r="J36" s="2" t="str">
        <f>RawTable[[#This Row],[VAT_Applicable]]</f>
        <v>No</v>
      </c>
      <c r="K36" s="4">
        <f>RawTable[[#This Row],[VAT_Rate]]</f>
        <v>0</v>
      </c>
      <c r="L36" s="4">
        <f>RawTable[[#This Row],[VAT_Amount]]</f>
        <v>0</v>
      </c>
      <c r="M36" s="4">
        <f>RawTable[[#This Row],[Gross_Amount]]</f>
        <v>6693.05</v>
      </c>
      <c r="N36" s="4">
        <f>RawTable[[#This Row],[Exchange_Rate]]</f>
        <v>1</v>
      </c>
      <c r="O36" s="4">
        <f>RawTable[[#This Row],[Amount_CHF]]</f>
        <v>6693.05</v>
      </c>
      <c r="P3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6" s="11" t="str">
        <f>IF(ValidationTable[[#This Row],[Currency]]="","Fail","Pass")</f>
        <v>Pass</v>
      </c>
      <c r="S36" s="11" t="str">
        <f>IF(
ValidationTable[[#This Row],[Currency]]="CHF",
IF(ValidationTable[[#This Row],[Exchange_Rate]]&lt;&gt;1,"Fail","Pass"),
IF(ValidationTable[[#This Row],[Exchange_Rate]]&lt;=0,"Fail","Pass")
)</f>
        <v>Pass</v>
      </c>
      <c r="T3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6" s="11" t="str">
        <f>IF(LEN(TRIM(ValidationTable[[#This Row],[Bank_Account]]))=0,"Fail","Pass")</f>
        <v>Pass</v>
      </c>
      <c r="V36" s="11" t="str">
        <f>IF(
COUNTIF(ValidationTable[Record_ID],ValidationTable[[#This Row],[Record_ID]])&gt;1,
"Fail",
"Pass"
)</f>
        <v>Pass</v>
      </c>
      <c r="W36" s="11" t="str">
        <f>IF(
COUNTIF(ValidationTable[[#This Row],[RequiredField_Validation]]:ValidationTable[[#This Row],[Duplicate_Validation]],"Fail")&gt;0,
"Fail",
"Pass"
)</f>
        <v>Pass</v>
      </c>
      <c r="X36" s="11" t="str">
        <f>IF(ValidationTable[[#This Row],[Validation_Result]]="Pass","Yes","No")</f>
        <v>Yes</v>
      </c>
    </row>
    <row r="37" spans="1:24">
      <c r="A37" s="11">
        <f>RawTable[[#This Row],[Record_ID]]</f>
        <v>36</v>
      </c>
      <c r="B37" s="11" t="str">
        <f>RawTable[[#This Row],[Payment_Type]]</f>
        <v>Payroll</v>
      </c>
      <c r="C37" s="11" t="str">
        <f>RawTable[[#This Row],[Entity_Type]]</f>
        <v>Employee</v>
      </c>
      <c r="D37" s="11" t="str">
        <f>RawTable[[#This Row],[Country]]</f>
        <v>Jordan</v>
      </c>
      <c r="E37" s="11" t="str">
        <f>RawTable[[#This Row],[Name]]</f>
        <v>Michael Smith</v>
      </c>
      <c r="F37" s="11" t="str">
        <f>RawTable[[#This Row],[Bank_Account]]</f>
        <v>JO-IBAN-00382695</v>
      </c>
      <c r="G37" s="11" t="str">
        <f>RawTable[[#This Row],[Month]]</f>
        <v>Jan-2026</v>
      </c>
      <c r="H37" s="11" t="str">
        <f>RawTable[[#This Row],[Currency]]</f>
        <v>JOD</v>
      </c>
      <c r="I37" s="4">
        <f>RawTable[[#This Row],[Net_Amount]]</f>
        <v>1645.56</v>
      </c>
      <c r="J37" s="2" t="str">
        <f>RawTable[[#This Row],[VAT_Applicable]]</f>
        <v>No</v>
      </c>
      <c r="K37" s="4">
        <f>RawTable[[#This Row],[VAT_Rate]]</f>
        <v>0</v>
      </c>
      <c r="L37" s="4">
        <f>RawTable[[#This Row],[VAT_Amount]]</f>
        <v>0</v>
      </c>
      <c r="M37" s="4">
        <f>RawTable[[#This Row],[Gross_Amount]]</f>
        <v>1645.56</v>
      </c>
      <c r="N37" s="4">
        <f>RawTable[[#This Row],[Exchange_Rate]]</f>
        <v>1.08643</v>
      </c>
      <c r="O37" s="4">
        <f>RawTable[[#This Row],[Amount_CHF]]</f>
        <v>1787.79</v>
      </c>
      <c r="P3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7" s="11" t="str">
        <f>IF(ValidationTable[[#This Row],[Currency]]="","Fail","Pass")</f>
        <v>Pass</v>
      </c>
      <c r="S37" s="11" t="str">
        <f>IF(
ValidationTable[[#This Row],[Currency]]="CHF",
IF(ValidationTable[[#This Row],[Exchange_Rate]]&lt;&gt;1,"Fail","Pass"),
IF(ValidationTable[[#This Row],[Exchange_Rate]]&lt;=0,"Fail","Pass")
)</f>
        <v>Pass</v>
      </c>
      <c r="T3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7" s="11" t="str">
        <f>IF(LEN(TRIM(ValidationTable[[#This Row],[Bank_Account]]))=0,"Fail","Pass")</f>
        <v>Pass</v>
      </c>
      <c r="V37" s="11" t="str">
        <f>IF(
COUNTIF(ValidationTable[Record_ID],ValidationTable[[#This Row],[Record_ID]])&gt;1,
"Fail",
"Pass"
)</f>
        <v>Pass</v>
      </c>
      <c r="W37" s="11" t="str">
        <f>IF(
COUNTIF(ValidationTable[[#This Row],[RequiredField_Validation]]:ValidationTable[[#This Row],[Duplicate_Validation]],"Fail")&gt;0,
"Fail",
"Pass"
)</f>
        <v>Pass</v>
      </c>
      <c r="X37" s="11" t="str">
        <f>IF(ValidationTable[[#This Row],[Validation_Result]]="Pass","Yes","No")</f>
        <v>Yes</v>
      </c>
    </row>
    <row r="38" spans="1:24">
      <c r="A38" s="11">
        <f>RawTable[[#This Row],[Record_ID]]</f>
        <v>37</v>
      </c>
      <c r="B38" s="11" t="str">
        <f>RawTable[[#This Row],[Payment_Type]]</f>
        <v>Payroll</v>
      </c>
      <c r="C38" s="11" t="str">
        <f>RawTable[[#This Row],[Entity_Type]]</f>
        <v>Employee</v>
      </c>
      <c r="D38" s="11" t="str">
        <f>RawTable[[#This Row],[Country]]</f>
        <v>UAE</v>
      </c>
      <c r="E38" s="11" t="str">
        <f>RawTable[[#This Row],[Name]]</f>
        <v>Michael Wilson</v>
      </c>
      <c r="F38" s="11" t="str">
        <f>RawTable[[#This Row],[Bank_Account]]</f>
        <v>US-RT-000013574-AC-0000062458</v>
      </c>
      <c r="G38" s="11" t="str">
        <f>RawTable[[#This Row],[Month]]</f>
        <v>Mar-2026</v>
      </c>
      <c r="H38" s="11" t="str">
        <f>RawTable[[#This Row],[Currency]]</f>
        <v>AED</v>
      </c>
      <c r="I38" s="4">
        <f>RawTable[[#This Row],[Net_Amount]]</f>
        <v>22448.799999999999</v>
      </c>
      <c r="J38" s="2" t="str">
        <f>RawTable[[#This Row],[VAT_Applicable]]</f>
        <v>No</v>
      </c>
      <c r="K38" s="4">
        <f>RawTable[[#This Row],[VAT_Rate]]</f>
        <v>0</v>
      </c>
      <c r="L38" s="4">
        <f>RawTable[[#This Row],[VAT_Amount]]</f>
        <v>0</v>
      </c>
      <c r="M38" s="4">
        <f>RawTable[[#This Row],[Gross_Amount]]</f>
        <v>22448.799999999999</v>
      </c>
      <c r="N38" s="4">
        <f>RawTable[[#This Row],[Exchange_Rate]]</f>
        <v>0.21065</v>
      </c>
      <c r="O38" s="4">
        <f>RawTable[[#This Row],[Amount_CHF]]</f>
        <v>4728.84</v>
      </c>
      <c r="P3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8" s="11" t="str">
        <f>IF(ValidationTable[[#This Row],[Currency]]="","Fail","Pass")</f>
        <v>Pass</v>
      </c>
      <c r="S38" s="11" t="str">
        <f>IF(
ValidationTable[[#This Row],[Currency]]="CHF",
IF(ValidationTable[[#This Row],[Exchange_Rate]]&lt;&gt;1,"Fail","Pass"),
IF(ValidationTable[[#This Row],[Exchange_Rate]]&lt;=0,"Fail","Pass")
)</f>
        <v>Pass</v>
      </c>
      <c r="T3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8" s="11" t="str">
        <f>IF(LEN(TRIM(ValidationTable[[#This Row],[Bank_Account]]))=0,"Fail","Pass")</f>
        <v>Pass</v>
      </c>
      <c r="V38" s="11" t="str">
        <f>IF(
COUNTIF(ValidationTable[Record_ID],ValidationTable[[#This Row],[Record_ID]])&gt;1,
"Fail",
"Pass"
)</f>
        <v>Pass</v>
      </c>
      <c r="W38" s="11" t="str">
        <f>IF(
COUNTIF(ValidationTable[[#This Row],[RequiredField_Validation]]:ValidationTable[[#This Row],[Duplicate_Validation]],"Fail")&gt;0,
"Fail",
"Pass"
)</f>
        <v>Pass</v>
      </c>
      <c r="X38" s="11" t="str">
        <f>IF(ValidationTable[[#This Row],[Validation_Result]]="Pass","Yes","No")</f>
        <v>Yes</v>
      </c>
    </row>
    <row r="39" spans="1:24">
      <c r="A39" s="11">
        <f>RawTable[[#This Row],[Record_ID]]</f>
        <v>38</v>
      </c>
      <c r="B39" s="11" t="str">
        <f>RawTable[[#This Row],[Payment_Type]]</f>
        <v>Payroll</v>
      </c>
      <c r="C39" s="11" t="str">
        <f>RawTable[[#This Row],[Entity_Type]]</f>
        <v>Employee</v>
      </c>
      <c r="D39" s="11" t="str">
        <f>RawTable[[#This Row],[Country]]</f>
        <v>UAE</v>
      </c>
      <c r="E39" s="11" t="str">
        <f>RawTable[[#This Row],[Name]]</f>
        <v>Omar Khan</v>
      </c>
      <c r="F39" s="11" t="str">
        <f>RawTable[[#This Row],[Bank_Account]]</f>
        <v>AE-IBAN-01738272</v>
      </c>
      <c r="G39" s="11" t="str">
        <f>RawTable[[#This Row],[Month]]</f>
        <v>Jan-2026</v>
      </c>
      <c r="H39" s="11" t="str">
        <f>RawTable[[#This Row],[Currency]]</f>
        <v>AED</v>
      </c>
      <c r="I39" s="4">
        <f>RawTable[[#This Row],[Net_Amount]]</f>
        <v>20748.2</v>
      </c>
      <c r="J39" s="2" t="str">
        <f>RawTable[[#This Row],[VAT_Applicable]]</f>
        <v>No</v>
      </c>
      <c r="K39" s="4">
        <f>RawTable[[#This Row],[VAT_Rate]]</f>
        <v>0</v>
      </c>
      <c r="L39" s="4">
        <f>RawTable[[#This Row],[VAT_Amount]]</f>
        <v>0</v>
      </c>
      <c r="M39" s="4">
        <f>RawTable[[#This Row],[Gross_Amount]]</f>
        <v>20748.2</v>
      </c>
      <c r="N39" s="4">
        <f>RawTable[[#This Row],[Exchange_Rate]]</f>
        <v>0.21065</v>
      </c>
      <c r="O39" s="4">
        <f>RawTable[[#This Row],[Amount_CHF]]</f>
        <v>4370.6099999999997</v>
      </c>
      <c r="P3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9" s="11" t="str">
        <f>IF(ValidationTable[[#This Row],[Currency]]="","Fail","Pass")</f>
        <v>Pass</v>
      </c>
      <c r="S39" s="11" t="str">
        <f>IF(
ValidationTable[[#This Row],[Currency]]="CHF",
IF(ValidationTable[[#This Row],[Exchange_Rate]]&lt;&gt;1,"Fail","Pass"),
IF(ValidationTable[[#This Row],[Exchange_Rate]]&lt;=0,"Fail","Pass")
)</f>
        <v>Pass</v>
      </c>
      <c r="T3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9" s="11" t="str">
        <f>IF(LEN(TRIM(ValidationTable[[#This Row],[Bank_Account]]))=0,"Fail","Pass")</f>
        <v>Pass</v>
      </c>
      <c r="V39" s="11" t="str">
        <f>IF(
COUNTIF(ValidationTable[Record_ID],ValidationTable[[#This Row],[Record_ID]])&gt;1,
"Fail",
"Pass"
)</f>
        <v>Pass</v>
      </c>
      <c r="W39" s="11" t="str">
        <f>IF(
COUNTIF(ValidationTable[[#This Row],[RequiredField_Validation]]:ValidationTable[[#This Row],[Duplicate_Validation]],"Fail")&gt;0,
"Fail",
"Pass"
)</f>
        <v>Pass</v>
      </c>
      <c r="X39" s="11" t="str">
        <f>IF(ValidationTable[[#This Row],[Validation_Result]]="Pass","Yes","No")</f>
        <v>Yes</v>
      </c>
    </row>
    <row r="40" spans="1:24">
      <c r="A40" s="11">
        <f>RawTable[[#This Row],[Record_ID]]</f>
        <v>39</v>
      </c>
      <c r="B40" s="11" t="str">
        <f>RawTable[[#This Row],[Payment_Type]]</f>
        <v>Payroll</v>
      </c>
      <c r="C40" s="11" t="str">
        <f>RawTable[[#This Row],[Entity_Type]]</f>
        <v>Employee</v>
      </c>
      <c r="D40" s="11" t="str">
        <f>RawTable[[#This Row],[Country]]</f>
        <v>UAE</v>
      </c>
      <c r="E40" s="11" t="str">
        <f>RawTable[[#This Row],[Name]]</f>
        <v>David Schmidt</v>
      </c>
      <c r="F40" s="11" t="str">
        <f>RawTable[[#This Row],[Bank_Account]]</f>
        <v>AE-IBAN-01792593</v>
      </c>
      <c r="G40" s="11" t="str">
        <f>RawTable[[#This Row],[Month]]</f>
        <v>Jan-2026</v>
      </c>
      <c r="H40" s="11" t="str">
        <f>RawTable[[#This Row],[Currency]]</f>
        <v>AED</v>
      </c>
      <c r="I40" s="4">
        <f>RawTable[[#This Row],[Net_Amount]]</f>
        <v>22055</v>
      </c>
      <c r="J40" s="2" t="str">
        <f>RawTable[[#This Row],[VAT_Applicable]]</f>
        <v>No</v>
      </c>
      <c r="K40" s="4">
        <f>RawTable[[#This Row],[VAT_Rate]]</f>
        <v>0</v>
      </c>
      <c r="L40" s="4">
        <f>RawTable[[#This Row],[VAT_Amount]]</f>
        <v>0</v>
      </c>
      <c r="M40" s="4">
        <f>RawTable[[#This Row],[Gross_Amount]]</f>
        <v>22055</v>
      </c>
      <c r="N40" s="4">
        <f>RawTable[[#This Row],[Exchange_Rate]]</f>
        <v>0.21065</v>
      </c>
      <c r="O40" s="4">
        <f>RawTable[[#This Row],[Amount_CHF]]</f>
        <v>4645.8900000000003</v>
      </c>
      <c r="P4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4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40" s="11" t="str">
        <f>IF(ValidationTable[[#This Row],[Currency]]="","Fail","Pass")</f>
        <v>Pass</v>
      </c>
      <c r="S40" s="11" t="str">
        <f>IF(
ValidationTable[[#This Row],[Currency]]="CHF",
IF(ValidationTable[[#This Row],[Exchange_Rate]]&lt;&gt;1,"Fail","Pass"),
IF(ValidationTable[[#This Row],[Exchange_Rate]]&lt;=0,"Fail","Pass")
)</f>
        <v>Pass</v>
      </c>
      <c r="T4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40" s="11" t="str">
        <f>IF(LEN(TRIM(ValidationTable[[#This Row],[Bank_Account]]))=0,"Fail","Pass")</f>
        <v>Pass</v>
      </c>
      <c r="V40" s="11" t="str">
        <f>IF(
COUNTIF(ValidationTable[Record_ID],ValidationTable[[#This Row],[Record_ID]])&gt;1,
"Fail",
"Pass"
)</f>
        <v>Pass</v>
      </c>
      <c r="W40" s="11" t="str">
        <f>IF(
COUNTIF(ValidationTable[[#This Row],[RequiredField_Validation]]:ValidationTable[[#This Row],[Duplicate_Validation]],"Fail")&gt;0,
"Fail",
"Pass"
)</f>
        <v>Pass</v>
      </c>
      <c r="X40" s="11" t="str">
        <f>IF(ValidationTable[[#This Row],[Validation_Result]]="Pass","Yes","No")</f>
        <v>Yes</v>
      </c>
    </row>
    <row r="41" spans="1:24">
      <c r="A41" s="11">
        <f>RawTable[[#This Row],[Record_ID]]</f>
        <v>40</v>
      </c>
      <c r="B41" s="11" t="str">
        <f>RawTable[[#This Row],[Payment_Type]]</f>
        <v>Payroll</v>
      </c>
      <c r="C41" s="11" t="str">
        <f>RawTable[[#This Row],[Entity_Type]]</f>
        <v>Employee</v>
      </c>
      <c r="D41" s="11" t="str">
        <f>RawTable[[#This Row],[Country]]</f>
        <v>USA</v>
      </c>
      <c r="E41" s="11" t="str">
        <f>RawTable[[#This Row],[Name]]</f>
        <v>David Ali</v>
      </c>
      <c r="F41" s="11" t="str">
        <f>RawTable[[#This Row],[Bank_Account]]</f>
        <v>US-RT-000041956-AC-0000193052</v>
      </c>
      <c r="G41" s="11" t="str">
        <f>RawTable[[#This Row],[Month]]</f>
        <v>Feb-2026</v>
      </c>
      <c r="H41" s="11" t="str">
        <f>RawTable[[#This Row],[Currency]]</f>
        <v>USD</v>
      </c>
      <c r="I41" s="4">
        <f>RawTable[[#This Row],[Net_Amount]]</f>
        <v>7366.1</v>
      </c>
      <c r="J41" s="2" t="str">
        <f>RawTable[[#This Row],[VAT_Applicable]]</f>
        <v>No</v>
      </c>
      <c r="K41" s="4">
        <f>RawTable[[#This Row],[VAT_Rate]]</f>
        <v>0</v>
      </c>
      <c r="L41" s="4">
        <f>RawTable[[#This Row],[VAT_Amount]]</f>
        <v>0</v>
      </c>
      <c r="M41" s="4">
        <f>RawTable[[#This Row],[Gross_Amount]]</f>
        <v>7366.1</v>
      </c>
      <c r="N41" s="4">
        <f>RawTable[[#This Row],[Exchange_Rate]]</f>
        <v>0.77017999999999998</v>
      </c>
      <c r="O41" s="4">
        <f>RawTable[[#This Row],[Amount_CHF]]</f>
        <v>5673.22</v>
      </c>
      <c r="P4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4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41" s="11" t="str">
        <f>IF(ValidationTable[[#This Row],[Currency]]="","Fail","Pass")</f>
        <v>Pass</v>
      </c>
      <c r="S41" s="11" t="str">
        <f>IF(
ValidationTable[[#This Row],[Currency]]="CHF",
IF(ValidationTable[[#This Row],[Exchange_Rate]]&lt;&gt;1,"Fail","Pass"),
IF(ValidationTable[[#This Row],[Exchange_Rate]]&lt;=0,"Fail","Pass")
)</f>
        <v>Pass</v>
      </c>
      <c r="T4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41" s="11" t="str">
        <f>IF(LEN(TRIM(ValidationTable[[#This Row],[Bank_Account]]))=0,"Fail","Pass")</f>
        <v>Pass</v>
      </c>
      <c r="V41" s="11" t="str">
        <f>IF(
COUNTIF(ValidationTable[Record_ID],ValidationTable[[#This Row],[Record_ID]])&gt;1,
"Fail",
"Pass"
)</f>
        <v>Pass</v>
      </c>
      <c r="W41" s="11" t="str">
        <f>IF(
COUNTIF(ValidationTable[[#This Row],[RequiredField_Validation]]:ValidationTable[[#This Row],[Duplicate_Validation]],"Fail")&gt;0,
"Fail",
"Pass"
)</f>
        <v>Pass</v>
      </c>
      <c r="X41" s="11" t="str">
        <f>IF(ValidationTable[[#This Row],[Validation_Result]]="Pass","Yes","No")</f>
        <v>Yes</v>
      </c>
    </row>
    <row r="42" spans="1:24">
      <c r="A42" s="11">
        <f>RawTable[[#This Row],[Record_ID]]</f>
        <v>41</v>
      </c>
      <c r="B42" s="11" t="str">
        <f>RawTable[[#This Row],[Payment_Type]]</f>
        <v>Payroll</v>
      </c>
      <c r="C42" s="11" t="str">
        <f>RawTable[[#This Row],[Entity_Type]]</f>
        <v>Employee</v>
      </c>
      <c r="D42" s="11" t="str">
        <f>RawTable[[#This Row],[Country]]</f>
        <v>Switzerland</v>
      </c>
      <c r="E42" s="11" t="str">
        <f>RawTable[[#This Row],[Name]]</f>
        <v>Julia Haddad</v>
      </c>
      <c r="F42" s="11" t="str">
        <f>RawTable[[#This Row],[Bank_Account]]</f>
        <v>CH930000000000863800</v>
      </c>
      <c r="G42" s="11" t="str">
        <f>RawTable[[#This Row],[Month]]</f>
        <v>Jan-2026</v>
      </c>
      <c r="H42" s="11" t="str">
        <f>RawTable[[#This Row],[Currency]]</f>
        <v>CHF</v>
      </c>
      <c r="I42" s="4">
        <f>RawTable[[#This Row],[Net_Amount]]</f>
        <v>6855.55</v>
      </c>
      <c r="J42" s="2" t="str">
        <f>RawTable[[#This Row],[VAT_Applicable]]</f>
        <v>No</v>
      </c>
      <c r="K42" s="4">
        <f>RawTable[[#This Row],[VAT_Rate]]</f>
        <v>0</v>
      </c>
      <c r="L42" s="4">
        <f>RawTable[[#This Row],[VAT_Amount]]</f>
        <v>0</v>
      </c>
      <c r="M42" s="4">
        <f>RawTable[[#This Row],[Gross_Amount]]</f>
        <v>6855.55</v>
      </c>
      <c r="N42" s="4">
        <f>RawTable[[#This Row],[Exchange_Rate]]</f>
        <v>1</v>
      </c>
      <c r="O42" s="4">
        <f>RawTable[[#This Row],[Amount_CHF]]</f>
        <v>6855.55</v>
      </c>
      <c r="P4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4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42" s="11" t="str">
        <f>IF(ValidationTable[[#This Row],[Currency]]="","Fail","Pass")</f>
        <v>Pass</v>
      </c>
      <c r="S42" s="11" t="str">
        <f>IF(
ValidationTable[[#This Row],[Currency]]="CHF",
IF(ValidationTable[[#This Row],[Exchange_Rate]]&lt;&gt;1,"Fail","Pass"),
IF(ValidationTable[[#This Row],[Exchange_Rate]]&lt;=0,"Fail","Pass")
)</f>
        <v>Pass</v>
      </c>
      <c r="T4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42" s="11" t="str">
        <f>IF(LEN(TRIM(ValidationTable[[#This Row],[Bank_Account]]))=0,"Fail","Pass")</f>
        <v>Pass</v>
      </c>
      <c r="V42" s="11" t="str">
        <f>IF(
COUNTIF(ValidationTable[Record_ID],ValidationTable[[#This Row],[Record_ID]])&gt;1,
"Fail",
"Pass"
)</f>
        <v>Pass</v>
      </c>
      <c r="W42" s="11" t="str">
        <f>IF(
COUNTIF(ValidationTable[[#This Row],[RequiredField_Validation]]:ValidationTable[[#This Row],[Duplicate_Validation]],"Fail")&gt;0,
"Fail",
"Pass"
)</f>
        <v>Pass</v>
      </c>
      <c r="X42" s="11" t="str">
        <f>IF(ValidationTable[[#This Row],[Validation_Result]]="Pass","Yes","No")</f>
        <v>Yes</v>
      </c>
    </row>
    <row r="43" spans="1:24">
      <c r="A43" s="11">
        <f>RawTable[[#This Row],[Record_ID]]</f>
        <v>42</v>
      </c>
      <c r="B43" s="11" t="str">
        <f>RawTable[[#This Row],[Payment_Type]]</f>
        <v>Payroll</v>
      </c>
      <c r="C43" s="11" t="str">
        <f>RawTable[[#This Row],[Entity_Type]]</f>
        <v>Employee</v>
      </c>
      <c r="D43" s="11" t="str">
        <f>RawTable[[#This Row],[Country]]</f>
        <v>Jordan</v>
      </c>
      <c r="E43" s="11" t="str">
        <f>RawTable[[#This Row],[Name]]</f>
        <v>David Müller</v>
      </c>
      <c r="F43" s="11" t="str">
        <f>RawTable[[#This Row],[Bank_Account]]</f>
        <v>JO-IBAN-00444420</v>
      </c>
      <c r="G43" s="11" t="str">
        <f>RawTable[[#This Row],[Month]]</f>
        <v>Jan-2026</v>
      </c>
      <c r="H43" s="11" t="str">
        <f>RawTable[[#This Row],[Currency]]</f>
        <v>JOD</v>
      </c>
      <c r="I43" s="4">
        <f>RawTable[[#This Row],[Net_Amount]]</f>
        <v>1929.6</v>
      </c>
      <c r="J43" s="2" t="str">
        <f>RawTable[[#This Row],[VAT_Applicable]]</f>
        <v>No</v>
      </c>
      <c r="K43" s="4">
        <f>RawTable[[#This Row],[VAT_Rate]]</f>
        <v>0</v>
      </c>
      <c r="L43" s="4">
        <f>RawTable[[#This Row],[VAT_Amount]]</f>
        <v>0</v>
      </c>
      <c r="M43" s="4">
        <f>RawTable[[#This Row],[Gross_Amount]]</f>
        <v>1929.6</v>
      </c>
      <c r="N43" s="4">
        <f>RawTable[[#This Row],[Exchange_Rate]]</f>
        <v>1.08643</v>
      </c>
      <c r="O43" s="4">
        <f>RawTable[[#This Row],[Amount_CHF]]</f>
        <v>2096.38</v>
      </c>
      <c r="P4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4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43" s="11" t="str">
        <f>IF(ValidationTable[[#This Row],[Currency]]="","Fail","Pass")</f>
        <v>Pass</v>
      </c>
      <c r="S43" s="11" t="str">
        <f>IF(
ValidationTable[[#This Row],[Currency]]="CHF",
IF(ValidationTable[[#This Row],[Exchange_Rate]]&lt;&gt;1,"Fail","Pass"),
IF(ValidationTable[[#This Row],[Exchange_Rate]]&lt;=0,"Fail","Pass")
)</f>
        <v>Pass</v>
      </c>
      <c r="T4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43" s="11" t="str">
        <f>IF(LEN(TRIM(ValidationTable[[#This Row],[Bank_Account]]))=0,"Fail","Pass")</f>
        <v>Pass</v>
      </c>
      <c r="V43" s="11" t="str">
        <f>IF(
COUNTIF(ValidationTable[Record_ID],ValidationTable[[#This Row],[Record_ID]])&gt;1,
"Fail",
"Pass"
)</f>
        <v>Pass</v>
      </c>
      <c r="W43" s="11" t="str">
        <f>IF(
COUNTIF(ValidationTable[[#This Row],[RequiredField_Validation]]:ValidationTable[[#This Row],[Duplicate_Validation]],"Fail")&gt;0,
"Fail",
"Pass"
)</f>
        <v>Pass</v>
      </c>
      <c r="X43" s="11" t="str">
        <f>IF(ValidationTable[[#This Row],[Validation_Result]]="Pass","Yes","No")</f>
        <v>Yes</v>
      </c>
    </row>
    <row r="44" spans="1:24">
      <c r="A44" s="11">
        <f>RawTable[[#This Row],[Record_ID]]</f>
        <v>43</v>
      </c>
      <c r="B44" s="11" t="str">
        <f>RawTable[[#This Row],[Payment_Type]]</f>
        <v>Payroll</v>
      </c>
      <c r="C44" s="11" t="str">
        <f>RawTable[[#This Row],[Entity_Type]]</f>
        <v>Employee</v>
      </c>
      <c r="D44" s="11" t="str">
        <f>RawTable[[#This Row],[Country]]</f>
        <v>UAE</v>
      </c>
      <c r="E44" s="11" t="str">
        <f>RawTable[[#This Row],[Name]]</f>
        <v>Anna Müller</v>
      </c>
      <c r="F44" s="11" t="str">
        <f>RawTable[[#This Row],[Bank_Account]]</f>
        <v>AE-IBAN-02009877</v>
      </c>
      <c r="G44" s="11" t="str">
        <f>RawTable[[#This Row],[Month]]</f>
        <v>Jan-2026</v>
      </c>
      <c r="H44" s="11" t="str">
        <f>RawTable[[#This Row],[Currency]]</f>
        <v>AED</v>
      </c>
      <c r="I44" s="4">
        <f>RawTable[[#This Row],[Net_Amount]]</f>
        <v>21131</v>
      </c>
      <c r="J44" s="2" t="str">
        <f>RawTable[[#This Row],[VAT_Applicable]]</f>
        <v>No</v>
      </c>
      <c r="K44" s="4">
        <f>RawTable[[#This Row],[VAT_Rate]]</f>
        <v>0</v>
      </c>
      <c r="L44" s="4">
        <f>RawTable[[#This Row],[VAT_Amount]]</f>
        <v>0</v>
      </c>
      <c r="M44" s="4">
        <f>RawTable[[#This Row],[Gross_Amount]]</f>
        <v>21131</v>
      </c>
      <c r="N44" s="4">
        <f>RawTable[[#This Row],[Exchange_Rate]]</f>
        <v>0.21065</v>
      </c>
      <c r="O44" s="4">
        <f>RawTable[[#This Row],[Amount_CHF]]</f>
        <v>4451.25</v>
      </c>
      <c r="P4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4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44" s="11" t="str">
        <f>IF(ValidationTable[[#This Row],[Currency]]="","Fail","Pass")</f>
        <v>Pass</v>
      </c>
      <c r="S44" s="11" t="str">
        <f>IF(
ValidationTable[[#This Row],[Currency]]="CHF",
IF(ValidationTable[[#This Row],[Exchange_Rate]]&lt;&gt;1,"Fail","Pass"),
IF(ValidationTable[[#This Row],[Exchange_Rate]]&lt;=0,"Fail","Pass")
)</f>
        <v>Pass</v>
      </c>
      <c r="T4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44" s="11" t="str">
        <f>IF(LEN(TRIM(ValidationTable[[#This Row],[Bank_Account]]))=0,"Fail","Pass")</f>
        <v>Pass</v>
      </c>
      <c r="V44" s="11" t="str">
        <f>IF(
COUNTIF(ValidationTable[Record_ID],ValidationTable[[#This Row],[Record_ID]])&gt;1,
"Fail",
"Pass"
)</f>
        <v>Pass</v>
      </c>
      <c r="W44" s="11" t="str">
        <f>IF(
COUNTIF(ValidationTable[[#This Row],[RequiredField_Validation]]:ValidationTable[[#This Row],[Duplicate_Validation]],"Fail")&gt;0,
"Fail",
"Pass"
)</f>
        <v>Pass</v>
      </c>
      <c r="X44" s="11" t="str">
        <f>IF(ValidationTable[[#This Row],[Validation_Result]]="Pass","Yes","No")</f>
        <v>Yes</v>
      </c>
    </row>
    <row r="45" spans="1:24">
      <c r="A45" s="11">
        <f>RawTable[[#This Row],[Record_ID]]</f>
        <v>44</v>
      </c>
      <c r="B45" s="11" t="str">
        <f>RawTable[[#This Row],[Payment_Type]]</f>
        <v>Payroll</v>
      </c>
      <c r="C45" s="11" t="str">
        <f>RawTable[[#This Row],[Entity_Type]]</f>
        <v>Employee</v>
      </c>
      <c r="D45" s="11" t="str">
        <f>RawTable[[#This Row],[Country]]</f>
        <v>Jordan</v>
      </c>
      <c r="E45" s="11" t="str">
        <f>RawTable[[#This Row],[Name]]</f>
        <v>Julia Ali</v>
      </c>
      <c r="F45" s="11" t="str">
        <f>RawTable[[#This Row],[Bank_Account]]</f>
        <v>JO-IBAN-00469110</v>
      </c>
      <c r="G45" s="11" t="str">
        <f>RawTable[[#This Row],[Month]]</f>
        <v>Jan-2026</v>
      </c>
      <c r="H45" s="11" t="str">
        <f>RawTable[[#This Row],[Currency]]</f>
        <v>JOD</v>
      </c>
      <c r="I45" s="4">
        <f>RawTable[[#This Row],[Net_Amount]]</f>
        <v>1893.06</v>
      </c>
      <c r="J45" s="2" t="str">
        <f>RawTable[[#This Row],[VAT_Applicable]]</f>
        <v>No</v>
      </c>
      <c r="K45" s="4">
        <f>RawTable[[#This Row],[VAT_Rate]]</f>
        <v>0</v>
      </c>
      <c r="L45" s="4">
        <f>RawTable[[#This Row],[VAT_Amount]]</f>
        <v>0</v>
      </c>
      <c r="M45" s="4">
        <f>RawTable[[#This Row],[Gross_Amount]]</f>
        <v>1893.06</v>
      </c>
      <c r="N45" s="4">
        <f>RawTable[[#This Row],[Exchange_Rate]]</f>
        <v>1.08643</v>
      </c>
      <c r="O45" s="4">
        <f>RawTable[[#This Row],[Amount_CHF]]</f>
        <v>2056.6799999999998</v>
      </c>
      <c r="P4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4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45" s="11" t="str">
        <f>IF(ValidationTable[[#This Row],[Currency]]="","Fail","Pass")</f>
        <v>Pass</v>
      </c>
      <c r="S45" s="11" t="str">
        <f>IF(
ValidationTable[[#This Row],[Currency]]="CHF",
IF(ValidationTable[[#This Row],[Exchange_Rate]]&lt;&gt;1,"Fail","Pass"),
IF(ValidationTable[[#This Row],[Exchange_Rate]]&lt;=0,"Fail","Pass")
)</f>
        <v>Pass</v>
      </c>
      <c r="T4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45" s="11" t="str">
        <f>IF(LEN(TRIM(ValidationTable[[#This Row],[Bank_Account]]))=0,"Fail","Pass")</f>
        <v>Pass</v>
      </c>
      <c r="V45" s="11" t="str">
        <f>IF(
COUNTIF(ValidationTable[Record_ID],ValidationTable[[#This Row],[Record_ID]])&gt;1,
"Fail",
"Pass"
)</f>
        <v>Pass</v>
      </c>
      <c r="W45" s="11" t="str">
        <f>IF(
COUNTIF(ValidationTable[[#This Row],[RequiredField_Validation]]:ValidationTable[[#This Row],[Duplicate_Validation]],"Fail")&gt;0,
"Fail",
"Pass"
)</f>
        <v>Pass</v>
      </c>
      <c r="X45" s="11" t="str">
        <f>IF(ValidationTable[[#This Row],[Validation_Result]]="Pass","Yes","No")</f>
        <v>Yes</v>
      </c>
    </row>
    <row r="46" spans="1:24">
      <c r="A46" s="11">
        <f>RawTable[[#This Row],[Record_ID]]</f>
        <v>45</v>
      </c>
      <c r="B46" s="11" t="str">
        <f>RawTable[[#This Row],[Payment_Type]]</f>
        <v>Payroll</v>
      </c>
      <c r="C46" s="11" t="str">
        <f>RawTable[[#This Row],[Entity_Type]]</f>
        <v>Employee</v>
      </c>
      <c r="D46" s="11" t="str">
        <f>RawTable[[#This Row],[Country]]</f>
        <v>Switzerland</v>
      </c>
      <c r="E46" s="11" t="str">
        <f>RawTable[[#This Row],[Name]]</f>
        <v>Julia Khan</v>
      </c>
      <c r="F46" s="11" t="str">
        <f>RawTable[[#This Row],[Bank_Account]]</f>
        <v>CH930000000000962520</v>
      </c>
      <c r="G46" s="11" t="str">
        <f>RawTable[[#This Row],[Month]]</f>
        <v>Jan-2026</v>
      </c>
      <c r="H46" s="11" t="str">
        <f>RawTable[[#This Row],[Currency]]</f>
        <v>CHF</v>
      </c>
      <c r="I46" s="4">
        <f>RawTable[[#This Row],[Net_Amount]]</f>
        <v>7097.35</v>
      </c>
      <c r="J46" s="2" t="str">
        <f>RawTable[[#This Row],[VAT_Applicable]]</f>
        <v>No</v>
      </c>
      <c r="K46" s="4">
        <f>RawTable[[#This Row],[VAT_Rate]]</f>
        <v>0</v>
      </c>
      <c r="L46" s="4">
        <f>RawTable[[#This Row],[VAT_Amount]]</f>
        <v>0</v>
      </c>
      <c r="M46" s="4">
        <f>RawTable[[#This Row],[Gross_Amount]]</f>
        <v>7097.35</v>
      </c>
      <c r="N46" s="4">
        <f>RawTable[[#This Row],[Exchange_Rate]]</f>
        <v>1</v>
      </c>
      <c r="O46" s="4">
        <f>RawTable[[#This Row],[Amount_CHF]]</f>
        <v>7097.35</v>
      </c>
      <c r="P4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4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46" s="11" t="str">
        <f>IF(ValidationTable[[#This Row],[Currency]]="","Fail","Pass")</f>
        <v>Pass</v>
      </c>
      <c r="S46" s="11" t="str">
        <f>IF(
ValidationTable[[#This Row],[Currency]]="CHF",
IF(ValidationTable[[#This Row],[Exchange_Rate]]&lt;&gt;1,"Fail","Pass"),
IF(ValidationTable[[#This Row],[Exchange_Rate]]&lt;=0,"Fail","Pass")
)</f>
        <v>Pass</v>
      </c>
      <c r="T4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46" s="11" t="str">
        <f>IF(LEN(TRIM(ValidationTable[[#This Row],[Bank_Account]]))=0,"Fail","Pass")</f>
        <v>Pass</v>
      </c>
      <c r="V46" s="11" t="str">
        <f>IF(
COUNTIF(ValidationTable[Record_ID],ValidationTable[[#This Row],[Record_ID]])&gt;1,
"Fail",
"Pass"
)</f>
        <v>Pass</v>
      </c>
      <c r="W46" s="11" t="str">
        <f>IF(
COUNTIF(ValidationTable[[#This Row],[RequiredField_Validation]]:ValidationTable[[#This Row],[Duplicate_Validation]],"Fail")&gt;0,
"Fail",
"Pass"
)</f>
        <v>Pass</v>
      </c>
      <c r="X46" s="11" t="str">
        <f>IF(ValidationTable[[#This Row],[Validation_Result]]="Pass","Yes","No")</f>
        <v>Yes</v>
      </c>
    </row>
    <row r="47" spans="1:24">
      <c r="A47" s="11">
        <f>RawTable[[#This Row],[Record_ID]]</f>
        <v>46</v>
      </c>
      <c r="B47" s="11" t="str">
        <f>RawTable[[#This Row],[Payment_Type]]</f>
        <v>Payroll</v>
      </c>
      <c r="C47" s="11" t="str">
        <f>RawTable[[#This Row],[Entity_Type]]</f>
        <v>Employee</v>
      </c>
      <c r="D47" s="11" t="str">
        <f>RawTable[[#This Row],[Country]]</f>
        <v>UAE</v>
      </c>
      <c r="E47" s="11" t="str">
        <f>RawTable[[#This Row],[Name]]</f>
        <v>Sara Haddad</v>
      </c>
      <c r="F47" s="11" t="str">
        <f>RawTable[[#This Row],[Bank_Account]]</f>
        <v>AE-IBAN-02172840</v>
      </c>
      <c r="G47" s="11" t="str">
        <f>RawTable[[#This Row],[Month]]</f>
        <v>Feb-2026</v>
      </c>
      <c r="H47" s="11" t="str">
        <f>RawTable[[#This Row],[Currency]]</f>
        <v>AED</v>
      </c>
      <c r="I47" s="4">
        <f>RawTable[[#This Row],[Net_Amount]]</f>
        <v>23579.599999999999</v>
      </c>
      <c r="J47" s="2" t="str">
        <f>RawTable[[#This Row],[VAT_Applicable]]</f>
        <v>No</v>
      </c>
      <c r="K47" s="4">
        <f>RawTable[[#This Row],[VAT_Rate]]</f>
        <v>0</v>
      </c>
      <c r="L47" s="4">
        <f>RawTable[[#This Row],[VAT_Amount]]</f>
        <v>0</v>
      </c>
      <c r="M47" s="4">
        <f>RawTable[[#This Row],[Gross_Amount]]</f>
        <v>23579.599999999999</v>
      </c>
      <c r="N47" s="4">
        <f>RawTable[[#This Row],[Exchange_Rate]]</f>
        <v>0.21065</v>
      </c>
      <c r="O47" s="4">
        <f>RawTable[[#This Row],[Amount_CHF]]</f>
        <v>4967.04</v>
      </c>
      <c r="P4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4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47" s="11" t="str">
        <f>IF(ValidationTable[[#This Row],[Currency]]="","Fail","Pass")</f>
        <v>Pass</v>
      </c>
      <c r="S47" s="11" t="str">
        <f>IF(
ValidationTable[[#This Row],[Currency]]="CHF",
IF(ValidationTable[[#This Row],[Exchange_Rate]]&lt;&gt;1,"Fail","Pass"),
IF(ValidationTable[[#This Row],[Exchange_Rate]]&lt;=0,"Fail","Pass")
)</f>
        <v>Pass</v>
      </c>
      <c r="T4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47" s="11" t="str">
        <f>IF(LEN(TRIM(ValidationTable[[#This Row],[Bank_Account]]))=0,"Fail","Pass")</f>
        <v>Pass</v>
      </c>
      <c r="V47" s="11" t="str">
        <f>IF(
COUNTIF(ValidationTable[Record_ID],ValidationTable[[#This Row],[Record_ID]])&gt;1,
"Fail",
"Pass"
)</f>
        <v>Pass</v>
      </c>
      <c r="W47" s="11" t="str">
        <f>IF(
COUNTIF(ValidationTable[[#This Row],[RequiredField_Validation]]:ValidationTable[[#This Row],[Duplicate_Validation]],"Fail")&gt;0,
"Fail",
"Pass"
)</f>
        <v>Pass</v>
      </c>
      <c r="X47" s="11" t="str">
        <f>IF(ValidationTable[[#This Row],[Validation_Result]]="Pass","Yes","No")</f>
        <v>Yes</v>
      </c>
    </row>
    <row r="48" spans="1:24">
      <c r="A48" s="11">
        <f>RawTable[[#This Row],[Record_ID]]</f>
        <v>47</v>
      </c>
      <c r="B48" s="11" t="str">
        <f>RawTable[[#This Row],[Payment_Type]]</f>
        <v>Payroll</v>
      </c>
      <c r="C48" s="11" t="str">
        <f>RawTable[[#This Row],[Entity_Type]]</f>
        <v>Employee</v>
      </c>
      <c r="D48" s="11" t="str">
        <f>RawTable[[#This Row],[Country]]</f>
        <v>USA</v>
      </c>
      <c r="E48" s="11" t="str">
        <f>RawTable[[#This Row],[Name]]</f>
        <v>Sara Khan</v>
      </c>
      <c r="F48" s="11" t="str">
        <f>RawTable[[#This Row],[Bank_Account]]</f>
        <v>US-RT-000050594-AC-0000232798</v>
      </c>
      <c r="G48" s="11" t="str">
        <f>RawTable[[#This Row],[Month]]</f>
        <v>Feb-2026</v>
      </c>
      <c r="H48" s="11" t="str">
        <f>RawTable[[#This Row],[Currency]]</f>
        <v>USD</v>
      </c>
      <c r="I48" s="4">
        <f>RawTable[[#This Row],[Net_Amount]]</f>
        <v>6708.8</v>
      </c>
      <c r="J48" s="2" t="str">
        <f>RawTable[[#This Row],[VAT_Applicable]]</f>
        <v>No</v>
      </c>
      <c r="K48" s="4">
        <f>RawTable[[#This Row],[VAT_Rate]]</f>
        <v>0</v>
      </c>
      <c r="L48" s="4">
        <f>RawTable[[#This Row],[VAT_Amount]]</f>
        <v>0</v>
      </c>
      <c r="M48" s="4">
        <f>RawTable[[#This Row],[Gross_Amount]]</f>
        <v>6708.8</v>
      </c>
      <c r="N48" s="4">
        <f>RawTable[[#This Row],[Exchange_Rate]]</f>
        <v>0.77017999999999998</v>
      </c>
      <c r="O48" s="4">
        <f>RawTable[[#This Row],[Amount_CHF]]</f>
        <v>5166.9799999999996</v>
      </c>
      <c r="P4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4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48" s="11" t="str">
        <f>IF(ValidationTable[[#This Row],[Currency]]="","Fail","Pass")</f>
        <v>Pass</v>
      </c>
      <c r="S48" s="11" t="str">
        <f>IF(
ValidationTable[[#This Row],[Currency]]="CHF",
IF(ValidationTable[[#This Row],[Exchange_Rate]]&lt;&gt;1,"Fail","Pass"),
IF(ValidationTable[[#This Row],[Exchange_Rate]]&lt;=0,"Fail","Pass")
)</f>
        <v>Pass</v>
      </c>
      <c r="T4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48" s="11" t="str">
        <f>IF(LEN(TRIM(ValidationTable[[#This Row],[Bank_Account]]))=0,"Fail","Pass")</f>
        <v>Pass</v>
      </c>
      <c r="V48" s="11" t="str">
        <f>IF(
COUNTIF(ValidationTable[Record_ID],ValidationTable[[#This Row],[Record_ID]])&gt;1,
"Fail",
"Pass"
)</f>
        <v>Pass</v>
      </c>
      <c r="W48" s="11" t="str">
        <f>IF(
COUNTIF(ValidationTable[[#This Row],[RequiredField_Validation]]:ValidationTable[[#This Row],[Duplicate_Validation]],"Fail")&gt;0,
"Fail",
"Pass"
)</f>
        <v>Pass</v>
      </c>
      <c r="X48" s="11" t="str">
        <f>IF(ValidationTable[[#This Row],[Validation_Result]]="Pass","Yes","No")</f>
        <v>Yes</v>
      </c>
    </row>
    <row r="49" spans="1:24">
      <c r="A49" s="11">
        <f>RawTable[[#This Row],[Record_ID]]</f>
        <v>48</v>
      </c>
      <c r="B49" s="11" t="str">
        <f>RawTable[[#This Row],[Payment_Type]]</f>
        <v>Payroll</v>
      </c>
      <c r="C49" s="11" t="str">
        <f>RawTable[[#This Row],[Entity_Type]]</f>
        <v>Employee</v>
      </c>
      <c r="D49" s="11" t="str">
        <f>RawTable[[#This Row],[Country]]</f>
        <v>Switzerland</v>
      </c>
      <c r="E49" s="11" t="str">
        <f>RawTable[[#This Row],[Name]]</f>
        <v>Lina Schmidt</v>
      </c>
      <c r="F49" s="11" t="str">
        <f>RawTable[[#This Row],[Bank_Account]]</f>
        <v>JO-IBAN-00234555</v>
      </c>
      <c r="G49" s="11" t="str">
        <f>RawTable[[#This Row],[Month]]</f>
        <v>Mar-2026</v>
      </c>
      <c r="H49" s="11" t="str">
        <f>RawTable[[#This Row],[Currency]]</f>
        <v>CHF</v>
      </c>
      <c r="I49" s="4">
        <f>RawTable[[#This Row],[Net_Amount]]</f>
        <v>7073.95</v>
      </c>
      <c r="J49" s="2" t="str">
        <f>RawTable[[#This Row],[VAT_Applicable]]</f>
        <v>No</v>
      </c>
      <c r="K49" s="4">
        <f>RawTable[[#This Row],[VAT_Rate]]</f>
        <v>0</v>
      </c>
      <c r="L49" s="4">
        <f>RawTable[[#This Row],[VAT_Amount]]</f>
        <v>0</v>
      </c>
      <c r="M49" s="4">
        <f>RawTable[[#This Row],[Gross_Amount]]</f>
        <v>7073.95</v>
      </c>
      <c r="N49" s="4">
        <f>RawTable[[#This Row],[Exchange_Rate]]</f>
        <v>1</v>
      </c>
      <c r="O49" s="4">
        <f>RawTable[[#This Row],[Amount_CHF]]</f>
        <v>7073.95</v>
      </c>
      <c r="P4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4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49" s="11" t="str">
        <f>IF(ValidationTable[[#This Row],[Currency]]="","Fail","Pass")</f>
        <v>Pass</v>
      </c>
      <c r="S49" s="11" t="str">
        <f>IF(
ValidationTable[[#This Row],[Currency]]="CHF",
IF(ValidationTable[[#This Row],[Exchange_Rate]]&lt;&gt;1,"Fail","Pass"),
IF(ValidationTable[[#This Row],[Exchange_Rate]]&lt;=0,"Fail","Pass")
)</f>
        <v>Pass</v>
      </c>
      <c r="T4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49" s="11" t="str">
        <f>IF(LEN(TRIM(ValidationTable[[#This Row],[Bank_Account]]))=0,"Fail","Pass")</f>
        <v>Pass</v>
      </c>
      <c r="V49" s="11" t="str">
        <f>IF(
COUNTIF(ValidationTable[Record_ID],ValidationTable[[#This Row],[Record_ID]])&gt;1,
"Fail",
"Pass"
)</f>
        <v>Pass</v>
      </c>
      <c r="W49" s="11" t="str">
        <f>IF(
COUNTIF(ValidationTable[[#This Row],[RequiredField_Validation]]:ValidationTable[[#This Row],[Duplicate_Validation]],"Fail")&gt;0,
"Fail",
"Pass"
)</f>
        <v>Pass</v>
      </c>
      <c r="X49" s="11" t="str">
        <f>IF(ValidationTable[[#This Row],[Validation_Result]]="Pass","Yes","No")</f>
        <v>Yes</v>
      </c>
    </row>
    <row r="50" spans="1:24">
      <c r="A50" s="11">
        <f>RawTable[[#This Row],[Record_ID]]</f>
        <v>49</v>
      </c>
      <c r="B50" s="11" t="str">
        <f>RawTable[[#This Row],[Payment_Type]]</f>
        <v>Payroll</v>
      </c>
      <c r="C50" s="11" t="str">
        <f>RawTable[[#This Row],[Entity_Type]]</f>
        <v>Employee</v>
      </c>
      <c r="D50" s="11" t="str">
        <f>RawTable[[#This Row],[Country]]</f>
        <v>USA</v>
      </c>
      <c r="E50" s="11" t="str">
        <f>RawTable[[#This Row],[Name]]</f>
        <v>Lina Brown</v>
      </c>
      <c r="F50" s="11" t="str">
        <f>RawTable[[#This Row],[Bank_Account]]</f>
        <v>US-RT-000051828-AC-0000238476</v>
      </c>
      <c r="G50" s="11" t="str">
        <f>RawTable[[#This Row],[Month]]</f>
        <v>Jan-2026</v>
      </c>
      <c r="H50" s="11" t="str">
        <f>RawTable[[#This Row],[Currency]]</f>
        <v>USD</v>
      </c>
      <c r="I50" s="4">
        <f>RawTable[[#This Row],[Net_Amount]]</f>
        <v>7567</v>
      </c>
      <c r="J50" s="2" t="str">
        <f>RawTable[[#This Row],[VAT_Applicable]]</f>
        <v>No</v>
      </c>
      <c r="K50" s="4">
        <f>RawTable[[#This Row],[VAT_Rate]]</f>
        <v>0</v>
      </c>
      <c r="L50" s="4">
        <f>RawTable[[#This Row],[VAT_Amount]]</f>
        <v>0</v>
      </c>
      <c r="M50" s="4">
        <f>RawTable[[#This Row],[Gross_Amount]]</f>
        <v>7567</v>
      </c>
      <c r="N50" s="4">
        <f>RawTable[[#This Row],[Exchange_Rate]]</f>
        <v>0.77017999999999998</v>
      </c>
      <c r="O50" s="4">
        <f>RawTable[[#This Row],[Amount_CHF]]</f>
        <v>5827.95</v>
      </c>
      <c r="P5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5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50" s="11" t="str">
        <f>IF(ValidationTable[[#This Row],[Currency]]="","Fail","Pass")</f>
        <v>Pass</v>
      </c>
      <c r="S50" s="11" t="str">
        <f>IF(
ValidationTable[[#This Row],[Currency]]="CHF",
IF(ValidationTable[[#This Row],[Exchange_Rate]]&lt;&gt;1,"Fail","Pass"),
IF(ValidationTable[[#This Row],[Exchange_Rate]]&lt;=0,"Fail","Pass")
)</f>
        <v>Pass</v>
      </c>
      <c r="T5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50" s="11" t="str">
        <f>IF(LEN(TRIM(ValidationTable[[#This Row],[Bank_Account]]))=0,"Fail","Pass")</f>
        <v>Pass</v>
      </c>
      <c r="V50" s="11" t="str">
        <f>IF(
COUNTIF(ValidationTable[Record_ID],ValidationTable[[#This Row],[Record_ID]])&gt;1,
"Fail",
"Pass"
)</f>
        <v>Pass</v>
      </c>
      <c r="W50" s="11" t="str">
        <f>IF(
COUNTIF(ValidationTable[[#This Row],[RequiredField_Validation]]:ValidationTable[[#This Row],[Duplicate_Validation]],"Fail")&gt;0,
"Fail",
"Pass"
)</f>
        <v>Pass</v>
      </c>
      <c r="X50" s="11" t="str">
        <f>IF(ValidationTable[[#This Row],[Validation_Result]]="Pass","Yes","No")</f>
        <v>Yes</v>
      </c>
    </row>
    <row r="51" spans="1:24">
      <c r="A51" s="11">
        <f>RawTable[[#This Row],[Record_ID]]</f>
        <v>50</v>
      </c>
      <c r="B51" s="11" t="str">
        <f>RawTable[[#This Row],[Payment_Type]]</f>
        <v>Payroll</v>
      </c>
      <c r="C51" s="11" t="str">
        <f>RawTable[[#This Row],[Entity_Type]]</f>
        <v>Employee</v>
      </c>
      <c r="D51" s="11" t="str">
        <f>RawTable[[#This Row],[Country]]</f>
        <v>Jordan</v>
      </c>
      <c r="E51" s="11" t="str">
        <f>RawTable[[#This Row],[Name]]</f>
        <v>Ahmed Haddad</v>
      </c>
      <c r="F51" s="11" t="str">
        <f>RawTable[[#This Row],[Bank_Account]]</f>
        <v>JO-IBAN-00209865</v>
      </c>
      <c r="G51" s="11" t="str">
        <f>RawTable[[#This Row],[Month]]</f>
        <v>Feb-2026</v>
      </c>
      <c r="H51" s="11" t="str">
        <f>RawTable[[#This Row],[Currency]]</f>
        <v>JOD</v>
      </c>
      <c r="I51" s="4">
        <f>RawTable[[#This Row],[Net_Amount]]</f>
        <v>1901.91</v>
      </c>
      <c r="J51" s="2" t="str">
        <f>RawTable[[#This Row],[VAT_Applicable]]</f>
        <v>No</v>
      </c>
      <c r="K51" s="4">
        <f>RawTable[[#This Row],[VAT_Rate]]</f>
        <v>0</v>
      </c>
      <c r="L51" s="4">
        <f>RawTable[[#This Row],[VAT_Amount]]</f>
        <v>0</v>
      </c>
      <c r="M51" s="4">
        <f>RawTable[[#This Row],[Gross_Amount]]</f>
        <v>1901.91</v>
      </c>
      <c r="N51" s="4">
        <f>RawTable[[#This Row],[Exchange_Rate]]</f>
        <v>1.08643</v>
      </c>
      <c r="O51" s="4">
        <f>RawTable[[#This Row],[Amount_CHF]]</f>
        <v>2066.29</v>
      </c>
      <c r="P5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5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51" s="11" t="str">
        <f>IF(ValidationTable[[#This Row],[Currency]]="","Fail","Pass")</f>
        <v>Pass</v>
      </c>
      <c r="S51" s="11" t="str">
        <f>IF(
ValidationTable[[#This Row],[Currency]]="CHF",
IF(ValidationTable[[#This Row],[Exchange_Rate]]&lt;&gt;1,"Fail","Pass"),
IF(ValidationTable[[#This Row],[Exchange_Rate]]&lt;=0,"Fail","Pass")
)</f>
        <v>Pass</v>
      </c>
      <c r="T5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51" s="11" t="str">
        <f>IF(LEN(TRIM(ValidationTable[[#This Row],[Bank_Account]]))=0,"Fail","Pass")</f>
        <v>Pass</v>
      </c>
      <c r="V51" s="11" t="str">
        <f>IF(
COUNTIF(ValidationTable[Record_ID],ValidationTable[[#This Row],[Record_ID]])&gt;1,
"Fail",
"Pass"
)</f>
        <v>Pass</v>
      </c>
      <c r="W51" s="11" t="str">
        <f>IF(
COUNTIF(ValidationTable[[#This Row],[RequiredField_Validation]]:ValidationTable[[#This Row],[Duplicate_Validation]],"Fail")&gt;0,
"Fail",
"Pass"
)</f>
        <v>Pass</v>
      </c>
      <c r="X51" s="11" t="str">
        <f>IF(ValidationTable[[#This Row],[Validation_Result]]="Pass","Yes","No")</f>
        <v>Yes</v>
      </c>
    </row>
    <row r="52" spans="1:24">
      <c r="A52" s="11">
        <f>RawTable[[#This Row],[Record_ID]]</f>
        <v>51</v>
      </c>
      <c r="B52" s="11" t="str">
        <f>RawTable[[#This Row],[Payment_Type]]</f>
        <v>Payroll</v>
      </c>
      <c r="C52" s="11" t="str">
        <f>RawTable[[#This Row],[Entity_Type]]</f>
        <v>Employee</v>
      </c>
      <c r="D52" s="11" t="str">
        <f>RawTable[[#This Row],[Country]]</f>
        <v>USA</v>
      </c>
      <c r="E52" s="11" t="str">
        <f>RawTable[[#This Row],[Name]]</f>
        <v>Omar Wilson</v>
      </c>
      <c r="F52" s="11" t="str">
        <f>RawTable[[#This Row],[Bank_Account]]</f>
        <v>US-RT-000053062-AC-0000244154</v>
      </c>
      <c r="G52" s="11" t="str">
        <f>RawTable[[#This Row],[Month]]</f>
        <v>Feb-2026</v>
      </c>
      <c r="H52" s="11" t="str">
        <f>RawTable[[#This Row],[Currency]]</f>
        <v>USD</v>
      </c>
      <c r="I52" s="4">
        <f>RawTable[[#This Row],[Net_Amount]]</f>
        <v>6624.8</v>
      </c>
      <c r="J52" s="2" t="str">
        <f>RawTable[[#This Row],[VAT_Applicable]]</f>
        <v>No</v>
      </c>
      <c r="K52" s="4">
        <f>RawTable[[#This Row],[VAT_Rate]]</f>
        <v>0</v>
      </c>
      <c r="L52" s="4">
        <f>RawTable[[#This Row],[VAT_Amount]]</f>
        <v>0</v>
      </c>
      <c r="M52" s="4">
        <f>RawTable[[#This Row],[Gross_Amount]]</f>
        <v>6624.8</v>
      </c>
      <c r="N52" s="4">
        <f>RawTable[[#This Row],[Exchange_Rate]]</f>
        <v>0.77017999999999998</v>
      </c>
      <c r="O52" s="4">
        <f>RawTable[[#This Row],[Amount_CHF]]</f>
        <v>5102.29</v>
      </c>
      <c r="P5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5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52" s="11" t="str">
        <f>IF(ValidationTable[[#This Row],[Currency]]="","Fail","Pass")</f>
        <v>Pass</v>
      </c>
      <c r="S52" s="11" t="str">
        <f>IF(
ValidationTable[[#This Row],[Currency]]="CHF",
IF(ValidationTable[[#This Row],[Exchange_Rate]]&lt;&gt;1,"Fail","Pass"),
IF(ValidationTable[[#This Row],[Exchange_Rate]]&lt;=0,"Fail","Pass")
)</f>
        <v>Pass</v>
      </c>
      <c r="T5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52" s="11" t="str">
        <f>IF(LEN(TRIM(ValidationTable[[#This Row],[Bank_Account]]))=0,"Fail","Pass")</f>
        <v>Pass</v>
      </c>
      <c r="V52" s="11" t="str">
        <f>IF(
COUNTIF(ValidationTable[Record_ID],ValidationTable[[#This Row],[Record_ID]])&gt;1,
"Fail",
"Pass"
)</f>
        <v>Pass</v>
      </c>
      <c r="W52" s="11" t="str">
        <f>IF(
COUNTIF(ValidationTable[[#This Row],[RequiredField_Validation]]:ValidationTable[[#This Row],[Duplicate_Validation]],"Fail")&gt;0,
"Fail",
"Pass"
)</f>
        <v>Pass</v>
      </c>
      <c r="X52" s="11" t="str">
        <f>IF(ValidationTable[[#This Row],[Validation_Result]]="Pass","Yes","No")</f>
        <v>Yes</v>
      </c>
    </row>
    <row r="53" spans="1:24">
      <c r="A53" s="11">
        <f>RawTable[[#This Row],[Record_ID]]</f>
        <v>52</v>
      </c>
      <c r="B53" s="11" t="str">
        <f>RawTable[[#This Row],[Payment_Type]]</f>
        <v>Payroll</v>
      </c>
      <c r="C53" s="11" t="str">
        <f>RawTable[[#This Row],[Entity_Type]]</f>
        <v>Employee</v>
      </c>
      <c r="D53" s="11" t="str">
        <f>RawTable[[#This Row],[Country]]</f>
        <v>USA</v>
      </c>
      <c r="E53" s="11" t="str">
        <f>RawTable[[#This Row],[Name]]</f>
        <v>Lina Haddad</v>
      </c>
      <c r="F53" s="11" t="str">
        <f>RawTable[[#This Row],[Bank_Account]]</f>
        <v>US-RT-000054296-AC-0000249832</v>
      </c>
      <c r="G53" s="11" t="str">
        <f>RawTable[[#This Row],[Month]]</f>
        <v>Feb-2026</v>
      </c>
      <c r="H53" s="11" t="str">
        <f>RawTable[[#This Row],[Currency]]</f>
        <v>USD</v>
      </c>
      <c r="I53" s="4">
        <f>RawTable[[#This Row],[Net_Amount]]</f>
        <v>6711.6</v>
      </c>
      <c r="J53" s="2" t="str">
        <f>RawTable[[#This Row],[VAT_Applicable]]</f>
        <v>No</v>
      </c>
      <c r="K53" s="4">
        <f>RawTable[[#This Row],[VAT_Rate]]</f>
        <v>0</v>
      </c>
      <c r="L53" s="4">
        <f>RawTable[[#This Row],[VAT_Amount]]</f>
        <v>0</v>
      </c>
      <c r="M53" s="4">
        <f>RawTable[[#This Row],[Gross_Amount]]</f>
        <v>6711.6</v>
      </c>
      <c r="N53" s="4">
        <f>RawTable[[#This Row],[Exchange_Rate]]</f>
        <v>0.77017999999999998</v>
      </c>
      <c r="O53" s="4">
        <f>RawTable[[#This Row],[Amount_CHF]]</f>
        <v>5169.1400000000003</v>
      </c>
      <c r="P5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5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53" s="11" t="str">
        <f>IF(ValidationTable[[#This Row],[Currency]]="","Fail","Pass")</f>
        <v>Pass</v>
      </c>
      <c r="S53" s="11" t="str">
        <f>IF(
ValidationTable[[#This Row],[Currency]]="CHF",
IF(ValidationTable[[#This Row],[Exchange_Rate]]&lt;&gt;1,"Fail","Pass"),
IF(ValidationTable[[#This Row],[Exchange_Rate]]&lt;=0,"Fail","Pass")
)</f>
        <v>Pass</v>
      </c>
      <c r="T5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53" s="11" t="str">
        <f>IF(LEN(TRIM(ValidationTable[[#This Row],[Bank_Account]]))=0,"Fail","Pass")</f>
        <v>Pass</v>
      </c>
      <c r="V53" s="11" t="str">
        <f>IF(
COUNTIF(ValidationTable[Record_ID],ValidationTable[[#This Row],[Record_ID]])&gt;1,
"Fail",
"Pass"
)</f>
        <v>Pass</v>
      </c>
      <c r="W53" s="11" t="str">
        <f>IF(
COUNTIF(ValidationTable[[#This Row],[RequiredField_Validation]]:ValidationTable[[#This Row],[Duplicate_Validation]],"Fail")&gt;0,
"Fail",
"Pass"
)</f>
        <v>Pass</v>
      </c>
      <c r="X53" s="11" t="str">
        <f>IF(ValidationTable[[#This Row],[Validation_Result]]="Pass","Yes","No")</f>
        <v>Yes</v>
      </c>
    </row>
    <row r="54" spans="1:24">
      <c r="A54" s="11">
        <f>RawTable[[#This Row],[Record_ID]]</f>
        <v>53</v>
      </c>
      <c r="B54" s="11" t="str">
        <f>RawTable[[#This Row],[Payment_Type]]</f>
        <v>Payroll</v>
      </c>
      <c r="C54" s="11" t="str">
        <f>RawTable[[#This Row],[Entity_Type]]</f>
        <v>Employee</v>
      </c>
      <c r="D54" s="11" t="str">
        <f>RawTable[[#This Row],[Country]]</f>
        <v>Germany</v>
      </c>
      <c r="E54" s="11" t="str">
        <f>RawTable[[#This Row],[Name]]</f>
        <v>David Haddad</v>
      </c>
      <c r="F54" s="11" t="str">
        <f>RawTable[[#This Row],[Bank_Account]]</f>
        <v>DE890000000000095053</v>
      </c>
      <c r="G54" s="11" t="str">
        <f>RawTable[[#This Row],[Month]]</f>
        <v>Jan-2026</v>
      </c>
      <c r="H54" s="11" t="str">
        <f>RawTable[[#This Row],[Currency]]</f>
        <v>EUR</v>
      </c>
      <c r="I54" s="4">
        <f>RawTable[[#This Row],[Net_Amount]]</f>
        <v>5861.62</v>
      </c>
      <c r="J54" s="2" t="str">
        <f>RawTable[[#This Row],[VAT_Applicable]]</f>
        <v>No</v>
      </c>
      <c r="K54" s="4">
        <f>RawTable[[#This Row],[VAT_Rate]]</f>
        <v>0</v>
      </c>
      <c r="L54" s="4">
        <f>RawTable[[#This Row],[VAT_Amount]]</f>
        <v>0</v>
      </c>
      <c r="M54" s="4">
        <f>RawTable[[#This Row],[Gross_Amount]]</f>
        <v>5861.62</v>
      </c>
      <c r="N54" s="4">
        <f>RawTable[[#This Row],[Exchange_Rate]]</f>
        <v>0.90888000000000002</v>
      </c>
      <c r="O54" s="4">
        <f>RawTable[[#This Row],[Amount_CHF]]</f>
        <v>5327.51</v>
      </c>
      <c r="P5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5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54" s="11" t="str">
        <f>IF(ValidationTable[[#This Row],[Currency]]="","Fail","Pass")</f>
        <v>Pass</v>
      </c>
      <c r="S54" s="11" t="str">
        <f>IF(
ValidationTable[[#This Row],[Currency]]="CHF",
IF(ValidationTable[[#This Row],[Exchange_Rate]]&lt;&gt;1,"Fail","Pass"),
IF(ValidationTable[[#This Row],[Exchange_Rate]]&lt;=0,"Fail","Pass")
)</f>
        <v>Pass</v>
      </c>
      <c r="T5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54" s="11" t="str">
        <f>IF(LEN(TRIM(ValidationTable[[#This Row],[Bank_Account]]))=0,"Fail","Pass")</f>
        <v>Pass</v>
      </c>
      <c r="V54" s="11" t="str">
        <f>IF(
COUNTIF(ValidationTable[Record_ID],ValidationTable[[#This Row],[Record_ID]])&gt;1,
"Fail",
"Pass"
)</f>
        <v>Pass</v>
      </c>
      <c r="W54" s="11" t="str">
        <f>IF(
COUNTIF(ValidationTable[[#This Row],[RequiredField_Validation]]:ValidationTable[[#This Row],[Duplicate_Validation]],"Fail")&gt;0,
"Fail",
"Pass"
)</f>
        <v>Pass</v>
      </c>
      <c r="X54" s="11" t="str">
        <f>IF(ValidationTable[[#This Row],[Validation_Result]]="Pass","Yes","No")</f>
        <v>Yes</v>
      </c>
    </row>
    <row r="55" spans="1:24">
      <c r="A55" s="11">
        <f>RawTable[[#This Row],[Record_ID]]</f>
        <v>54</v>
      </c>
      <c r="B55" s="11" t="str">
        <f>RawTable[[#This Row],[Payment_Type]]</f>
        <v>Payroll</v>
      </c>
      <c r="C55" s="11" t="str">
        <f>RawTable[[#This Row],[Entity_Type]]</f>
        <v>Employee</v>
      </c>
      <c r="D55" s="11" t="str">
        <f>RawTable[[#This Row],[Country]]</f>
        <v>Switzerland</v>
      </c>
      <c r="E55" s="11" t="str">
        <f>RawTable[[#This Row],[Name]]</f>
        <v>Julia Ali</v>
      </c>
      <c r="F55" s="11" t="str">
        <f>RawTable[[#This Row],[Bank_Account]]</f>
        <v>JO-IBAN-00469110</v>
      </c>
      <c r="G55" s="11" t="str">
        <f>RawTable[[#This Row],[Month]]</f>
        <v>Mar-2026</v>
      </c>
      <c r="H55" s="11" t="str">
        <f>RawTable[[#This Row],[Currency]]</f>
        <v>CHF</v>
      </c>
      <c r="I55" s="4">
        <f>RawTable[[#This Row],[Net_Amount]]</f>
        <v>6836.05</v>
      </c>
      <c r="J55" s="2" t="str">
        <f>RawTable[[#This Row],[VAT_Applicable]]</f>
        <v>No</v>
      </c>
      <c r="K55" s="4">
        <f>RawTable[[#This Row],[VAT_Rate]]</f>
        <v>0</v>
      </c>
      <c r="L55" s="4">
        <f>RawTable[[#This Row],[VAT_Amount]]</f>
        <v>0</v>
      </c>
      <c r="M55" s="4">
        <f>RawTable[[#This Row],[Gross_Amount]]</f>
        <v>6836.05</v>
      </c>
      <c r="N55" s="4">
        <f>RawTable[[#This Row],[Exchange_Rate]]</f>
        <v>1</v>
      </c>
      <c r="O55" s="4">
        <f>RawTable[[#This Row],[Amount_CHF]]</f>
        <v>6836.05</v>
      </c>
      <c r="P5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5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55" s="11" t="str">
        <f>IF(ValidationTable[[#This Row],[Currency]]="","Fail","Pass")</f>
        <v>Pass</v>
      </c>
      <c r="S55" s="11" t="str">
        <f>IF(
ValidationTable[[#This Row],[Currency]]="CHF",
IF(ValidationTable[[#This Row],[Exchange_Rate]]&lt;&gt;1,"Fail","Pass"),
IF(ValidationTable[[#This Row],[Exchange_Rate]]&lt;=0,"Fail","Pass")
)</f>
        <v>Pass</v>
      </c>
      <c r="T5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55" s="11" t="str">
        <f>IF(LEN(TRIM(ValidationTable[[#This Row],[Bank_Account]]))=0,"Fail","Pass")</f>
        <v>Pass</v>
      </c>
      <c r="V55" s="11" t="str">
        <f>IF(
COUNTIF(ValidationTable[Record_ID],ValidationTable[[#This Row],[Record_ID]])&gt;1,
"Fail",
"Pass"
)</f>
        <v>Pass</v>
      </c>
      <c r="W55" s="11" t="str">
        <f>IF(
COUNTIF(ValidationTable[[#This Row],[RequiredField_Validation]]:ValidationTable[[#This Row],[Duplicate_Validation]],"Fail")&gt;0,
"Fail",
"Pass"
)</f>
        <v>Pass</v>
      </c>
      <c r="X55" s="11" t="str">
        <f>IF(ValidationTable[[#This Row],[Validation_Result]]="Pass","Yes","No")</f>
        <v>Yes</v>
      </c>
    </row>
    <row r="56" spans="1:24">
      <c r="A56" s="11">
        <f>RawTable[[#This Row],[Record_ID]]</f>
        <v>55</v>
      </c>
      <c r="B56" s="11" t="str">
        <f>RawTable[[#This Row],[Payment_Type]]</f>
        <v>Payroll</v>
      </c>
      <c r="C56" s="11" t="str">
        <f>RawTable[[#This Row],[Entity_Type]]</f>
        <v>Employee</v>
      </c>
      <c r="D56" s="11" t="str">
        <f>RawTable[[#This Row],[Country]]</f>
        <v>Jordan</v>
      </c>
      <c r="E56" s="11" t="str">
        <f>RawTable[[#This Row],[Name]]</f>
        <v>Julia Haddad</v>
      </c>
      <c r="F56" s="11" t="str">
        <f>RawTable[[#This Row],[Bank_Account]]</f>
        <v>CH930000000000863800</v>
      </c>
      <c r="G56" s="11" t="str">
        <f>RawTable[[#This Row],[Month]]</f>
        <v>Jan-2026</v>
      </c>
      <c r="H56" s="11" t="str">
        <f>RawTable[[#This Row],[Currency]]</f>
        <v>JOD</v>
      </c>
      <c r="I56" s="4">
        <f>RawTable[[#This Row],[Net_Amount]]</f>
        <v>1898.46</v>
      </c>
      <c r="J56" s="2" t="str">
        <f>RawTable[[#This Row],[VAT_Applicable]]</f>
        <v>No</v>
      </c>
      <c r="K56" s="4">
        <f>RawTable[[#This Row],[VAT_Rate]]</f>
        <v>0</v>
      </c>
      <c r="L56" s="4">
        <f>RawTable[[#This Row],[VAT_Amount]]</f>
        <v>0</v>
      </c>
      <c r="M56" s="4">
        <f>RawTable[[#This Row],[Gross_Amount]]</f>
        <v>1898.46</v>
      </c>
      <c r="N56" s="4">
        <f>RawTable[[#This Row],[Exchange_Rate]]</f>
        <v>1.08643</v>
      </c>
      <c r="O56" s="4">
        <f>RawTable[[#This Row],[Amount_CHF]]</f>
        <v>2062.54</v>
      </c>
      <c r="P5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5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56" s="11" t="str">
        <f>IF(ValidationTable[[#This Row],[Currency]]="","Fail","Pass")</f>
        <v>Pass</v>
      </c>
      <c r="S56" s="11" t="str">
        <f>IF(
ValidationTable[[#This Row],[Currency]]="CHF",
IF(ValidationTable[[#This Row],[Exchange_Rate]]&lt;&gt;1,"Fail","Pass"),
IF(ValidationTable[[#This Row],[Exchange_Rate]]&lt;=0,"Fail","Pass")
)</f>
        <v>Pass</v>
      </c>
      <c r="T5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56" s="11" t="str">
        <f>IF(LEN(TRIM(ValidationTable[[#This Row],[Bank_Account]]))=0,"Fail","Pass")</f>
        <v>Pass</v>
      </c>
      <c r="V56" s="11" t="str">
        <f>IF(
COUNTIF(ValidationTable[Record_ID],ValidationTable[[#This Row],[Record_ID]])&gt;1,
"Fail",
"Pass"
)</f>
        <v>Pass</v>
      </c>
      <c r="W56" s="11" t="str">
        <f>IF(
COUNTIF(ValidationTable[[#This Row],[RequiredField_Validation]]:ValidationTable[[#This Row],[Duplicate_Validation]],"Fail")&gt;0,
"Fail",
"Pass"
)</f>
        <v>Pass</v>
      </c>
      <c r="X56" s="11" t="str">
        <f>IF(ValidationTable[[#This Row],[Validation_Result]]="Pass","Yes","No")</f>
        <v>Yes</v>
      </c>
    </row>
    <row r="57" spans="1:24">
      <c r="A57" s="11">
        <f>RawTable[[#This Row],[Record_ID]]</f>
        <v>56</v>
      </c>
      <c r="B57" s="11" t="str">
        <f>RawTable[[#This Row],[Payment_Type]]</f>
        <v>Payroll</v>
      </c>
      <c r="C57" s="11" t="str">
        <f>RawTable[[#This Row],[Entity_Type]]</f>
        <v>Employee</v>
      </c>
      <c r="D57" s="11" t="str">
        <f>RawTable[[#This Row],[Country]]</f>
        <v>UAE</v>
      </c>
      <c r="E57" s="11" t="str">
        <f>RawTable[[#This Row],[Name]]</f>
        <v>David Müller</v>
      </c>
      <c r="F57" s="11" t="str">
        <f>RawTable[[#This Row],[Bank_Account]]</f>
        <v>JO-IBAN-00444420</v>
      </c>
      <c r="G57" s="11" t="str">
        <f>RawTable[[#This Row],[Month]]</f>
        <v>Feb-2026</v>
      </c>
      <c r="H57" s="11" t="str">
        <f>RawTable[[#This Row],[Currency]]</f>
        <v>AED</v>
      </c>
      <c r="I57" s="4">
        <f>RawTable[[#This Row],[Net_Amount]]</f>
        <v>23584</v>
      </c>
      <c r="J57" s="2" t="str">
        <f>RawTable[[#This Row],[VAT_Applicable]]</f>
        <v>No</v>
      </c>
      <c r="K57" s="4">
        <f>RawTable[[#This Row],[VAT_Rate]]</f>
        <v>0</v>
      </c>
      <c r="L57" s="4">
        <f>RawTable[[#This Row],[VAT_Amount]]</f>
        <v>0</v>
      </c>
      <c r="M57" s="4">
        <f>RawTable[[#This Row],[Gross_Amount]]</f>
        <v>23584</v>
      </c>
      <c r="N57" s="4">
        <f>RawTable[[#This Row],[Exchange_Rate]]</f>
        <v>0.21065</v>
      </c>
      <c r="O57" s="4">
        <f>RawTable[[#This Row],[Amount_CHF]]</f>
        <v>4967.97</v>
      </c>
      <c r="P5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5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57" s="11" t="str">
        <f>IF(ValidationTable[[#This Row],[Currency]]="","Fail","Pass")</f>
        <v>Pass</v>
      </c>
      <c r="S57" s="11" t="str">
        <f>IF(
ValidationTable[[#This Row],[Currency]]="CHF",
IF(ValidationTable[[#This Row],[Exchange_Rate]]&lt;&gt;1,"Fail","Pass"),
IF(ValidationTable[[#This Row],[Exchange_Rate]]&lt;=0,"Fail","Pass")
)</f>
        <v>Pass</v>
      </c>
      <c r="T5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57" s="11" t="str">
        <f>IF(LEN(TRIM(ValidationTable[[#This Row],[Bank_Account]]))=0,"Fail","Pass")</f>
        <v>Pass</v>
      </c>
      <c r="V57" s="11" t="str">
        <f>IF(
COUNTIF(ValidationTable[Record_ID],ValidationTable[[#This Row],[Record_ID]])&gt;1,
"Fail",
"Pass"
)</f>
        <v>Pass</v>
      </c>
      <c r="W57" s="11" t="str">
        <f>IF(
COUNTIF(ValidationTable[[#This Row],[RequiredField_Validation]]:ValidationTable[[#This Row],[Duplicate_Validation]],"Fail")&gt;0,
"Fail",
"Pass"
)</f>
        <v>Pass</v>
      </c>
      <c r="X57" s="11" t="str">
        <f>IF(ValidationTable[[#This Row],[Validation_Result]]="Pass","Yes","No")</f>
        <v>Yes</v>
      </c>
    </row>
    <row r="58" spans="1:24">
      <c r="A58" s="11">
        <f>RawTable[[#This Row],[Record_ID]]</f>
        <v>57</v>
      </c>
      <c r="B58" s="11" t="str">
        <f>RawTable[[#This Row],[Payment_Type]]</f>
        <v>Payroll</v>
      </c>
      <c r="C58" s="11" t="str">
        <f>RawTable[[#This Row],[Entity_Type]]</f>
        <v>Employee</v>
      </c>
      <c r="D58" s="11" t="str">
        <f>RawTable[[#This Row],[Country]]</f>
        <v>Germany</v>
      </c>
      <c r="E58" s="11" t="str">
        <f>RawTable[[#This Row],[Name]]</f>
        <v>Michael Haddad</v>
      </c>
      <c r="F58" s="11" t="str">
        <f>RawTable[[#This Row],[Bank_Account]]</f>
        <v>DE890000000000611055</v>
      </c>
      <c r="G58" s="11" t="str">
        <f>RawTable[[#This Row],[Month]]</f>
        <v>Feb-2026</v>
      </c>
      <c r="H58" s="11" t="str">
        <f>RawTable[[#This Row],[Currency]]</f>
        <v>EUR</v>
      </c>
      <c r="I58" s="4">
        <f>RawTable[[#This Row],[Net_Amount]]</f>
        <v>5902.8</v>
      </c>
      <c r="J58" s="2" t="str">
        <f>RawTable[[#This Row],[VAT_Applicable]]</f>
        <v>No</v>
      </c>
      <c r="K58" s="4">
        <f>RawTable[[#This Row],[VAT_Rate]]</f>
        <v>0</v>
      </c>
      <c r="L58" s="4">
        <f>RawTable[[#This Row],[VAT_Amount]]</f>
        <v>0</v>
      </c>
      <c r="M58" s="4">
        <f>RawTable[[#This Row],[Gross_Amount]]</f>
        <v>5902.8</v>
      </c>
      <c r="N58" s="4">
        <f>RawTable[[#This Row],[Exchange_Rate]]</f>
        <v>0.90888000000000002</v>
      </c>
      <c r="O58" s="4">
        <f>RawTable[[#This Row],[Amount_CHF]]</f>
        <v>5364.94</v>
      </c>
      <c r="P5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5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58" s="11" t="str">
        <f>IF(ValidationTable[[#This Row],[Currency]]="","Fail","Pass")</f>
        <v>Pass</v>
      </c>
      <c r="S58" s="11" t="str">
        <f>IF(
ValidationTable[[#This Row],[Currency]]="CHF",
IF(ValidationTable[[#This Row],[Exchange_Rate]]&lt;&gt;1,"Fail","Pass"),
IF(ValidationTable[[#This Row],[Exchange_Rate]]&lt;=0,"Fail","Pass")
)</f>
        <v>Pass</v>
      </c>
      <c r="T5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58" s="11" t="str">
        <f>IF(LEN(TRIM(ValidationTable[[#This Row],[Bank_Account]]))=0,"Fail","Pass")</f>
        <v>Pass</v>
      </c>
      <c r="V58" s="11" t="str">
        <f>IF(
COUNTIF(ValidationTable[Record_ID],ValidationTable[[#This Row],[Record_ID]])&gt;1,
"Fail",
"Pass"
)</f>
        <v>Pass</v>
      </c>
      <c r="W58" s="11" t="str">
        <f>IF(
COUNTIF(ValidationTable[[#This Row],[RequiredField_Validation]]:ValidationTable[[#This Row],[Duplicate_Validation]],"Fail")&gt;0,
"Fail",
"Pass"
)</f>
        <v>Pass</v>
      </c>
      <c r="X58" s="11" t="str">
        <f>IF(ValidationTable[[#This Row],[Validation_Result]]="Pass","Yes","No")</f>
        <v>Yes</v>
      </c>
    </row>
    <row r="59" spans="1:24">
      <c r="A59" s="11">
        <f>RawTable[[#This Row],[Record_ID]]</f>
        <v>58</v>
      </c>
      <c r="B59" s="11" t="str">
        <f>RawTable[[#This Row],[Payment_Type]]</f>
        <v>Payroll</v>
      </c>
      <c r="C59" s="11" t="str">
        <f>RawTable[[#This Row],[Entity_Type]]</f>
        <v>Employee</v>
      </c>
      <c r="D59" s="11" t="str">
        <f>RawTable[[#This Row],[Country]]</f>
        <v>Jordan</v>
      </c>
      <c r="E59" s="11" t="str">
        <f>RawTable[[#This Row],[Name]]</f>
        <v>Omar Schmidt</v>
      </c>
      <c r="F59" s="11" t="str">
        <f>RawTable[[#This Row],[Bank_Account]]</f>
        <v>AE-IBAN-00869136</v>
      </c>
      <c r="G59" s="11" t="str">
        <f>RawTable[[#This Row],[Month]]</f>
        <v>Jan-2026</v>
      </c>
      <c r="H59" s="11" t="str">
        <f>RawTable[[#This Row],[Currency]]</f>
        <v>JOD</v>
      </c>
      <c r="I59" s="4">
        <f>RawTable[[#This Row],[Net_Amount]]</f>
        <v>1950.48</v>
      </c>
      <c r="J59" s="2" t="str">
        <f>RawTable[[#This Row],[VAT_Applicable]]</f>
        <v>No</v>
      </c>
      <c r="K59" s="4">
        <f>RawTable[[#This Row],[VAT_Rate]]</f>
        <v>0</v>
      </c>
      <c r="L59" s="4">
        <f>RawTable[[#This Row],[VAT_Amount]]</f>
        <v>0</v>
      </c>
      <c r="M59" s="4">
        <f>RawTable[[#This Row],[Gross_Amount]]</f>
        <v>1950.48</v>
      </c>
      <c r="N59" s="4">
        <f>RawTable[[#This Row],[Exchange_Rate]]</f>
        <v>1.08643</v>
      </c>
      <c r="O59" s="4">
        <f>RawTable[[#This Row],[Amount_CHF]]</f>
        <v>2119.06</v>
      </c>
      <c r="P5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5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59" s="11" t="str">
        <f>IF(ValidationTable[[#This Row],[Currency]]="","Fail","Pass")</f>
        <v>Pass</v>
      </c>
      <c r="S59" s="11" t="str">
        <f>IF(
ValidationTable[[#This Row],[Currency]]="CHF",
IF(ValidationTable[[#This Row],[Exchange_Rate]]&lt;&gt;1,"Fail","Pass"),
IF(ValidationTable[[#This Row],[Exchange_Rate]]&lt;=0,"Fail","Pass")
)</f>
        <v>Pass</v>
      </c>
      <c r="T5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59" s="11" t="str">
        <f>IF(LEN(TRIM(ValidationTable[[#This Row],[Bank_Account]]))=0,"Fail","Pass")</f>
        <v>Pass</v>
      </c>
      <c r="V59" s="11" t="str">
        <f>IF(
COUNTIF(ValidationTable[Record_ID],ValidationTable[[#This Row],[Record_ID]])&gt;1,
"Fail",
"Pass"
)</f>
        <v>Pass</v>
      </c>
      <c r="W59" s="11" t="str">
        <f>IF(
COUNTIF(ValidationTable[[#This Row],[RequiredField_Validation]]:ValidationTable[[#This Row],[Duplicate_Validation]],"Fail")&gt;0,
"Fail",
"Pass"
)</f>
        <v>Pass</v>
      </c>
      <c r="X59" s="11" t="str">
        <f>IF(ValidationTable[[#This Row],[Validation_Result]]="Pass","Yes","No")</f>
        <v>Yes</v>
      </c>
    </row>
    <row r="60" spans="1:24">
      <c r="A60" s="11">
        <f>RawTable[[#This Row],[Record_ID]]</f>
        <v>59</v>
      </c>
      <c r="B60" s="11" t="str">
        <f>RawTable[[#This Row],[Payment_Type]]</f>
        <v>Payroll</v>
      </c>
      <c r="C60" s="11" t="str">
        <f>RawTable[[#This Row],[Entity_Type]]</f>
        <v>Employee</v>
      </c>
      <c r="D60" s="11" t="str">
        <f>RawTable[[#This Row],[Country]]</f>
        <v>Germany</v>
      </c>
      <c r="E60" s="11" t="str">
        <f>RawTable[[#This Row],[Name]]</f>
        <v>Omar Schmidt</v>
      </c>
      <c r="F60" s="11" t="str">
        <f>RawTable[[#This Row],[Bank_Account]]</f>
        <v>AE-IBAN-00869136</v>
      </c>
      <c r="G60" s="11" t="str">
        <f>RawTable[[#This Row],[Month]]</f>
        <v>Jan-2026</v>
      </c>
      <c r="H60" s="11" t="str">
        <f>RawTable[[#This Row],[Currency]]</f>
        <v>EUR</v>
      </c>
      <c r="I60" s="4">
        <f>RawTable[[#This Row],[Net_Amount]]</f>
        <v>6501.6</v>
      </c>
      <c r="J60" s="2" t="str">
        <f>RawTable[[#This Row],[VAT_Applicable]]</f>
        <v>No</v>
      </c>
      <c r="K60" s="4">
        <f>RawTable[[#This Row],[VAT_Rate]]</f>
        <v>0</v>
      </c>
      <c r="L60" s="4">
        <f>RawTable[[#This Row],[VAT_Amount]]</f>
        <v>0</v>
      </c>
      <c r="M60" s="4">
        <f>RawTable[[#This Row],[Gross_Amount]]</f>
        <v>6501.6</v>
      </c>
      <c r="N60" s="4">
        <f>RawTable[[#This Row],[Exchange_Rate]]</f>
        <v>0.90888000000000002</v>
      </c>
      <c r="O60" s="4">
        <f>RawTable[[#This Row],[Amount_CHF]]</f>
        <v>5909.17</v>
      </c>
      <c r="P6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6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60" s="11" t="str">
        <f>IF(ValidationTable[[#This Row],[Currency]]="","Fail","Pass")</f>
        <v>Pass</v>
      </c>
      <c r="S60" s="11" t="str">
        <f>IF(
ValidationTable[[#This Row],[Currency]]="CHF",
IF(ValidationTable[[#This Row],[Exchange_Rate]]&lt;&gt;1,"Fail","Pass"),
IF(ValidationTable[[#This Row],[Exchange_Rate]]&lt;=0,"Fail","Pass")
)</f>
        <v>Pass</v>
      </c>
      <c r="T6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60" s="11" t="str">
        <f>IF(LEN(TRIM(ValidationTable[[#This Row],[Bank_Account]]))=0,"Fail","Pass")</f>
        <v>Pass</v>
      </c>
      <c r="V60" s="11" t="str">
        <f>IF(
COUNTIF(ValidationTable[Record_ID],ValidationTable[[#This Row],[Record_ID]])&gt;1,
"Fail",
"Pass"
)</f>
        <v>Pass</v>
      </c>
      <c r="W60" s="11" t="str">
        <f>IF(
COUNTIF(ValidationTable[[#This Row],[RequiredField_Validation]]:ValidationTable[[#This Row],[Duplicate_Validation]],"Fail")&gt;0,
"Fail",
"Pass"
)</f>
        <v>Pass</v>
      </c>
      <c r="X60" s="11" t="str">
        <f>IF(ValidationTable[[#This Row],[Validation_Result]]="Pass","Yes","No")</f>
        <v>Yes</v>
      </c>
    </row>
    <row r="61" spans="1:24">
      <c r="A61" s="11">
        <f>RawTable[[#This Row],[Record_ID]]</f>
        <v>60</v>
      </c>
      <c r="B61" s="11" t="str">
        <f>RawTable[[#This Row],[Payment_Type]]</f>
        <v>Payroll</v>
      </c>
      <c r="C61" s="11" t="str">
        <f>RawTable[[#This Row],[Entity_Type]]</f>
        <v>Employee</v>
      </c>
      <c r="D61" s="11" t="str">
        <f>RawTable[[#This Row],[Country]]</f>
        <v>UAE</v>
      </c>
      <c r="E61" s="11" t="str">
        <f>RawTable[[#This Row],[Name]]</f>
        <v>Sara Müller</v>
      </c>
      <c r="F61" s="11" t="str">
        <f>RawTable[[#This Row],[Bank_Account]]</f>
        <v>AE-IBAN-02498766</v>
      </c>
      <c r="G61" s="11" t="str">
        <f>RawTable[[#This Row],[Month]]</f>
        <v>Mar-2026</v>
      </c>
      <c r="H61" s="11" t="str">
        <f>RawTable[[#This Row],[Currency]]</f>
        <v>AED</v>
      </c>
      <c r="I61" s="4">
        <f>RawTable[[#This Row],[Net_Amount]]</f>
        <v>23806.2</v>
      </c>
      <c r="J61" s="2" t="str">
        <f>RawTable[[#This Row],[VAT_Applicable]]</f>
        <v>No</v>
      </c>
      <c r="K61" s="4">
        <f>RawTable[[#This Row],[VAT_Rate]]</f>
        <v>0</v>
      </c>
      <c r="L61" s="4">
        <f>RawTable[[#This Row],[VAT_Amount]]</f>
        <v>0</v>
      </c>
      <c r="M61" s="4">
        <f>RawTable[[#This Row],[Gross_Amount]]</f>
        <v>23806.2</v>
      </c>
      <c r="N61" s="4">
        <f>RawTable[[#This Row],[Exchange_Rate]]</f>
        <v>0.21065</v>
      </c>
      <c r="O61" s="4">
        <f>RawTable[[#This Row],[Amount_CHF]]</f>
        <v>5014.78</v>
      </c>
      <c r="P6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6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61" s="11" t="str">
        <f>IF(ValidationTable[[#This Row],[Currency]]="","Fail","Pass")</f>
        <v>Pass</v>
      </c>
      <c r="S61" s="11" t="str">
        <f>IF(
ValidationTable[[#This Row],[Currency]]="CHF",
IF(ValidationTable[[#This Row],[Exchange_Rate]]&lt;&gt;1,"Fail","Pass"),
IF(ValidationTable[[#This Row],[Exchange_Rate]]&lt;=0,"Fail","Pass")
)</f>
        <v>Pass</v>
      </c>
      <c r="T6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61" s="11" t="str">
        <f>IF(LEN(TRIM(ValidationTable[[#This Row],[Bank_Account]]))=0,"Fail","Pass")</f>
        <v>Pass</v>
      </c>
      <c r="V61" s="11" t="str">
        <f>IF(
COUNTIF(ValidationTable[Record_ID],ValidationTable[[#This Row],[Record_ID]])&gt;1,
"Fail",
"Pass"
)</f>
        <v>Pass</v>
      </c>
      <c r="W61" s="11" t="str">
        <f>IF(
COUNTIF(ValidationTable[[#This Row],[RequiredField_Validation]]:ValidationTable[[#This Row],[Duplicate_Validation]],"Fail")&gt;0,
"Fail",
"Pass"
)</f>
        <v>Pass</v>
      </c>
      <c r="X61" s="11" t="str">
        <f>IF(ValidationTable[[#This Row],[Validation_Result]]="Pass","Yes","No")</f>
        <v>Yes</v>
      </c>
    </row>
    <row r="62" spans="1:24">
      <c r="A62" s="11">
        <f>RawTable[[#This Row],[Record_ID]]</f>
        <v>61</v>
      </c>
      <c r="B62" s="11" t="str">
        <f>RawTable[[#This Row],[Payment_Type]]</f>
        <v>Payroll</v>
      </c>
      <c r="C62" s="11" t="str">
        <f>RawTable[[#This Row],[Entity_Type]]</f>
        <v>Employee</v>
      </c>
      <c r="D62" s="11" t="str">
        <f>RawTable[[#This Row],[Country]]</f>
        <v>Switzerland</v>
      </c>
      <c r="E62" s="11" t="str">
        <f>RawTable[[#This Row],[Name]]</f>
        <v>Laura Wilson</v>
      </c>
      <c r="F62" s="11" t="str">
        <f>RawTable[[#This Row],[Bank_Account]]</f>
        <v>CH930000000001159960</v>
      </c>
      <c r="G62" s="11" t="str">
        <f>RawTable[[#This Row],[Month]]</f>
        <v>Jan-2026</v>
      </c>
      <c r="H62" s="11" t="str">
        <f>RawTable[[#This Row],[Currency]]</f>
        <v>CHF</v>
      </c>
      <c r="I62" s="4">
        <f>RawTable[[#This Row],[Net_Amount]]</f>
        <v>6689.8</v>
      </c>
      <c r="J62" s="2" t="str">
        <f>RawTable[[#This Row],[VAT_Applicable]]</f>
        <v>No</v>
      </c>
      <c r="K62" s="4">
        <f>RawTable[[#This Row],[VAT_Rate]]</f>
        <v>0</v>
      </c>
      <c r="L62" s="4">
        <f>RawTable[[#This Row],[VAT_Amount]]</f>
        <v>0</v>
      </c>
      <c r="M62" s="4">
        <f>RawTable[[#This Row],[Gross_Amount]]</f>
        <v>6689.8</v>
      </c>
      <c r="N62" s="4">
        <f>RawTable[[#This Row],[Exchange_Rate]]</f>
        <v>1</v>
      </c>
      <c r="O62" s="4">
        <f>RawTable[[#This Row],[Amount_CHF]]</f>
        <v>6689.8</v>
      </c>
      <c r="P6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6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62" s="11" t="str">
        <f>IF(ValidationTable[[#This Row],[Currency]]="","Fail","Pass")</f>
        <v>Pass</v>
      </c>
      <c r="S62" s="11" t="str">
        <f>IF(
ValidationTable[[#This Row],[Currency]]="CHF",
IF(ValidationTable[[#This Row],[Exchange_Rate]]&lt;&gt;1,"Fail","Pass"),
IF(ValidationTable[[#This Row],[Exchange_Rate]]&lt;=0,"Fail","Pass")
)</f>
        <v>Pass</v>
      </c>
      <c r="T6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62" s="11" t="str">
        <f>IF(LEN(TRIM(ValidationTable[[#This Row],[Bank_Account]]))=0,"Fail","Pass")</f>
        <v>Pass</v>
      </c>
      <c r="V62" s="11" t="str">
        <f>IF(
COUNTIF(ValidationTable[Record_ID],ValidationTable[[#This Row],[Record_ID]])&gt;1,
"Fail",
"Pass"
)</f>
        <v>Pass</v>
      </c>
      <c r="W62" s="11" t="str">
        <f>IF(
COUNTIF(ValidationTable[[#This Row],[RequiredField_Validation]]:ValidationTable[[#This Row],[Duplicate_Validation]],"Fail")&gt;0,
"Fail",
"Pass"
)</f>
        <v>Pass</v>
      </c>
      <c r="X62" s="11" t="str">
        <f>IF(ValidationTable[[#This Row],[Validation_Result]]="Pass","Yes","No")</f>
        <v>Yes</v>
      </c>
    </row>
    <row r="63" spans="1:24">
      <c r="A63" s="11">
        <f>RawTable[[#This Row],[Record_ID]]</f>
        <v>62</v>
      </c>
      <c r="B63" s="11" t="str">
        <f>RawTable[[#This Row],[Payment_Type]]</f>
        <v>Payroll</v>
      </c>
      <c r="C63" s="11" t="str">
        <f>RawTable[[#This Row],[Entity_Type]]</f>
        <v>Employee</v>
      </c>
      <c r="D63" s="11" t="str">
        <f>RawTable[[#This Row],[Country]]</f>
        <v>UAE</v>
      </c>
      <c r="E63" s="11" t="str">
        <f>RawTable[[#This Row],[Name]]</f>
        <v>Lina Taylor</v>
      </c>
      <c r="F63" s="11" t="str">
        <f>RawTable[[#This Row],[Bank_Account]]</f>
        <v>AE-IBAN-02607408</v>
      </c>
      <c r="G63" s="11" t="str">
        <f>RawTable[[#This Row],[Month]]</f>
        <v>Jan-2026</v>
      </c>
      <c r="H63" s="11" t="str">
        <f>RawTable[[#This Row],[Currency]]</f>
        <v>AED</v>
      </c>
      <c r="I63" s="4">
        <f>RawTable[[#This Row],[Net_Amount]]</f>
        <v>20497.400000000001</v>
      </c>
      <c r="J63" s="2" t="str">
        <f>RawTable[[#This Row],[VAT_Applicable]]</f>
        <v>No</v>
      </c>
      <c r="K63" s="4">
        <f>RawTable[[#This Row],[VAT_Rate]]</f>
        <v>0</v>
      </c>
      <c r="L63" s="4">
        <f>RawTable[[#This Row],[VAT_Amount]]</f>
        <v>0</v>
      </c>
      <c r="M63" s="4">
        <f>RawTable[[#This Row],[Gross_Amount]]</f>
        <v>20497.400000000001</v>
      </c>
      <c r="N63" s="4">
        <f>RawTable[[#This Row],[Exchange_Rate]]</f>
        <v>0.21065</v>
      </c>
      <c r="O63" s="4">
        <f>RawTable[[#This Row],[Amount_CHF]]</f>
        <v>4317.78</v>
      </c>
      <c r="P6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6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63" s="11" t="str">
        <f>IF(ValidationTable[[#This Row],[Currency]]="","Fail","Pass")</f>
        <v>Pass</v>
      </c>
      <c r="S63" s="11" t="str">
        <f>IF(
ValidationTable[[#This Row],[Currency]]="CHF",
IF(ValidationTable[[#This Row],[Exchange_Rate]]&lt;&gt;1,"Fail","Pass"),
IF(ValidationTable[[#This Row],[Exchange_Rate]]&lt;=0,"Fail","Pass")
)</f>
        <v>Pass</v>
      </c>
      <c r="T6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63" s="11" t="str">
        <f>IF(LEN(TRIM(ValidationTable[[#This Row],[Bank_Account]]))=0,"Fail","Pass")</f>
        <v>Pass</v>
      </c>
      <c r="V63" s="11" t="str">
        <f>IF(
COUNTIF(ValidationTable[Record_ID],ValidationTable[[#This Row],[Record_ID]])&gt;1,
"Fail",
"Pass"
)</f>
        <v>Pass</v>
      </c>
      <c r="W63" s="11" t="str">
        <f>IF(
COUNTIF(ValidationTable[[#This Row],[RequiredField_Validation]]:ValidationTable[[#This Row],[Duplicate_Validation]],"Fail")&gt;0,
"Fail",
"Pass"
)</f>
        <v>Pass</v>
      </c>
      <c r="X63" s="11" t="str">
        <f>IF(ValidationTable[[#This Row],[Validation_Result]]="Pass","Yes","No")</f>
        <v>Yes</v>
      </c>
    </row>
    <row r="64" spans="1:24">
      <c r="A64" s="11">
        <f>RawTable[[#This Row],[Record_ID]]</f>
        <v>63</v>
      </c>
      <c r="B64" s="11" t="str">
        <f>RawTable[[#This Row],[Payment_Type]]</f>
        <v>Payroll</v>
      </c>
      <c r="C64" s="11" t="str">
        <f>RawTable[[#This Row],[Entity_Type]]</f>
        <v>Employee</v>
      </c>
      <c r="D64" s="11" t="str">
        <f>RawTable[[#This Row],[Country]]</f>
        <v>Switzerland</v>
      </c>
      <c r="E64" s="11" t="str">
        <f>RawTable[[#This Row],[Name]]</f>
        <v>Ahmed Taylor</v>
      </c>
      <c r="F64" s="11" t="str">
        <f>RawTable[[#This Row],[Bank_Account]]</f>
        <v>CH930000000001209320</v>
      </c>
      <c r="G64" s="11" t="str">
        <f>RawTable[[#This Row],[Month]]</f>
        <v>Feb-2026</v>
      </c>
      <c r="H64" s="11" t="str">
        <f>RawTable[[#This Row],[Currency]]</f>
        <v>CHF</v>
      </c>
      <c r="I64" s="4">
        <f>RawTable[[#This Row],[Net_Amount]]</f>
        <v>6815.25</v>
      </c>
      <c r="J64" s="2" t="str">
        <f>RawTable[[#This Row],[VAT_Applicable]]</f>
        <v>No</v>
      </c>
      <c r="K64" s="4">
        <f>RawTable[[#This Row],[VAT_Rate]]</f>
        <v>0</v>
      </c>
      <c r="L64" s="4">
        <f>RawTable[[#This Row],[VAT_Amount]]</f>
        <v>0</v>
      </c>
      <c r="M64" s="4">
        <f>RawTable[[#This Row],[Gross_Amount]]</f>
        <v>6815.25</v>
      </c>
      <c r="N64" s="4">
        <f>RawTable[[#This Row],[Exchange_Rate]]</f>
        <v>1</v>
      </c>
      <c r="O64" s="4">
        <f>RawTable[[#This Row],[Amount_CHF]]</f>
        <v>6815.25</v>
      </c>
      <c r="P6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6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64" s="11" t="str">
        <f>IF(ValidationTable[[#This Row],[Currency]]="","Fail","Pass")</f>
        <v>Pass</v>
      </c>
      <c r="S64" s="11" t="str">
        <f>IF(
ValidationTable[[#This Row],[Currency]]="CHF",
IF(ValidationTable[[#This Row],[Exchange_Rate]]&lt;&gt;1,"Fail","Pass"),
IF(ValidationTable[[#This Row],[Exchange_Rate]]&lt;=0,"Fail","Pass")
)</f>
        <v>Pass</v>
      </c>
      <c r="T6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64" s="11" t="str">
        <f>IF(LEN(TRIM(ValidationTable[[#This Row],[Bank_Account]]))=0,"Fail","Pass")</f>
        <v>Pass</v>
      </c>
      <c r="V64" s="11" t="str">
        <f>IF(
COUNTIF(ValidationTable[Record_ID],ValidationTable[[#This Row],[Record_ID]])&gt;1,
"Fail",
"Pass"
)</f>
        <v>Pass</v>
      </c>
      <c r="W64" s="11" t="str">
        <f>IF(
COUNTIF(ValidationTable[[#This Row],[RequiredField_Validation]]:ValidationTable[[#This Row],[Duplicate_Validation]],"Fail")&gt;0,
"Fail",
"Pass"
)</f>
        <v>Pass</v>
      </c>
      <c r="X64" s="11" t="str">
        <f>IF(ValidationTable[[#This Row],[Validation_Result]]="Pass","Yes","No")</f>
        <v>Yes</v>
      </c>
    </row>
    <row r="65" spans="1:24">
      <c r="A65" s="11">
        <f>RawTable[[#This Row],[Record_ID]]</f>
        <v>64</v>
      </c>
      <c r="B65" s="11" t="str">
        <f>RawTable[[#This Row],[Payment_Type]]</f>
        <v>Payroll</v>
      </c>
      <c r="C65" s="11" t="str">
        <f>RawTable[[#This Row],[Entity_Type]]</f>
        <v>Employee</v>
      </c>
      <c r="D65" s="11" t="str">
        <f>RawTable[[#This Row],[Country]]</f>
        <v>UAE</v>
      </c>
      <c r="E65" s="11" t="str">
        <f>RawTable[[#This Row],[Name]]</f>
        <v>Michael Smith</v>
      </c>
      <c r="F65" s="11" t="str">
        <f>RawTable[[#This Row],[Bank_Account]]</f>
        <v>JO-IBAN-00382695</v>
      </c>
      <c r="G65" s="11" t="str">
        <f>RawTable[[#This Row],[Month]]</f>
        <v>Jan-2026</v>
      </c>
      <c r="H65" s="11" t="str">
        <f>RawTable[[#This Row],[Currency]]</f>
        <v>AED</v>
      </c>
      <c r="I65" s="4">
        <f>RawTable[[#This Row],[Net_Amount]]</f>
        <v>20112.400000000001</v>
      </c>
      <c r="J65" s="2" t="str">
        <f>RawTable[[#This Row],[VAT_Applicable]]</f>
        <v>No</v>
      </c>
      <c r="K65" s="4">
        <f>RawTable[[#This Row],[VAT_Rate]]</f>
        <v>0</v>
      </c>
      <c r="L65" s="4">
        <f>RawTable[[#This Row],[VAT_Amount]]</f>
        <v>0</v>
      </c>
      <c r="M65" s="4">
        <f>RawTable[[#This Row],[Gross_Amount]]</f>
        <v>20112.400000000001</v>
      </c>
      <c r="N65" s="4">
        <f>RawTable[[#This Row],[Exchange_Rate]]</f>
        <v>0.21065</v>
      </c>
      <c r="O65" s="4">
        <f>RawTable[[#This Row],[Amount_CHF]]</f>
        <v>4236.68</v>
      </c>
      <c r="P6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6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65" s="11" t="str">
        <f>IF(ValidationTable[[#This Row],[Currency]]="","Fail","Pass")</f>
        <v>Pass</v>
      </c>
      <c r="S65" s="11" t="str">
        <f>IF(
ValidationTable[[#This Row],[Currency]]="CHF",
IF(ValidationTable[[#This Row],[Exchange_Rate]]&lt;&gt;1,"Fail","Pass"),
IF(ValidationTable[[#This Row],[Exchange_Rate]]&lt;=0,"Fail","Pass")
)</f>
        <v>Pass</v>
      </c>
      <c r="T6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65" s="11" t="str">
        <f>IF(LEN(TRIM(ValidationTable[[#This Row],[Bank_Account]]))=0,"Fail","Pass")</f>
        <v>Pass</v>
      </c>
      <c r="V65" s="11" t="str">
        <f>IF(
COUNTIF(ValidationTable[Record_ID],ValidationTable[[#This Row],[Record_ID]])&gt;1,
"Fail",
"Pass"
)</f>
        <v>Pass</v>
      </c>
      <c r="W65" s="11" t="str">
        <f>IF(
COUNTIF(ValidationTable[[#This Row],[RequiredField_Validation]]:ValidationTable[[#This Row],[Duplicate_Validation]],"Fail")&gt;0,
"Fail",
"Pass"
)</f>
        <v>Pass</v>
      </c>
      <c r="X65" s="11" t="str">
        <f>IF(ValidationTable[[#This Row],[Validation_Result]]="Pass","Yes","No")</f>
        <v>Yes</v>
      </c>
    </row>
    <row r="66" spans="1:24">
      <c r="A66" s="11">
        <f>RawTable[[#This Row],[Record_ID]]</f>
        <v>65</v>
      </c>
      <c r="B66" s="11" t="str">
        <f>RawTable[[#This Row],[Payment_Type]]</f>
        <v>Payroll</v>
      </c>
      <c r="C66" s="11" t="str">
        <f>RawTable[[#This Row],[Entity_Type]]</f>
        <v>Employee</v>
      </c>
      <c r="D66" s="11" t="str">
        <f>RawTable[[#This Row],[Country]]</f>
        <v>UAE</v>
      </c>
      <c r="E66" s="11" t="str">
        <f>RawTable[[#This Row],[Name]]</f>
        <v>Michael Smith</v>
      </c>
      <c r="F66" s="11" t="str">
        <f>RawTable[[#This Row],[Bank_Account]]</f>
        <v>JO-IBAN-00382695</v>
      </c>
      <c r="G66" s="11" t="str">
        <f>RawTable[[#This Row],[Month]]</f>
        <v>Feb-2026</v>
      </c>
      <c r="H66" s="11" t="str">
        <f>RawTable[[#This Row],[Currency]]</f>
        <v>AED</v>
      </c>
      <c r="I66" s="4">
        <f>RawTable[[#This Row],[Net_Amount]]</f>
        <v>20414.09</v>
      </c>
      <c r="J66" s="2" t="str">
        <f>RawTable[[#This Row],[VAT_Applicable]]</f>
        <v>No</v>
      </c>
      <c r="K66" s="4">
        <f>RawTable[[#This Row],[VAT_Rate]]</f>
        <v>0</v>
      </c>
      <c r="L66" s="4">
        <f>RawTable[[#This Row],[VAT_Amount]]</f>
        <v>0</v>
      </c>
      <c r="M66" s="4">
        <f>RawTable[[#This Row],[Gross_Amount]]</f>
        <v>20414.09</v>
      </c>
      <c r="N66" s="4">
        <f>RawTable[[#This Row],[Exchange_Rate]]</f>
        <v>0.21065</v>
      </c>
      <c r="O66" s="4">
        <f>RawTable[[#This Row],[Amount_CHF]]</f>
        <v>4300.2299999999996</v>
      </c>
      <c r="P6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6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66" s="11" t="str">
        <f>IF(ValidationTable[[#This Row],[Currency]]="","Fail","Pass")</f>
        <v>Pass</v>
      </c>
      <c r="S66" s="11" t="str">
        <f>IF(
ValidationTable[[#This Row],[Currency]]="CHF",
IF(ValidationTable[[#This Row],[Exchange_Rate]]&lt;&gt;1,"Fail","Pass"),
IF(ValidationTable[[#This Row],[Exchange_Rate]]&lt;=0,"Fail","Pass")
)</f>
        <v>Pass</v>
      </c>
      <c r="T6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66" s="11" t="str">
        <f>IF(LEN(TRIM(ValidationTable[[#This Row],[Bank_Account]]))=0,"Fail","Pass")</f>
        <v>Pass</v>
      </c>
      <c r="V66" s="11" t="str">
        <f>IF(
COUNTIF(ValidationTable[Record_ID],ValidationTable[[#This Row],[Record_ID]])&gt;1,
"Fail",
"Pass"
)</f>
        <v>Pass</v>
      </c>
      <c r="W66" s="11" t="str">
        <f>IF(
COUNTIF(ValidationTable[[#This Row],[RequiredField_Validation]]:ValidationTable[[#This Row],[Duplicate_Validation]],"Fail")&gt;0,
"Fail",
"Pass"
)</f>
        <v>Pass</v>
      </c>
      <c r="X66" s="11" t="str">
        <f>IF(ValidationTable[[#This Row],[Validation_Result]]="Pass","Yes","No")</f>
        <v>Yes</v>
      </c>
    </row>
    <row r="67" spans="1:24">
      <c r="A67" s="11">
        <f>RawTable[[#This Row],[Record_ID]]</f>
        <v>66</v>
      </c>
      <c r="B67" s="11" t="str">
        <f>RawTable[[#This Row],[Payment_Type]]</f>
        <v>Payroll</v>
      </c>
      <c r="C67" s="11" t="str">
        <f>RawTable[[#This Row],[Entity_Type]]</f>
        <v>Employee</v>
      </c>
      <c r="D67" s="11" t="str">
        <f>RawTable[[#This Row],[Country]]</f>
        <v>Switzerland</v>
      </c>
      <c r="E67" s="11" t="str">
        <f>RawTable[[#This Row],[Name]]</f>
        <v>Omar Schmidt</v>
      </c>
      <c r="F67" s="11" t="str">
        <f>RawTable[[#This Row],[Bank_Account]]</f>
        <v>AE-IBAN-00869136</v>
      </c>
      <c r="G67" s="11" t="str">
        <f>RawTable[[#This Row],[Month]]</f>
        <v>Mar-2026</v>
      </c>
      <c r="H67" s="11" t="str">
        <f>RawTable[[#This Row],[Currency]]</f>
        <v>CHF</v>
      </c>
      <c r="I67" s="4">
        <f>RawTable[[#This Row],[Net_Amount]]</f>
        <v>7043.4</v>
      </c>
      <c r="J67" s="2" t="str">
        <f>RawTable[[#This Row],[VAT_Applicable]]</f>
        <v>No</v>
      </c>
      <c r="K67" s="4">
        <f>RawTable[[#This Row],[VAT_Rate]]</f>
        <v>0</v>
      </c>
      <c r="L67" s="4">
        <f>RawTable[[#This Row],[VAT_Amount]]</f>
        <v>0</v>
      </c>
      <c r="M67" s="4">
        <f>RawTable[[#This Row],[Gross_Amount]]</f>
        <v>7043.4</v>
      </c>
      <c r="N67" s="4">
        <f>RawTable[[#This Row],[Exchange_Rate]]</f>
        <v>1</v>
      </c>
      <c r="O67" s="4">
        <f>RawTable[[#This Row],[Amount_CHF]]</f>
        <v>7043.4</v>
      </c>
      <c r="P6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6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67" s="11" t="str">
        <f>IF(ValidationTable[[#This Row],[Currency]]="","Fail","Pass")</f>
        <v>Pass</v>
      </c>
      <c r="S67" s="11" t="str">
        <f>IF(
ValidationTable[[#This Row],[Currency]]="CHF",
IF(ValidationTable[[#This Row],[Exchange_Rate]]&lt;&gt;1,"Fail","Pass"),
IF(ValidationTable[[#This Row],[Exchange_Rate]]&lt;=0,"Fail","Pass")
)</f>
        <v>Pass</v>
      </c>
      <c r="T6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67" s="11" t="str">
        <f>IF(LEN(TRIM(ValidationTable[[#This Row],[Bank_Account]]))=0,"Fail","Pass")</f>
        <v>Pass</v>
      </c>
      <c r="V67" s="11" t="str">
        <f>IF(
COUNTIF(ValidationTable[Record_ID],ValidationTable[[#This Row],[Record_ID]])&gt;1,
"Fail",
"Pass"
)</f>
        <v>Pass</v>
      </c>
      <c r="W67" s="11" t="str">
        <f>IF(
COUNTIF(ValidationTable[[#This Row],[RequiredField_Validation]]:ValidationTable[[#This Row],[Duplicate_Validation]],"Fail")&gt;0,
"Fail",
"Pass"
)</f>
        <v>Pass</v>
      </c>
      <c r="X67" s="11" t="str">
        <f>IF(ValidationTable[[#This Row],[Validation_Result]]="Pass","Yes","No")</f>
        <v>Yes</v>
      </c>
    </row>
    <row r="68" spans="1:24">
      <c r="A68" s="11">
        <f>RawTable[[#This Row],[Record_ID]]</f>
        <v>67</v>
      </c>
      <c r="B68" s="11" t="str">
        <f>RawTable[[#This Row],[Payment_Type]]</f>
        <v>Payroll</v>
      </c>
      <c r="C68" s="11" t="str">
        <f>RawTable[[#This Row],[Entity_Type]]</f>
        <v>Employee</v>
      </c>
      <c r="D68" s="11" t="str">
        <f>RawTable[[#This Row],[Country]]</f>
        <v>Jordan</v>
      </c>
      <c r="E68" s="11" t="str">
        <f>RawTable[[#This Row],[Name]]</f>
        <v>John Brown</v>
      </c>
      <c r="F68" s="11" t="str">
        <f>RawTable[[#This Row],[Bank_Account]]</f>
        <v>CH930000000000641680</v>
      </c>
      <c r="G68" s="11" t="str">
        <f>RawTable[[#This Row],[Month]]</f>
        <v>Jan-2026</v>
      </c>
      <c r="H68" s="11" t="str">
        <f>RawTable[[#This Row],[Currency]]</f>
        <v>JOD</v>
      </c>
      <c r="I68" s="4">
        <f>RawTable[[#This Row],[Net_Amount]]</f>
        <v>1911.96</v>
      </c>
      <c r="J68" s="2" t="str">
        <f>RawTable[[#This Row],[VAT_Applicable]]</f>
        <v>No</v>
      </c>
      <c r="K68" s="4">
        <f>RawTable[[#This Row],[VAT_Rate]]</f>
        <v>0</v>
      </c>
      <c r="L68" s="4">
        <f>RawTable[[#This Row],[VAT_Amount]]</f>
        <v>0</v>
      </c>
      <c r="M68" s="4">
        <f>RawTable[[#This Row],[Gross_Amount]]</f>
        <v>1911.96</v>
      </c>
      <c r="N68" s="4">
        <f>RawTable[[#This Row],[Exchange_Rate]]</f>
        <v>1.08643</v>
      </c>
      <c r="O68" s="4">
        <f>RawTable[[#This Row],[Amount_CHF]]</f>
        <v>2077.21</v>
      </c>
      <c r="P6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6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68" s="11" t="str">
        <f>IF(ValidationTable[[#This Row],[Currency]]="","Fail","Pass")</f>
        <v>Pass</v>
      </c>
      <c r="S68" s="11" t="str">
        <f>IF(
ValidationTable[[#This Row],[Currency]]="CHF",
IF(ValidationTable[[#This Row],[Exchange_Rate]]&lt;&gt;1,"Fail","Pass"),
IF(ValidationTable[[#This Row],[Exchange_Rate]]&lt;=0,"Fail","Pass")
)</f>
        <v>Pass</v>
      </c>
      <c r="T6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68" s="11" t="str">
        <f>IF(LEN(TRIM(ValidationTable[[#This Row],[Bank_Account]]))=0,"Fail","Pass")</f>
        <v>Pass</v>
      </c>
      <c r="V68" s="11" t="str">
        <f>IF(
COUNTIF(ValidationTable[Record_ID],ValidationTable[[#This Row],[Record_ID]])&gt;1,
"Fail",
"Pass"
)</f>
        <v>Pass</v>
      </c>
      <c r="W68" s="11" t="str">
        <f>IF(
COUNTIF(ValidationTable[[#This Row],[RequiredField_Validation]]:ValidationTable[[#This Row],[Duplicate_Validation]],"Fail")&gt;0,
"Fail",
"Pass"
)</f>
        <v>Pass</v>
      </c>
      <c r="X68" s="11" t="str">
        <f>IF(ValidationTable[[#This Row],[Validation_Result]]="Pass","Yes","No")</f>
        <v>Yes</v>
      </c>
    </row>
    <row r="69" spans="1:24">
      <c r="A69" s="11">
        <f>RawTable[[#This Row],[Record_ID]]</f>
        <v>68</v>
      </c>
      <c r="B69" s="11" t="str">
        <f>RawTable[[#This Row],[Payment_Type]]</f>
        <v>Payroll</v>
      </c>
      <c r="C69" s="11" t="str">
        <f>RawTable[[#This Row],[Entity_Type]]</f>
        <v>Employee</v>
      </c>
      <c r="D69" s="11" t="str">
        <f>RawTable[[#This Row],[Country]]</f>
        <v>Jordan</v>
      </c>
      <c r="E69" s="11" t="str">
        <f>RawTable[[#This Row],[Name]]</f>
        <v>Sara Ali</v>
      </c>
      <c r="F69" s="11" t="str">
        <f>RawTable[[#This Row],[Bank_Account]]</f>
        <v>JO-IBAN-00617250</v>
      </c>
      <c r="G69" s="11" t="str">
        <f>RawTable[[#This Row],[Month]]</f>
        <v>Mar-2026</v>
      </c>
      <c r="H69" s="11" t="str">
        <f>RawTable[[#This Row],[Currency]]</f>
        <v>JOD</v>
      </c>
      <c r="I69" s="4">
        <f>RawTable[[#This Row],[Net_Amount]]</f>
        <v>1689.12</v>
      </c>
      <c r="J69" s="2" t="str">
        <f>RawTable[[#This Row],[VAT_Applicable]]</f>
        <v>No</v>
      </c>
      <c r="K69" s="4">
        <f>RawTable[[#This Row],[VAT_Rate]]</f>
        <v>0</v>
      </c>
      <c r="L69" s="4">
        <f>RawTable[[#This Row],[VAT_Amount]]</f>
        <v>0</v>
      </c>
      <c r="M69" s="4">
        <f>RawTable[[#This Row],[Gross_Amount]]</f>
        <v>1689.12</v>
      </c>
      <c r="N69" s="4">
        <f>RawTable[[#This Row],[Exchange_Rate]]</f>
        <v>1.08643</v>
      </c>
      <c r="O69" s="4">
        <f>RawTable[[#This Row],[Amount_CHF]]</f>
        <v>1835.11</v>
      </c>
      <c r="P6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6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69" s="11" t="str">
        <f>IF(ValidationTable[[#This Row],[Currency]]="","Fail","Pass")</f>
        <v>Pass</v>
      </c>
      <c r="S69" s="11" t="str">
        <f>IF(
ValidationTable[[#This Row],[Currency]]="CHF",
IF(ValidationTable[[#This Row],[Exchange_Rate]]&lt;&gt;1,"Fail","Pass"),
IF(ValidationTable[[#This Row],[Exchange_Rate]]&lt;=0,"Fail","Pass")
)</f>
        <v>Pass</v>
      </c>
      <c r="T6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69" s="11" t="str">
        <f>IF(LEN(TRIM(ValidationTable[[#This Row],[Bank_Account]]))=0,"Fail","Pass")</f>
        <v>Pass</v>
      </c>
      <c r="V69" s="11" t="str">
        <f>IF(
COUNTIF(ValidationTable[Record_ID],ValidationTable[[#This Row],[Record_ID]])&gt;1,
"Fail",
"Pass"
)</f>
        <v>Pass</v>
      </c>
      <c r="W69" s="11" t="str">
        <f>IF(
COUNTIF(ValidationTable[[#This Row],[RequiredField_Validation]]:ValidationTable[[#This Row],[Duplicate_Validation]],"Fail")&gt;0,
"Fail",
"Pass"
)</f>
        <v>Pass</v>
      </c>
      <c r="X69" s="11" t="str">
        <f>IF(ValidationTable[[#This Row],[Validation_Result]]="Pass","Yes","No")</f>
        <v>Yes</v>
      </c>
    </row>
    <row r="70" spans="1:24">
      <c r="A70" s="11">
        <f>RawTable[[#This Row],[Record_ID]]</f>
        <v>69</v>
      </c>
      <c r="B70" s="11" t="str">
        <f>RawTable[[#This Row],[Payment_Type]]</f>
        <v>Payroll</v>
      </c>
      <c r="C70" s="11" t="str">
        <f>RawTable[[#This Row],[Entity_Type]]</f>
        <v>Employee</v>
      </c>
      <c r="D70" s="11" t="str">
        <f>RawTable[[#This Row],[Country]]</f>
        <v>Switzerland</v>
      </c>
      <c r="E70" s="11" t="str">
        <f>RawTable[[#This Row],[Name]]</f>
        <v>David Khan</v>
      </c>
      <c r="F70" s="11" t="str">
        <f>RawTable[[#This Row],[Bank_Account]]</f>
        <v>DE890000000000122211</v>
      </c>
      <c r="G70" s="11" t="str">
        <f>RawTable[[#This Row],[Month]]</f>
        <v>Feb-2026</v>
      </c>
      <c r="H70" s="11" t="str">
        <f>RawTable[[#This Row],[Currency]]</f>
        <v>CHF</v>
      </c>
      <c r="I70" s="4">
        <f>RawTable[[#This Row],[Net_Amount]]</f>
        <v>6650.15</v>
      </c>
      <c r="J70" s="2" t="str">
        <f>RawTable[[#This Row],[VAT_Applicable]]</f>
        <v>No</v>
      </c>
      <c r="K70" s="4">
        <f>RawTable[[#This Row],[VAT_Rate]]</f>
        <v>0</v>
      </c>
      <c r="L70" s="4">
        <f>RawTable[[#This Row],[VAT_Amount]]</f>
        <v>0</v>
      </c>
      <c r="M70" s="4">
        <f>RawTable[[#This Row],[Gross_Amount]]</f>
        <v>6650.15</v>
      </c>
      <c r="N70" s="4">
        <f>RawTable[[#This Row],[Exchange_Rate]]</f>
        <v>1</v>
      </c>
      <c r="O70" s="4">
        <f>RawTable[[#This Row],[Amount_CHF]]</f>
        <v>6650.15</v>
      </c>
      <c r="P7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7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70" s="11" t="str">
        <f>IF(ValidationTable[[#This Row],[Currency]]="","Fail","Pass")</f>
        <v>Pass</v>
      </c>
      <c r="S70" s="11" t="str">
        <f>IF(
ValidationTable[[#This Row],[Currency]]="CHF",
IF(ValidationTable[[#This Row],[Exchange_Rate]]&lt;&gt;1,"Fail","Pass"),
IF(ValidationTable[[#This Row],[Exchange_Rate]]&lt;=0,"Fail","Pass")
)</f>
        <v>Pass</v>
      </c>
      <c r="T7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70" s="11" t="str">
        <f>IF(LEN(TRIM(ValidationTable[[#This Row],[Bank_Account]]))=0,"Fail","Pass")</f>
        <v>Pass</v>
      </c>
      <c r="V70" s="11" t="str">
        <f>IF(
COUNTIF(ValidationTable[Record_ID],ValidationTable[[#This Row],[Record_ID]])&gt;1,
"Fail",
"Pass"
)</f>
        <v>Pass</v>
      </c>
      <c r="W70" s="11" t="str">
        <f>IF(
COUNTIF(ValidationTable[[#This Row],[RequiredField_Validation]]:ValidationTable[[#This Row],[Duplicate_Validation]],"Fail")&gt;0,
"Fail",
"Pass"
)</f>
        <v>Pass</v>
      </c>
      <c r="X70" s="11" t="str">
        <f>IF(ValidationTable[[#This Row],[Validation_Result]]="Pass","Yes","No")</f>
        <v>Yes</v>
      </c>
    </row>
    <row r="71" spans="1:24">
      <c r="A71" s="11">
        <f>RawTable[[#This Row],[Record_ID]]</f>
        <v>70</v>
      </c>
      <c r="B71" s="11" t="str">
        <f>RawTable[[#This Row],[Payment_Type]]</f>
        <v>Payroll</v>
      </c>
      <c r="C71" s="11" t="str">
        <f>RawTable[[#This Row],[Entity_Type]]</f>
        <v>Employee</v>
      </c>
      <c r="D71" s="11" t="str">
        <f>RawTable[[#This Row],[Country]]</f>
        <v>USA</v>
      </c>
      <c r="E71" s="11" t="str">
        <f>RawTable[[#This Row],[Name]]</f>
        <v>Julia Haddad</v>
      </c>
      <c r="F71" s="11" t="str">
        <f>RawTable[[#This Row],[Bank_Account]]</f>
        <v>CH930000000000863800</v>
      </c>
      <c r="G71" s="11" t="str">
        <f>RawTable[[#This Row],[Month]]</f>
        <v>Jan-2026</v>
      </c>
      <c r="H71" s="11" t="str">
        <f>RawTable[[#This Row],[Currency]]</f>
        <v>USD</v>
      </c>
      <c r="I71" s="4">
        <f>RawTable[[#This Row],[Net_Amount]]</f>
        <v>7382.9</v>
      </c>
      <c r="J71" s="2" t="str">
        <f>RawTable[[#This Row],[VAT_Applicable]]</f>
        <v>No</v>
      </c>
      <c r="K71" s="4">
        <f>RawTable[[#This Row],[VAT_Rate]]</f>
        <v>0</v>
      </c>
      <c r="L71" s="4">
        <f>RawTable[[#This Row],[VAT_Amount]]</f>
        <v>0</v>
      </c>
      <c r="M71" s="4">
        <f>RawTable[[#This Row],[Gross_Amount]]</f>
        <v>7382.9</v>
      </c>
      <c r="N71" s="4">
        <f>RawTable[[#This Row],[Exchange_Rate]]</f>
        <v>0.77017999999999998</v>
      </c>
      <c r="O71" s="4">
        <f>RawTable[[#This Row],[Amount_CHF]]</f>
        <v>5686.16</v>
      </c>
      <c r="P7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7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71" s="11" t="str">
        <f>IF(ValidationTable[[#This Row],[Currency]]="","Fail","Pass")</f>
        <v>Pass</v>
      </c>
      <c r="S71" s="11" t="str">
        <f>IF(
ValidationTable[[#This Row],[Currency]]="CHF",
IF(ValidationTable[[#This Row],[Exchange_Rate]]&lt;&gt;1,"Fail","Pass"),
IF(ValidationTable[[#This Row],[Exchange_Rate]]&lt;=0,"Fail","Pass")
)</f>
        <v>Pass</v>
      </c>
      <c r="T7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71" s="11" t="str">
        <f>IF(LEN(TRIM(ValidationTable[[#This Row],[Bank_Account]]))=0,"Fail","Pass")</f>
        <v>Pass</v>
      </c>
      <c r="V71" s="11" t="str">
        <f>IF(
COUNTIF(ValidationTable[Record_ID],ValidationTable[[#This Row],[Record_ID]])&gt;1,
"Fail",
"Pass"
)</f>
        <v>Pass</v>
      </c>
      <c r="W71" s="11" t="str">
        <f>IF(
COUNTIF(ValidationTable[[#This Row],[RequiredField_Validation]]:ValidationTable[[#This Row],[Duplicate_Validation]],"Fail")&gt;0,
"Fail",
"Pass"
)</f>
        <v>Pass</v>
      </c>
      <c r="X71" s="11" t="str">
        <f>IF(ValidationTable[[#This Row],[Validation_Result]]="Pass","Yes","No")</f>
        <v>Yes</v>
      </c>
    </row>
    <row r="72" spans="1:24">
      <c r="A72" s="11">
        <f>RawTable[[#This Row],[Record_ID]]</f>
        <v>71</v>
      </c>
      <c r="B72" s="11" t="str">
        <f>RawTable[[#This Row],[Payment_Type]]</f>
        <v>Payroll</v>
      </c>
      <c r="C72" s="11" t="str">
        <f>RawTable[[#This Row],[Entity_Type]]</f>
        <v>Employee</v>
      </c>
      <c r="D72" s="11" t="str">
        <f>RawTable[[#This Row],[Country]]</f>
        <v>USA</v>
      </c>
      <c r="E72" s="11" t="str">
        <f>RawTable[[#This Row],[Name]]</f>
        <v>Sara Johnson</v>
      </c>
      <c r="F72" s="11" t="str">
        <f>RawTable[[#This Row],[Bank_Account]]</f>
        <v>US-RT-000062934-AC-0000289578</v>
      </c>
      <c r="G72" s="11" t="str">
        <f>RawTable[[#This Row],[Month]]</f>
        <v>Jan-2026</v>
      </c>
      <c r="H72" s="11" t="str">
        <f>RawTable[[#This Row],[Currency]]</f>
        <v>USD</v>
      </c>
      <c r="I72" s="4">
        <f>RawTable[[#This Row],[Net_Amount]]</f>
        <v>7151.9</v>
      </c>
      <c r="J72" s="2" t="str">
        <f>RawTable[[#This Row],[VAT_Applicable]]</f>
        <v>No</v>
      </c>
      <c r="K72" s="4">
        <f>RawTable[[#This Row],[VAT_Rate]]</f>
        <v>0</v>
      </c>
      <c r="L72" s="4">
        <f>RawTable[[#This Row],[VAT_Amount]]</f>
        <v>0</v>
      </c>
      <c r="M72" s="4">
        <f>RawTable[[#This Row],[Gross_Amount]]</f>
        <v>7151.9</v>
      </c>
      <c r="N72" s="4">
        <f>RawTable[[#This Row],[Exchange_Rate]]</f>
        <v>0.77017999999999998</v>
      </c>
      <c r="O72" s="4">
        <f>RawTable[[#This Row],[Amount_CHF]]</f>
        <v>5508.25</v>
      </c>
      <c r="P7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7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72" s="11" t="str">
        <f>IF(ValidationTable[[#This Row],[Currency]]="","Fail","Pass")</f>
        <v>Pass</v>
      </c>
      <c r="S72" s="11" t="str">
        <f>IF(
ValidationTable[[#This Row],[Currency]]="CHF",
IF(ValidationTable[[#This Row],[Exchange_Rate]]&lt;&gt;1,"Fail","Pass"),
IF(ValidationTable[[#This Row],[Exchange_Rate]]&lt;=0,"Fail","Pass")
)</f>
        <v>Pass</v>
      </c>
      <c r="T7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72" s="11" t="str">
        <f>IF(LEN(TRIM(ValidationTable[[#This Row],[Bank_Account]]))=0,"Fail","Pass")</f>
        <v>Pass</v>
      </c>
      <c r="V72" s="11" t="str">
        <f>IF(
COUNTIF(ValidationTable[Record_ID],ValidationTable[[#This Row],[Record_ID]])&gt;1,
"Fail",
"Pass"
)</f>
        <v>Pass</v>
      </c>
      <c r="W72" s="11" t="str">
        <f>IF(
COUNTIF(ValidationTable[[#This Row],[RequiredField_Validation]]:ValidationTable[[#This Row],[Duplicate_Validation]],"Fail")&gt;0,
"Fail",
"Pass"
)</f>
        <v>Pass</v>
      </c>
      <c r="X72" s="11" t="str">
        <f>IF(ValidationTable[[#This Row],[Validation_Result]]="Pass","Yes","No")</f>
        <v>Yes</v>
      </c>
    </row>
    <row r="73" spans="1:24">
      <c r="A73" s="11">
        <f>RawTable[[#This Row],[Record_ID]]</f>
        <v>72</v>
      </c>
      <c r="B73" s="11" t="str">
        <f>RawTable[[#This Row],[Payment_Type]]</f>
        <v>Payroll</v>
      </c>
      <c r="C73" s="11" t="str">
        <f>RawTable[[#This Row],[Entity_Type]]</f>
        <v>Employee</v>
      </c>
      <c r="D73" s="11" t="str">
        <f>RawTable[[#This Row],[Country]]</f>
        <v>Germany</v>
      </c>
      <c r="E73" s="11" t="str">
        <f>RawTable[[#This Row],[Name]]</f>
        <v>Anna Taylor</v>
      </c>
      <c r="F73" s="11" t="str">
        <f>RawTable[[#This Row],[Bank_Account]]</f>
        <v>JO-IBAN-00098760</v>
      </c>
      <c r="G73" s="11" t="str">
        <f>RawTable[[#This Row],[Month]]</f>
        <v>Feb-2026</v>
      </c>
      <c r="H73" s="11" t="str">
        <f>RawTable[[#This Row],[Currency]]</f>
        <v>EUR</v>
      </c>
      <c r="I73" s="4">
        <f>RawTable[[#This Row],[Net_Amount]]</f>
        <v>6126</v>
      </c>
      <c r="J73" s="2" t="str">
        <f>RawTable[[#This Row],[VAT_Applicable]]</f>
        <v>No</v>
      </c>
      <c r="K73" s="4">
        <f>RawTable[[#This Row],[VAT_Rate]]</f>
        <v>0</v>
      </c>
      <c r="L73" s="4">
        <f>RawTable[[#This Row],[VAT_Amount]]</f>
        <v>0</v>
      </c>
      <c r="M73" s="4">
        <f>RawTable[[#This Row],[Gross_Amount]]</f>
        <v>6126</v>
      </c>
      <c r="N73" s="4">
        <f>RawTable[[#This Row],[Exchange_Rate]]</f>
        <v>0.90888000000000002</v>
      </c>
      <c r="O73" s="4">
        <f>RawTable[[#This Row],[Amount_CHF]]</f>
        <v>5567.8</v>
      </c>
      <c r="P7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7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73" s="11" t="str">
        <f>IF(ValidationTable[[#This Row],[Currency]]="","Fail","Pass")</f>
        <v>Pass</v>
      </c>
      <c r="S73" s="11" t="str">
        <f>IF(
ValidationTable[[#This Row],[Currency]]="CHF",
IF(ValidationTable[[#This Row],[Exchange_Rate]]&lt;&gt;1,"Fail","Pass"),
IF(ValidationTable[[#This Row],[Exchange_Rate]]&lt;=0,"Fail","Pass")
)</f>
        <v>Pass</v>
      </c>
      <c r="T7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73" s="11" t="str">
        <f>IF(LEN(TRIM(ValidationTable[[#This Row],[Bank_Account]]))=0,"Fail","Pass")</f>
        <v>Pass</v>
      </c>
      <c r="V73" s="11" t="str">
        <f>IF(
COUNTIF(ValidationTable[Record_ID],ValidationTable[[#This Row],[Record_ID]])&gt;1,
"Fail",
"Pass"
)</f>
        <v>Pass</v>
      </c>
      <c r="W73" s="11" t="str">
        <f>IF(
COUNTIF(ValidationTable[[#This Row],[RequiredField_Validation]]:ValidationTable[[#This Row],[Duplicate_Validation]],"Fail")&gt;0,
"Fail",
"Pass"
)</f>
        <v>Pass</v>
      </c>
      <c r="X73" s="11" t="str">
        <f>IF(ValidationTable[[#This Row],[Validation_Result]]="Pass","Yes","No")</f>
        <v>Yes</v>
      </c>
    </row>
    <row r="74" spans="1:24">
      <c r="A74" s="11">
        <f>RawTable[[#This Row],[Record_ID]]</f>
        <v>73</v>
      </c>
      <c r="B74" s="11" t="str">
        <f>RawTable[[#This Row],[Payment_Type]]</f>
        <v>Payroll</v>
      </c>
      <c r="C74" s="11" t="str">
        <f>RawTable[[#This Row],[Entity_Type]]</f>
        <v>Employee</v>
      </c>
      <c r="D74" s="11" t="str">
        <f>RawTable[[#This Row],[Country]]</f>
        <v>Jordan</v>
      </c>
      <c r="E74" s="11" t="str">
        <f>RawTable[[#This Row],[Name]]</f>
        <v>David Brown</v>
      </c>
      <c r="F74" s="11" t="str">
        <f>RawTable[[#This Row],[Bank_Account]]</f>
        <v>JO-IBAN-00641940</v>
      </c>
      <c r="G74" s="11" t="str">
        <f>RawTable[[#This Row],[Month]]</f>
        <v>Mar-2026</v>
      </c>
      <c r="H74" s="11" t="str">
        <f>RawTable[[#This Row],[Currency]]</f>
        <v>JOD</v>
      </c>
      <c r="I74" s="4">
        <f>RawTable[[#This Row],[Net_Amount]]</f>
        <v>1701.9</v>
      </c>
      <c r="J74" s="2" t="str">
        <f>RawTable[[#This Row],[VAT_Applicable]]</f>
        <v>No</v>
      </c>
      <c r="K74" s="4">
        <f>RawTable[[#This Row],[VAT_Rate]]</f>
        <v>0</v>
      </c>
      <c r="L74" s="4">
        <f>RawTable[[#This Row],[VAT_Amount]]</f>
        <v>0</v>
      </c>
      <c r="M74" s="4">
        <f>RawTable[[#This Row],[Gross_Amount]]</f>
        <v>1701.9</v>
      </c>
      <c r="N74" s="4">
        <f>RawTable[[#This Row],[Exchange_Rate]]</f>
        <v>1.08643</v>
      </c>
      <c r="O74" s="4">
        <f>RawTable[[#This Row],[Amount_CHF]]</f>
        <v>1849</v>
      </c>
      <c r="P7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7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74" s="11" t="str">
        <f>IF(ValidationTable[[#This Row],[Currency]]="","Fail","Pass")</f>
        <v>Pass</v>
      </c>
      <c r="S74" s="11" t="str">
        <f>IF(
ValidationTable[[#This Row],[Currency]]="CHF",
IF(ValidationTable[[#This Row],[Exchange_Rate]]&lt;&gt;1,"Fail","Pass"),
IF(ValidationTable[[#This Row],[Exchange_Rate]]&lt;=0,"Fail","Pass")
)</f>
        <v>Pass</v>
      </c>
      <c r="T7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74" s="11" t="str">
        <f>IF(LEN(TRIM(ValidationTable[[#This Row],[Bank_Account]]))=0,"Fail","Pass")</f>
        <v>Pass</v>
      </c>
      <c r="V74" s="11" t="str">
        <f>IF(
COUNTIF(ValidationTable[Record_ID],ValidationTable[[#This Row],[Record_ID]])&gt;1,
"Fail",
"Pass"
)</f>
        <v>Pass</v>
      </c>
      <c r="W74" s="11" t="str">
        <f>IF(
COUNTIF(ValidationTable[[#This Row],[RequiredField_Validation]]:ValidationTable[[#This Row],[Duplicate_Validation]],"Fail")&gt;0,
"Fail",
"Pass"
)</f>
        <v>Pass</v>
      </c>
      <c r="X74" s="11" t="str">
        <f>IF(ValidationTable[[#This Row],[Validation_Result]]="Pass","Yes","No")</f>
        <v>Yes</v>
      </c>
    </row>
    <row r="75" spans="1:24">
      <c r="A75" s="11">
        <f>RawTable[[#This Row],[Record_ID]]</f>
        <v>74</v>
      </c>
      <c r="B75" s="11" t="str">
        <f>RawTable[[#This Row],[Payment_Type]]</f>
        <v>Payroll</v>
      </c>
      <c r="C75" s="11" t="str">
        <f>RawTable[[#This Row],[Entity_Type]]</f>
        <v>Employee</v>
      </c>
      <c r="D75" s="11" t="str">
        <f>RawTable[[#This Row],[Country]]</f>
        <v>USA</v>
      </c>
      <c r="E75" s="11" t="str">
        <f>RawTable[[#This Row],[Name]]</f>
        <v>Omar Haddad</v>
      </c>
      <c r="F75" s="11" t="str">
        <f>RawTable[[#This Row],[Bank_Account]]</f>
        <v>CH930000000000444240</v>
      </c>
      <c r="G75" s="11" t="str">
        <f>RawTable[[#This Row],[Month]]</f>
        <v>Jan-2026</v>
      </c>
      <c r="H75" s="11" t="str">
        <f>RawTable[[#This Row],[Currency]]</f>
        <v>USD</v>
      </c>
      <c r="I75" s="4">
        <f>RawTable[[#This Row],[Net_Amount]]</f>
        <v>7522.9</v>
      </c>
      <c r="J75" s="2" t="str">
        <f>RawTable[[#This Row],[VAT_Applicable]]</f>
        <v>No</v>
      </c>
      <c r="K75" s="4">
        <f>RawTable[[#This Row],[VAT_Rate]]</f>
        <v>0</v>
      </c>
      <c r="L75" s="4">
        <f>RawTable[[#This Row],[VAT_Amount]]</f>
        <v>0</v>
      </c>
      <c r="M75" s="4">
        <f>RawTable[[#This Row],[Gross_Amount]]</f>
        <v>7522.9</v>
      </c>
      <c r="N75" s="4">
        <f>RawTable[[#This Row],[Exchange_Rate]]</f>
        <v>0.77017999999999998</v>
      </c>
      <c r="O75" s="4">
        <f>RawTable[[#This Row],[Amount_CHF]]</f>
        <v>5793.99</v>
      </c>
      <c r="P7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7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75" s="11" t="str">
        <f>IF(ValidationTable[[#This Row],[Currency]]="","Fail","Pass")</f>
        <v>Pass</v>
      </c>
      <c r="S75" s="11" t="str">
        <f>IF(
ValidationTable[[#This Row],[Currency]]="CHF",
IF(ValidationTable[[#This Row],[Exchange_Rate]]&lt;&gt;1,"Fail","Pass"),
IF(ValidationTable[[#This Row],[Exchange_Rate]]&lt;=0,"Fail","Pass")
)</f>
        <v>Pass</v>
      </c>
      <c r="T7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75" s="11" t="str">
        <f>IF(LEN(TRIM(ValidationTable[[#This Row],[Bank_Account]]))=0,"Fail","Pass")</f>
        <v>Pass</v>
      </c>
      <c r="V75" s="11" t="str">
        <f>IF(
COUNTIF(ValidationTable[Record_ID],ValidationTable[[#This Row],[Record_ID]])&gt;1,
"Fail",
"Pass"
)</f>
        <v>Pass</v>
      </c>
      <c r="W75" s="11" t="str">
        <f>IF(
COUNTIF(ValidationTable[[#This Row],[RequiredField_Validation]]:ValidationTable[[#This Row],[Duplicate_Validation]],"Fail")&gt;0,
"Fail",
"Pass"
)</f>
        <v>Pass</v>
      </c>
      <c r="X75" s="11" t="str">
        <f>IF(ValidationTable[[#This Row],[Validation_Result]]="Pass","Yes","No")</f>
        <v>Yes</v>
      </c>
    </row>
    <row r="76" spans="1:24">
      <c r="A76" s="11">
        <f>RawTable[[#This Row],[Record_ID]]</f>
        <v>75</v>
      </c>
      <c r="B76" s="11" t="str">
        <f>RawTable[[#This Row],[Payment_Type]]</f>
        <v>Payroll</v>
      </c>
      <c r="C76" s="11" t="str">
        <f>RawTable[[#This Row],[Entity_Type]]</f>
        <v>Employee</v>
      </c>
      <c r="D76" s="11" t="str">
        <f>RawTable[[#This Row],[Country]]</f>
        <v>USA</v>
      </c>
      <c r="E76" s="11" t="str">
        <f>RawTable[[#This Row],[Name]]</f>
        <v>Michael Taylor</v>
      </c>
      <c r="F76" s="11" t="str">
        <f>RawTable[[#This Row],[Bank_Account]]</f>
        <v>US-RT-000024680-AC-0000113560</v>
      </c>
      <c r="G76" s="11" t="str">
        <f>RawTable[[#This Row],[Month]]</f>
        <v>Feb-2026</v>
      </c>
      <c r="H76" s="11" t="str">
        <f>RawTable[[#This Row],[Currency]]</f>
        <v>USD</v>
      </c>
      <c r="I76" s="4">
        <f>RawTable[[#This Row],[Net_Amount]]</f>
        <v>7576.06</v>
      </c>
      <c r="J76" s="2" t="str">
        <f>RawTable[[#This Row],[VAT_Applicable]]</f>
        <v>No</v>
      </c>
      <c r="K76" s="4">
        <f>RawTable[[#This Row],[VAT_Rate]]</f>
        <v>0</v>
      </c>
      <c r="L76" s="4">
        <f>RawTable[[#This Row],[VAT_Amount]]</f>
        <v>0</v>
      </c>
      <c r="M76" s="4">
        <f>RawTable[[#This Row],[Gross_Amount]]</f>
        <v>7576.06</v>
      </c>
      <c r="N76" s="4">
        <f>RawTable[[#This Row],[Exchange_Rate]]</f>
        <v>0.77017999999999998</v>
      </c>
      <c r="O76" s="4">
        <f>RawTable[[#This Row],[Amount_CHF]]</f>
        <v>5834.93</v>
      </c>
      <c r="P7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7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76" s="11" t="str">
        <f>IF(ValidationTable[[#This Row],[Currency]]="","Fail","Pass")</f>
        <v>Pass</v>
      </c>
      <c r="S76" s="11" t="str">
        <f>IF(
ValidationTable[[#This Row],[Currency]]="CHF",
IF(ValidationTable[[#This Row],[Exchange_Rate]]&lt;&gt;1,"Fail","Pass"),
IF(ValidationTable[[#This Row],[Exchange_Rate]]&lt;=0,"Fail","Pass")
)</f>
        <v>Pass</v>
      </c>
      <c r="T7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76" s="11" t="str">
        <f>IF(LEN(TRIM(ValidationTable[[#This Row],[Bank_Account]]))=0,"Fail","Pass")</f>
        <v>Pass</v>
      </c>
      <c r="V76" s="11" t="str">
        <f>IF(
COUNTIF(ValidationTable[Record_ID],ValidationTable[[#This Row],[Record_ID]])&gt;1,
"Fail",
"Pass"
)</f>
        <v>Pass</v>
      </c>
      <c r="W76" s="11" t="str">
        <f>IF(
COUNTIF(ValidationTable[[#This Row],[RequiredField_Validation]]:ValidationTable[[#This Row],[Duplicate_Validation]],"Fail")&gt;0,
"Fail",
"Pass"
)</f>
        <v>Pass</v>
      </c>
      <c r="X76" s="11" t="str">
        <f>IF(ValidationTable[[#This Row],[Validation_Result]]="Pass","Yes","No")</f>
        <v>Yes</v>
      </c>
    </row>
    <row r="77" spans="1:24">
      <c r="A77" s="11">
        <f>RawTable[[#This Row],[Record_ID]]</f>
        <v>76</v>
      </c>
      <c r="B77" s="11" t="str">
        <f>RawTable[[#This Row],[Payment_Type]]</f>
        <v>Payroll</v>
      </c>
      <c r="C77" s="11" t="str">
        <f>RawTable[[#This Row],[Entity_Type]]</f>
        <v>Employee</v>
      </c>
      <c r="D77" s="11" t="str">
        <f>RawTable[[#This Row],[Country]]</f>
        <v>USA</v>
      </c>
      <c r="E77" s="11" t="str">
        <f>RawTable[[#This Row],[Name]]</f>
        <v>Ahmed Taylor</v>
      </c>
      <c r="F77" s="11" t="str">
        <f>RawTable[[#This Row],[Bank_Account]]</f>
        <v>CH930000000001209320</v>
      </c>
      <c r="G77" s="11" t="str">
        <f>RawTable[[#This Row],[Month]]</f>
        <v>Mar-2026</v>
      </c>
      <c r="H77" s="11" t="str">
        <f>RawTable[[#This Row],[Currency]]</f>
        <v>USD</v>
      </c>
      <c r="I77" s="4">
        <f>RawTable[[#This Row],[Net_Amount]]</f>
        <v>7339.5</v>
      </c>
      <c r="J77" s="2" t="str">
        <f>RawTable[[#This Row],[VAT_Applicable]]</f>
        <v>No</v>
      </c>
      <c r="K77" s="4">
        <f>RawTable[[#This Row],[VAT_Rate]]</f>
        <v>0</v>
      </c>
      <c r="L77" s="4">
        <f>RawTable[[#This Row],[VAT_Amount]]</f>
        <v>0</v>
      </c>
      <c r="M77" s="4">
        <f>RawTable[[#This Row],[Gross_Amount]]</f>
        <v>7339.5</v>
      </c>
      <c r="N77" s="4">
        <f>RawTable[[#This Row],[Exchange_Rate]]</f>
        <v>0.77017999999999998</v>
      </c>
      <c r="O77" s="4">
        <f>RawTable[[#This Row],[Amount_CHF]]</f>
        <v>5652.74</v>
      </c>
      <c r="P7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7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77" s="11" t="str">
        <f>IF(ValidationTable[[#This Row],[Currency]]="","Fail","Pass")</f>
        <v>Pass</v>
      </c>
      <c r="S77" s="11" t="str">
        <f>IF(
ValidationTable[[#This Row],[Currency]]="CHF",
IF(ValidationTable[[#This Row],[Exchange_Rate]]&lt;&gt;1,"Fail","Pass"),
IF(ValidationTable[[#This Row],[Exchange_Rate]]&lt;=0,"Fail","Pass")
)</f>
        <v>Pass</v>
      </c>
      <c r="T7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77" s="11" t="str">
        <f>IF(LEN(TRIM(ValidationTable[[#This Row],[Bank_Account]]))=0,"Fail","Pass")</f>
        <v>Pass</v>
      </c>
      <c r="V77" s="11" t="str">
        <f>IF(
COUNTIF(ValidationTable[Record_ID],ValidationTable[[#This Row],[Record_ID]])&gt;1,
"Fail",
"Pass"
)</f>
        <v>Pass</v>
      </c>
      <c r="W77" s="11" t="str">
        <f>IF(
COUNTIF(ValidationTable[[#This Row],[RequiredField_Validation]]:ValidationTable[[#This Row],[Duplicate_Validation]],"Fail")&gt;0,
"Fail",
"Pass"
)</f>
        <v>Pass</v>
      </c>
      <c r="X77" s="11" t="str">
        <f>IF(ValidationTable[[#This Row],[Validation_Result]]="Pass","Yes","No")</f>
        <v>Yes</v>
      </c>
    </row>
    <row r="78" spans="1:24">
      <c r="A78" s="11">
        <f>RawTable[[#This Row],[Record_ID]]</f>
        <v>77</v>
      </c>
      <c r="B78" s="11" t="str">
        <f>RawTable[[#This Row],[Payment_Type]]</f>
        <v>Payroll</v>
      </c>
      <c r="C78" s="11" t="str">
        <f>RawTable[[#This Row],[Entity_Type]]</f>
        <v>Employee</v>
      </c>
      <c r="D78" s="11" t="str">
        <f>RawTable[[#This Row],[Country]]</f>
        <v>Germany</v>
      </c>
      <c r="E78" s="11" t="str">
        <f>RawTable[[#This Row],[Name]]</f>
        <v>David Wilson</v>
      </c>
      <c r="F78" s="11" t="str">
        <f>RawTable[[#This Row],[Bank_Account]]</f>
        <v>US-RT-000004936-AC-0000022712</v>
      </c>
      <c r="G78" s="11" t="str">
        <f>RawTable[[#This Row],[Month]]</f>
        <v>Mar-2026</v>
      </c>
      <c r="H78" s="11" t="str">
        <f>RawTable[[#This Row],[Currency]]</f>
        <v>EUR</v>
      </c>
      <c r="I78" s="4">
        <f>RawTable[[#This Row],[Net_Amount]]</f>
        <v>6447</v>
      </c>
      <c r="J78" s="2" t="str">
        <f>RawTable[[#This Row],[VAT_Applicable]]</f>
        <v>No</v>
      </c>
      <c r="K78" s="4">
        <f>RawTable[[#This Row],[VAT_Rate]]</f>
        <v>0</v>
      </c>
      <c r="L78" s="4">
        <f>RawTable[[#This Row],[VAT_Amount]]</f>
        <v>0</v>
      </c>
      <c r="M78" s="4">
        <f>RawTable[[#This Row],[Gross_Amount]]</f>
        <v>6447</v>
      </c>
      <c r="N78" s="4">
        <f>RawTable[[#This Row],[Exchange_Rate]]</f>
        <v>0.90888000000000002</v>
      </c>
      <c r="O78" s="4">
        <f>RawTable[[#This Row],[Amount_CHF]]</f>
        <v>5859.55</v>
      </c>
      <c r="P7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7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78" s="11" t="str">
        <f>IF(ValidationTable[[#This Row],[Currency]]="","Fail","Pass")</f>
        <v>Pass</v>
      </c>
      <c r="S78" s="11" t="str">
        <f>IF(
ValidationTable[[#This Row],[Currency]]="CHF",
IF(ValidationTable[[#This Row],[Exchange_Rate]]&lt;&gt;1,"Fail","Pass"),
IF(ValidationTable[[#This Row],[Exchange_Rate]]&lt;=0,"Fail","Pass")
)</f>
        <v>Pass</v>
      </c>
      <c r="T7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78" s="11" t="str">
        <f>IF(LEN(TRIM(ValidationTable[[#This Row],[Bank_Account]]))=0,"Fail","Pass")</f>
        <v>Pass</v>
      </c>
      <c r="V78" s="11" t="str">
        <f>IF(
COUNTIF(ValidationTable[Record_ID],ValidationTable[[#This Row],[Record_ID]])&gt;1,
"Fail",
"Pass"
)</f>
        <v>Pass</v>
      </c>
      <c r="W78" s="11" t="str">
        <f>IF(
COUNTIF(ValidationTable[[#This Row],[RequiredField_Validation]]:ValidationTable[[#This Row],[Duplicate_Validation]],"Fail")&gt;0,
"Fail",
"Pass"
)</f>
        <v>Pass</v>
      </c>
      <c r="X78" s="11" t="str">
        <f>IF(ValidationTable[[#This Row],[Validation_Result]]="Pass","Yes","No")</f>
        <v>Yes</v>
      </c>
    </row>
    <row r="79" spans="1:24">
      <c r="A79" s="11">
        <f>RawTable[[#This Row],[Record_ID]]</f>
        <v>78</v>
      </c>
      <c r="B79" s="11" t="str">
        <f>RawTable[[#This Row],[Payment_Type]]</f>
        <v>Payroll</v>
      </c>
      <c r="C79" s="11" t="str">
        <f>RawTable[[#This Row],[Entity_Type]]</f>
        <v>Employee</v>
      </c>
      <c r="D79" s="11" t="str">
        <f>RawTable[[#This Row],[Country]]</f>
        <v>USA</v>
      </c>
      <c r="E79" s="11" t="str">
        <f>RawTable[[#This Row],[Name]]</f>
        <v>Sara Schmidt</v>
      </c>
      <c r="F79" s="11" t="str">
        <f>RawTable[[#This Row],[Bank_Account]]</f>
        <v>US-RT-000065402-AC-0000300934</v>
      </c>
      <c r="G79" s="11" t="str">
        <f>RawTable[[#This Row],[Month]]</f>
        <v>Jan-2026</v>
      </c>
      <c r="H79" s="11" t="str">
        <f>RawTable[[#This Row],[Currency]]</f>
        <v>USD</v>
      </c>
      <c r="I79" s="4">
        <f>RawTable[[#This Row],[Net_Amount]]</f>
        <v>7287.7</v>
      </c>
      <c r="J79" s="2" t="str">
        <f>RawTable[[#This Row],[VAT_Applicable]]</f>
        <v>No</v>
      </c>
      <c r="K79" s="4">
        <f>RawTable[[#This Row],[VAT_Rate]]</f>
        <v>0</v>
      </c>
      <c r="L79" s="4">
        <f>RawTable[[#This Row],[VAT_Amount]]</f>
        <v>0</v>
      </c>
      <c r="M79" s="4">
        <f>RawTable[[#This Row],[Gross_Amount]]</f>
        <v>7287.7</v>
      </c>
      <c r="N79" s="4">
        <f>RawTable[[#This Row],[Exchange_Rate]]</f>
        <v>0.77017999999999998</v>
      </c>
      <c r="O79" s="4">
        <f>RawTable[[#This Row],[Amount_CHF]]</f>
        <v>5612.84</v>
      </c>
      <c r="P7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7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79" s="11" t="str">
        <f>IF(ValidationTable[[#This Row],[Currency]]="","Fail","Pass")</f>
        <v>Pass</v>
      </c>
      <c r="S79" s="11" t="str">
        <f>IF(
ValidationTable[[#This Row],[Currency]]="CHF",
IF(ValidationTable[[#This Row],[Exchange_Rate]]&lt;&gt;1,"Fail","Pass"),
IF(ValidationTable[[#This Row],[Exchange_Rate]]&lt;=0,"Fail","Pass")
)</f>
        <v>Pass</v>
      </c>
      <c r="T7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79" s="11" t="str">
        <f>IF(LEN(TRIM(ValidationTable[[#This Row],[Bank_Account]]))=0,"Fail","Pass")</f>
        <v>Pass</v>
      </c>
      <c r="V79" s="11" t="str">
        <f>IF(
COUNTIF(ValidationTable[Record_ID],ValidationTable[[#This Row],[Record_ID]])&gt;1,
"Fail",
"Pass"
)</f>
        <v>Pass</v>
      </c>
      <c r="W79" s="11" t="str">
        <f>IF(
COUNTIF(ValidationTable[[#This Row],[RequiredField_Validation]]:ValidationTable[[#This Row],[Duplicate_Validation]],"Fail")&gt;0,
"Fail",
"Pass"
)</f>
        <v>Pass</v>
      </c>
      <c r="X79" s="11" t="str">
        <f>IF(ValidationTable[[#This Row],[Validation_Result]]="Pass","Yes","No")</f>
        <v>Yes</v>
      </c>
    </row>
    <row r="80" spans="1:24">
      <c r="A80" s="11">
        <f>RawTable[[#This Row],[Record_ID]]</f>
        <v>79</v>
      </c>
      <c r="B80" s="11" t="str">
        <f>RawTable[[#This Row],[Payment_Type]]</f>
        <v>Payroll</v>
      </c>
      <c r="C80" s="11" t="str">
        <f>RawTable[[#This Row],[Entity_Type]]</f>
        <v>Employee</v>
      </c>
      <c r="D80" s="11" t="str">
        <f>RawTable[[#This Row],[Country]]</f>
        <v>Switzerland</v>
      </c>
      <c r="E80" s="11" t="str">
        <f>RawTable[[#This Row],[Name]]</f>
        <v>Omar Khan</v>
      </c>
      <c r="F80" s="11" t="str">
        <f>RawTable[[#This Row],[Bank_Account]]</f>
        <v>AE-IBAN-01738272</v>
      </c>
      <c r="G80" s="11" t="str">
        <f>RawTable[[#This Row],[Month]]</f>
        <v>Mar-2026</v>
      </c>
      <c r="H80" s="11" t="str">
        <f>RawTable[[#This Row],[Currency]]</f>
        <v>CHF</v>
      </c>
      <c r="I80" s="4">
        <f>RawTable[[#This Row],[Net_Amount]]</f>
        <v>6130.15</v>
      </c>
      <c r="J80" s="2" t="str">
        <f>RawTable[[#This Row],[VAT_Applicable]]</f>
        <v>No</v>
      </c>
      <c r="K80" s="4">
        <f>RawTable[[#This Row],[VAT_Rate]]</f>
        <v>0</v>
      </c>
      <c r="L80" s="4">
        <f>RawTable[[#This Row],[VAT_Amount]]</f>
        <v>0</v>
      </c>
      <c r="M80" s="4">
        <f>RawTable[[#This Row],[Gross_Amount]]</f>
        <v>6130.15</v>
      </c>
      <c r="N80" s="4">
        <f>RawTable[[#This Row],[Exchange_Rate]]</f>
        <v>1</v>
      </c>
      <c r="O80" s="4">
        <f>RawTable[[#This Row],[Amount_CHF]]</f>
        <v>6130.15</v>
      </c>
      <c r="P8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8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80" s="11" t="str">
        <f>IF(ValidationTable[[#This Row],[Currency]]="","Fail","Pass")</f>
        <v>Pass</v>
      </c>
      <c r="S80" s="11" t="str">
        <f>IF(
ValidationTable[[#This Row],[Currency]]="CHF",
IF(ValidationTable[[#This Row],[Exchange_Rate]]&lt;&gt;1,"Fail","Pass"),
IF(ValidationTable[[#This Row],[Exchange_Rate]]&lt;=0,"Fail","Pass")
)</f>
        <v>Pass</v>
      </c>
      <c r="T8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80" s="11" t="str">
        <f>IF(LEN(TRIM(ValidationTable[[#This Row],[Bank_Account]]))=0,"Fail","Pass")</f>
        <v>Pass</v>
      </c>
      <c r="V80" s="11" t="str">
        <f>IF(
COUNTIF(ValidationTable[Record_ID],ValidationTable[[#This Row],[Record_ID]])&gt;1,
"Fail",
"Pass"
)</f>
        <v>Pass</v>
      </c>
      <c r="W80" s="11" t="str">
        <f>IF(
COUNTIF(ValidationTable[[#This Row],[RequiredField_Validation]]:ValidationTable[[#This Row],[Duplicate_Validation]],"Fail")&gt;0,
"Fail",
"Pass"
)</f>
        <v>Pass</v>
      </c>
      <c r="X80" s="11" t="str">
        <f>IF(ValidationTable[[#This Row],[Validation_Result]]="Pass","Yes","No")</f>
        <v>Yes</v>
      </c>
    </row>
    <row r="81" spans="1:24">
      <c r="A81" s="11">
        <f>RawTable[[#This Row],[Record_ID]]</f>
        <v>80</v>
      </c>
      <c r="B81" s="11" t="str">
        <f>RawTable[[#This Row],[Payment_Type]]</f>
        <v>Payroll</v>
      </c>
      <c r="C81" s="11" t="str">
        <f>RawTable[[#This Row],[Entity_Type]]</f>
        <v>Employee</v>
      </c>
      <c r="D81" s="11" t="str">
        <f>RawTable[[#This Row],[Country]]</f>
        <v>Jordan</v>
      </c>
      <c r="E81" s="11" t="str">
        <f>RawTable[[#This Row],[Name]]</f>
        <v>Michael Müller</v>
      </c>
      <c r="F81" s="11" t="str">
        <f>RawTable[[#This Row],[Bank_Account]]</f>
        <v>CH930000000000592320</v>
      </c>
      <c r="G81" s="11" t="str">
        <f>RawTable[[#This Row],[Month]]</f>
        <v>Jan-2026</v>
      </c>
      <c r="H81" s="11" t="str">
        <f>RawTable[[#This Row],[Currency]]</f>
        <v>JOD</v>
      </c>
      <c r="I81" s="4">
        <f>RawTable[[#This Row],[Net_Amount]]</f>
        <v>1780.02</v>
      </c>
      <c r="J81" s="2" t="str">
        <f>RawTable[[#This Row],[VAT_Applicable]]</f>
        <v>No</v>
      </c>
      <c r="K81" s="4">
        <f>RawTable[[#This Row],[VAT_Rate]]</f>
        <v>0</v>
      </c>
      <c r="L81" s="4">
        <f>RawTable[[#This Row],[VAT_Amount]]</f>
        <v>0</v>
      </c>
      <c r="M81" s="4">
        <f>RawTable[[#This Row],[Gross_Amount]]</f>
        <v>1780.02</v>
      </c>
      <c r="N81" s="4">
        <f>RawTable[[#This Row],[Exchange_Rate]]</f>
        <v>1.08643</v>
      </c>
      <c r="O81" s="4">
        <f>RawTable[[#This Row],[Amount_CHF]]</f>
        <v>1933.87</v>
      </c>
      <c r="P8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8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81" s="11" t="str">
        <f>IF(ValidationTable[[#This Row],[Currency]]="","Fail","Pass")</f>
        <v>Pass</v>
      </c>
      <c r="S81" s="11" t="str">
        <f>IF(
ValidationTable[[#This Row],[Currency]]="CHF",
IF(ValidationTable[[#This Row],[Exchange_Rate]]&lt;&gt;1,"Fail","Pass"),
IF(ValidationTable[[#This Row],[Exchange_Rate]]&lt;=0,"Fail","Pass")
)</f>
        <v>Pass</v>
      </c>
      <c r="T8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81" s="11" t="str">
        <f>IF(LEN(TRIM(ValidationTable[[#This Row],[Bank_Account]]))=0,"Fail","Pass")</f>
        <v>Pass</v>
      </c>
      <c r="V81" s="11" t="str">
        <f>IF(
COUNTIF(ValidationTable[Record_ID],ValidationTable[[#This Row],[Record_ID]])&gt;1,
"Fail",
"Pass"
)</f>
        <v>Pass</v>
      </c>
      <c r="W81" s="11" t="str">
        <f>IF(
COUNTIF(ValidationTable[[#This Row],[RequiredField_Validation]]:ValidationTable[[#This Row],[Duplicate_Validation]],"Fail")&gt;0,
"Fail",
"Pass"
)</f>
        <v>Pass</v>
      </c>
      <c r="X81" s="11" t="str">
        <f>IF(ValidationTable[[#This Row],[Validation_Result]]="Pass","Yes","No")</f>
        <v>Yes</v>
      </c>
    </row>
    <row r="82" spans="1:24">
      <c r="A82" s="11">
        <f>RawTable[[#This Row],[Record_ID]]</f>
        <v>81</v>
      </c>
      <c r="B82" s="11" t="str">
        <f>RawTable[[#This Row],[Payment_Type]]</f>
        <v>Payroll</v>
      </c>
      <c r="C82" s="11" t="str">
        <f>RawTable[[#This Row],[Entity_Type]]</f>
        <v>Employee</v>
      </c>
      <c r="D82" s="11" t="str">
        <f>RawTable[[#This Row],[Country]]</f>
        <v>Germany</v>
      </c>
      <c r="E82" s="11" t="str">
        <f>RawTable[[#This Row],[Name]]</f>
        <v>Sara Schmidt</v>
      </c>
      <c r="F82" s="11" t="str">
        <f>RawTable[[#This Row],[Bank_Account]]</f>
        <v>US-RT-000065402-AC-0000300934</v>
      </c>
      <c r="G82" s="11" t="str">
        <f>RawTable[[#This Row],[Month]]</f>
        <v>Feb-2026</v>
      </c>
      <c r="H82" s="11" t="str">
        <f>RawTable[[#This Row],[Currency]]</f>
        <v>EUR</v>
      </c>
      <c r="I82" s="4">
        <f>RawTable[[#This Row],[Net_Amount]]</f>
        <v>6246.6</v>
      </c>
      <c r="J82" s="2" t="str">
        <f>RawTable[[#This Row],[VAT_Applicable]]</f>
        <v>No</v>
      </c>
      <c r="K82" s="4">
        <f>RawTable[[#This Row],[VAT_Rate]]</f>
        <v>0</v>
      </c>
      <c r="L82" s="4">
        <f>RawTable[[#This Row],[VAT_Amount]]</f>
        <v>0</v>
      </c>
      <c r="M82" s="4">
        <f>RawTable[[#This Row],[Gross_Amount]]</f>
        <v>6246.6</v>
      </c>
      <c r="N82" s="4">
        <f>RawTable[[#This Row],[Exchange_Rate]]</f>
        <v>0.90888000000000002</v>
      </c>
      <c r="O82" s="4">
        <f>RawTable[[#This Row],[Amount_CHF]]</f>
        <v>5677.41</v>
      </c>
      <c r="P8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8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82" s="11" t="str">
        <f>IF(ValidationTable[[#This Row],[Currency]]="","Fail","Pass")</f>
        <v>Pass</v>
      </c>
      <c r="S82" s="11" t="str">
        <f>IF(
ValidationTable[[#This Row],[Currency]]="CHF",
IF(ValidationTable[[#This Row],[Exchange_Rate]]&lt;&gt;1,"Fail","Pass"),
IF(ValidationTable[[#This Row],[Exchange_Rate]]&lt;=0,"Fail","Pass")
)</f>
        <v>Pass</v>
      </c>
      <c r="T8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82" s="11" t="str">
        <f>IF(LEN(TRIM(ValidationTable[[#This Row],[Bank_Account]]))=0,"Fail","Pass")</f>
        <v>Pass</v>
      </c>
      <c r="V82" s="11" t="str">
        <f>IF(
COUNTIF(ValidationTable[Record_ID],ValidationTable[[#This Row],[Record_ID]])&gt;1,
"Fail",
"Pass"
)</f>
        <v>Pass</v>
      </c>
      <c r="W82" s="11" t="str">
        <f>IF(
COUNTIF(ValidationTable[[#This Row],[RequiredField_Validation]]:ValidationTable[[#This Row],[Duplicate_Validation]],"Fail")&gt;0,
"Fail",
"Pass"
)</f>
        <v>Pass</v>
      </c>
      <c r="X82" s="11" t="str">
        <f>IF(ValidationTable[[#This Row],[Validation_Result]]="Pass","Yes","No")</f>
        <v>Yes</v>
      </c>
    </row>
    <row r="83" spans="1:24">
      <c r="A83" s="11">
        <f>RawTable[[#This Row],[Record_ID]]</f>
        <v>82</v>
      </c>
      <c r="B83" s="11" t="str">
        <f>RawTable[[#This Row],[Payment_Type]]</f>
        <v>Payroll</v>
      </c>
      <c r="C83" s="11" t="str">
        <f>RawTable[[#This Row],[Entity_Type]]</f>
        <v>Employee</v>
      </c>
      <c r="D83" s="11" t="str">
        <f>RawTable[[#This Row],[Country]]</f>
        <v>USA</v>
      </c>
      <c r="E83" s="11" t="str">
        <f>RawTable[[#This Row],[Name]]</f>
        <v>Laura Khan</v>
      </c>
      <c r="F83" s="11" t="str">
        <f>RawTable[[#This Row],[Bank_Account]]</f>
        <v>US-RT-000066636-AC-0000306612</v>
      </c>
      <c r="G83" s="11" t="str">
        <f>RawTable[[#This Row],[Month]]</f>
        <v>Jan-2026</v>
      </c>
      <c r="H83" s="11" t="str">
        <f>RawTable[[#This Row],[Currency]]</f>
        <v>USD</v>
      </c>
      <c r="I83" s="4">
        <f>RawTable[[#This Row],[Net_Amount]]</f>
        <v>7380.8</v>
      </c>
      <c r="J83" s="2" t="str">
        <f>RawTable[[#This Row],[VAT_Applicable]]</f>
        <v>No</v>
      </c>
      <c r="K83" s="4">
        <f>RawTable[[#This Row],[VAT_Rate]]</f>
        <v>0</v>
      </c>
      <c r="L83" s="4">
        <f>RawTable[[#This Row],[VAT_Amount]]</f>
        <v>0</v>
      </c>
      <c r="M83" s="4">
        <f>RawTable[[#This Row],[Gross_Amount]]</f>
        <v>7380.8</v>
      </c>
      <c r="N83" s="4">
        <f>RawTable[[#This Row],[Exchange_Rate]]</f>
        <v>0.77017999999999998</v>
      </c>
      <c r="O83" s="4">
        <f>RawTable[[#This Row],[Amount_CHF]]</f>
        <v>5684.54</v>
      </c>
      <c r="P8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8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83" s="11" t="str">
        <f>IF(ValidationTable[[#This Row],[Currency]]="","Fail","Pass")</f>
        <v>Pass</v>
      </c>
      <c r="S83" s="11" t="str">
        <f>IF(
ValidationTable[[#This Row],[Currency]]="CHF",
IF(ValidationTable[[#This Row],[Exchange_Rate]]&lt;&gt;1,"Fail","Pass"),
IF(ValidationTable[[#This Row],[Exchange_Rate]]&lt;=0,"Fail","Pass")
)</f>
        <v>Pass</v>
      </c>
      <c r="T8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83" s="11" t="str">
        <f>IF(LEN(TRIM(ValidationTable[[#This Row],[Bank_Account]]))=0,"Fail","Pass")</f>
        <v>Pass</v>
      </c>
      <c r="V83" s="11" t="str">
        <f>IF(
COUNTIF(ValidationTable[Record_ID],ValidationTable[[#This Row],[Record_ID]])&gt;1,
"Fail",
"Pass"
)</f>
        <v>Pass</v>
      </c>
      <c r="W83" s="11" t="str">
        <f>IF(
COUNTIF(ValidationTable[[#This Row],[RequiredField_Validation]]:ValidationTable[[#This Row],[Duplicate_Validation]],"Fail")&gt;0,
"Fail",
"Pass"
)</f>
        <v>Pass</v>
      </c>
      <c r="X83" s="11" t="str">
        <f>IF(ValidationTable[[#This Row],[Validation_Result]]="Pass","Yes","No")</f>
        <v>Yes</v>
      </c>
    </row>
    <row r="84" spans="1:24">
      <c r="A84" s="11">
        <f>RawTable[[#This Row],[Record_ID]]</f>
        <v>83</v>
      </c>
      <c r="B84" s="11" t="str">
        <f>RawTable[[#This Row],[Payment_Type]]</f>
        <v>Payroll</v>
      </c>
      <c r="C84" s="11" t="str">
        <f>RawTable[[#This Row],[Entity_Type]]</f>
        <v>Employee</v>
      </c>
      <c r="D84" s="11" t="str">
        <f>RawTable[[#This Row],[Country]]</f>
        <v>UAE</v>
      </c>
      <c r="E84" s="11" t="str">
        <f>RawTable[[#This Row],[Name]]</f>
        <v>Lina Schmidt</v>
      </c>
      <c r="F84" s="11" t="str">
        <f>RawTable[[#This Row],[Bank_Account]]</f>
        <v>JO-IBAN-00234555</v>
      </c>
      <c r="G84" s="11" t="str">
        <f>RawTable[[#This Row],[Month]]</f>
        <v>Jan-2026</v>
      </c>
      <c r="H84" s="11" t="str">
        <f>RawTable[[#This Row],[Currency]]</f>
        <v>AED</v>
      </c>
      <c r="I84" s="4">
        <f>RawTable[[#This Row],[Net_Amount]]</f>
        <v>23942.6</v>
      </c>
      <c r="J84" s="2" t="str">
        <f>RawTable[[#This Row],[VAT_Applicable]]</f>
        <v>No</v>
      </c>
      <c r="K84" s="4">
        <f>RawTable[[#This Row],[VAT_Rate]]</f>
        <v>0</v>
      </c>
      <c r="L84" s="4">
        <f>RawTable[[#This Row],[VAT_Amount]]</f>
        <v>0</v>
      </c>
      <c r="M84" s="4">
        <f>RawTable[[#This Row],[Gross_Amount]]</f>
        <v>23942.6</v>
      </c>
      <c r="N84" s="4">
        <f>RawTable[[#This Row],[Exchange_Rate]]</f>
        <v>0.21065</v>
      </c>
      <c r="O84" s="4">
        <f>RawTable[[#This Row],[Amount_CHF]]</f>
        <v>5043.51</v>
      </c>
      <c r="P8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8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84" s="11" t="str">
        <f>IF(ValidationTable[[#This Row],[Currency]]="","Fail","Pass")</f>
        <v>Pass</v>
      </c>
      <c r="S84" s="11" t="str">
        <f>IF(
ValidationTable[[#This Row],[Currency]]="CHF",
IF(ValidationTable[[#This Row],[Exchange_Rate]]&lt;&gt;1,"Fail","Pass"),
IF(ValidationTable[[#This Row],[Exchange_Rate]]&lt;=0,"Fail","Pass")
)</f>
        <v>Pass</v>
      </c>
      <c r="T8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84" s="11" t="str">
        <f>IF(LEN(TRIM(ValidationTable[[#This Row],[Bank_Account]]))=0,"Fail","Pass")</f>
        <v>Pass</v>
      </c>
      <c r="V84" s="11" t="str">
        <f>IF(
COUNTIF(ValidationTable[Record_ID],ValidationTable[[#This Row],[Record_ID]])&gt;1,
"Fail",
"Pass"
)</f>
        <v>Pass</v>
      </c>
      <c r="W84" s="11" t="str">
        <f>IF(
COUNTIF(ValidationTable[[#This Row],[RequiredField_Validation]]:ValidationTable[[#This Row],[Duplicate_Validation]],"Fail")&gt;0,
"Fail",
"Pass"
)</f>
        <v>Pass</v>
      </c>
      <c r="X84" s="11" t="str">
        <f>IF(ValidationTable[[#This Row],[Validation_Result]]="Pass","Yes","No")</f>
        <v>Yes</v>
      </c>
    </row>
    <row r="85" spans="1:24">
      <c r="A85" s="11">
        <f>RawTable[[#This Row],[Record_ID]]</f>
        <v>84</v>
      </c>
      <c r="B85" s="11" t="str">
        <f>RawTable[[#This Row],[Payment_Type]]</f>
        <v>Payroll</v>
      </c>
      <c r="C85" s="11" t="str">
        <f>RawTable[[#This Row],[Entity_Type]]</f>
        <v>Employee</v>
      </c>
      <c r="D85" s="11" t="str">
        <f>RawTable[[#This Row],[Country]]</f>
        <v>Germany</v>
      </c>
      <c r="E85" s="11" t="str">
        <f>RawTable[[#This Row],[Name]]</f>
        <v>Julia Smith</v>
      </c>
      <c r="F85" s="11" t="str">
        <f>RawTable[[#This Row],[Bank_Account]]</f>
        <v>CH930000000000320840</v>
      </c>
      <c r="G85" s="11" t="str">
        <f>RawTable[[#This Row],[Month]]</f>
        <v>Feb-2026</v>
      </c>
      <c r="H85" s="11" t="str">
        <f>RawTable[[#This Row],[Currency]]</f>
        <v>EUR</v>
      </c>
      <c r="I85" s="4">
        <f>RawTable[[#This Row],[Net_Amount]]</f>
        <v>5875.2</v>
      </c>
      <c r="J85" s="2" t="str">
        <f>RawTable[[#This Row],[VAT_Applicable]]</f>
        <v>No</v>
      </c>
      <c r="K85" s="4">
        <f>RawTable[[#This Row],[VAT_Rate]]</f>
        <v>0</v>
      </c>
      <c r="L85" s="4">
        <f>RawTable[[#This Row],[VAT_Amount]]</f>
        <v>0</v>
      </c>
      <c r="M85" s="4">
        <f>RawTable[[#This Row],[Gross_Amount]]</f>
        <v>5875.2</v>
      </c>
      <c r="N85" s="4">
        <f>RawTable[[#This Row],[Exchange_Rate]]</f>
        <v>0.90888000000000002</v>
      </c>
      <c r="O85" s="4">
        <f>RawTable[[#This Row],[Amount_CHF]]</f>
        <v>5339.85</v>
      </c>
      <c r="P8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8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85" s="11" t="str">
        <f>IF(ValidationTable[[#This Row],[Currency]]="","Fail","Pass")</f>
        <v>Pass</v>
      </c>
      <c r="S85" s="11" t="str">
        <f>IF(
ValidationTable[[#This Row],[Currency]]="CHF",
IF(ValidationTable[[#This Row],[Exchange_Rate]]&lt;&gt;1,"Fail","Pass"),
IF(ValidationTable[[#This Row],[Exchange_Rate]]&lt;=0,"Fail","Pass")
)</f>
        <v>Pass</v>
      </c>
      <c r="T8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85" s="11" t="str">
        <f>IF(LEN(TRIM(ValidationTable[[#This Row],[Bank_Account]]))=0,"Fail","Pass")</f>
        <v>Pass</v>
      </c>
      <c r="V85" s="11" t="str">
        <f>IF(
COUNTIF(ValidationTable[Record_ID],ValidationTable[[#This Row],[Record_ID]])&gt;1,
"Fail",
"Pass"
)</f>
        <v>Pass</v>
      </c>
      <c r="W85" s="11" t="str">
        <f>IF(
COUNTIF(ValidationTable[[#This Row],[RequiredField_Validation]]:ValidationTable[[#This Row],[Duplicate_Validation]],"Fail")&gt;0,
"Fail",
"Pass"
)</f>
        <v>Pass</v>
      </c>
      <c r="X85" s="11" t="str">
        <f>IF(ValidationTable[[#This Row],[Validation_Result]]="Pass","Yes","No")</f>
        <v>Yes</v>
      </c>
    </row>
    <row r="86" spans="1:24">
      <c r="A86" s="11">
        <f>RawTable[[#This Row],[Record_ID]]</f>
        <v>85</v>
      </c>
      <c r="B86" s="11" t="str">
        <f>RawTable[[#This Row],[Payment_Type]]</f>
        <v>Payroll</v>
      </c>
      <c r="C86" s="11" t="str">
        <f>RawTable[[#This Row],[Entity_Type]]</f>
        <v>Employee</v>
      </c>
      <c r="D86" s="11" t="str">
        <f>RawTable[[#This Row],[Country]]</f>
        <v>Switzerland</v>
      </c>
      <c r="E86" s="11" t="str">
        <f>RawTable[[#This Row],[Name]]</f>
        <v>Sara Ali</v>
      </c>
      <c r="F86" s="11" t="str">
        <f>RawTable[[#This Row],[Bank_Account]]</f>
        <v>JO-IBAN-00617250</v>
      </c>
      <c r="G86" s="11" t="str">
        <f>RawTable[[#This Row],[Month]]</f>
        <v>Jan-2026</v>
      </c>
      <c r="H86" s="11" t="str">
        <f>RawTable[[#This Row],[Currency]]</f>
        <v>CHF</v>
      </c>
      <c r="I86" s="4">
        <f>RawTable[[#This Row],[Net_Amount]]</f>
        <v>6099.6</v>
      </c>
      <c r="J86" s="2" t="str">
        <f>RawTable[[#This Row],[VAT_Applicable]]</f>
        <v>No</v>
      </c>
      <c r="K86" s="4">
        <f>RawTable[[#This Row],[VAT_Rate]]</f>
        <v>0</v>
      </c>
      <c r="L86" s="4">
        <f>RawTable[[#This Row],[VAT_Amount]]</f>
        <v>0</v>
      </c>
      <c r="M86" s="4">
        <f>RawTable[[#This Row],[Gross_Amount]]</f>
        <v>6099.6</v>
      </c>
      <c r="N86" s="4">
        <f>RawTable[[#This Row],[Exchange_Rate]]</f>
        <v>1</v>
      </c>
      <c r="O86" s="4">
        <f>RawTable[[#This Row],[Amount_CHF]]</f>
        <v>6099.6</v>
      </c>
      <c r="P8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8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86" s="11" t="str">
        <f>IF(ValidationTable[[#This Row],[Currency]]="","Fail","Pass")</f>
        <v>Pass</v>
      </c>
      <c r="S86" s="11" t="str">
        <f>IF(
ValidationTable[[#This Row],[Currency]]="CHF",
IF(ValidationTable[[#This Row],[Exchange_Rate]]&lt;&gt;1,"Fail","Pass"),
IF(ValidationTable[[#This Row],[Exchange_Rate]]&lt;=0,"Fail","Pass")
)</f>
        <v>Pass</v>
      </c>
      <c r="T8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86" s="11" t="str">
        <f>IF(LEN(TRIM(ValidationTable[[#This Row],[Bank_Account]]))=0,"Fail","Pass")</f>
        <v>Pass</v>
      </c>
      <c r="V86" s="11" t="str">
        <f>IF(
COUNTIF(ValidationTable[Record_ID],ValidationTable[[#This Row],[Record_ID]])&gt;1,
"Fail",
"Pass"
)</f>
        <v>Pass</v>
      </c>
      <c r="W86" s="11" t="str">
        <f>IF(
COUNTIF(ValidationTable[[#This Row],[RequiredField_Validation]]:ValidationTable[[#This Row],[Duplicate_Validation]],"Fail")&gt;0,
"Fail",
"Pass"
)</f>
        <v>Pass</v>
      </c>
      <c r="X86" s="11" t="str">
        <f>IF(ValidationTable[[#This Row],[Validation_Result]]="Pass","Yes","No")</f>
        <v>Yes</v>
      </c>
    </row>
    <row r="87" spans="1:24">
      <c r="A87" s="11">
        <f>RawTable[[#This Row],[Record_ID]]</f>
        <v>86</v>
      </c>
      <c r="B87" s="11" t="str">
        <f>RawTable[[#This Row],[Payment_Type]]</f>
        <v>Payroll</v>
      </c>
      <c r="C87" s="11" t="str">
        <f>RawTable[[#This Row],[Entity_Type]]</f>
        <v>Employee</v>
      </c>
      <c r="D87" s="11" t="str">
        <f>RawTable[[#This Row],[Country]]</f>
        <v>UAE</v>
      </c>
      <c r="E87" s="11" t="str">
        <f>RawTable[[#This Row],[Name]]</f>
        <v>Laura Brown</v>
      </c>
      <c r="F87" s="11" t="str">
        <f>RawTable[[#This Row],[Bank_Account]]</f>
        <v>DE890000000000339475</v>
      </c>
      <c r="G87" s="11" t="str">
        <f>RawTable[[#This Row],[Month]]</f>
        <v>Jan-2026</v>
      </c>
      <c r="H87" s="11" t="str">
        <f>RawTable[[#This Row],[Currency]]</f>
        <v>AED</v>
      </c>
      <c r="I87" s="4">
        <f>RawTable[[#This Row],[Net_Amount]]</f>
        <v>22068.2</v>
      </c>
      <c r="J87" s="2" t="str">
        <f>RawTable[[#This Row],[VAT_Applicable]]</f>
        <v>No</v>
      </c>
      <c r="K87" s="4">
        <f>RawTable[[#This Row],[VAT_Rate]]</f>
        <v>0</v>
      </c>
      <c r="L87" s="4">
        <f>RawTable[[#This Row],[VAT_Amount]]</f>
        <v>0</v>
      </c>
      <c r="M87" s="4">
        <f>RawTable[[#This Row],[Gross_Amount]]</f>
        <v>22068.2</v>
      </c>
      <c r="N87" s="4">
        <f>RawTable[[#This Row],[Exchange_Rate]]</f>
        <v>0.21065</v>
      </c>
      <c r="O87" s="4">
        <f>RawTable[[#This Row],[Amount_CHF]]</f>
        <v>4648.67</v>
      </c>
      <c r="P8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8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87" s="11" t="str">
        <f>IF(ValidationTable[[#This Row],[Currency]]="","Fail","Pass")</f>
        <v>Pass</v>
      </c>
      <c r="S87" s="11" t="str">
        <f>IF(
ValidationTable[[#This Row],[Currency]]="CHF",
IF(ValidationTable[[#This Row],[Exchange_Rate]]&lt;&gt;1,"Fail","Pass"),
IF(ValidationTable[[#This Row],[Exchange_Rate]]&lt;=0,"Fail","Pass")
)</f>
        <v>Pass</v>
      </c>
      <c r="T8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87" s="11" t="str">
        <f>IF(LEN(TRIM(ValidationTable[[#This Row],[Bank_Account]]))=0,"Fail","Pass")</f>
        <v>Pass</v>
      </c>
      <c r="V87" s="11" t="str">
        <f>IF(
COUNTIF(ValidationTable[Record_ID],ValidationTable[[#This Row],[Record_ID]])&gt;1,
"Fail",
"Pass"
)</f>
        <v>Pass</v>
      </c>
      <c r="W87" s="11" t="str">
        <f>IF(
COUNTIF(ValidationTable[[#This Row],[RequiredField_Validation]]:ValidationTable[[#This Row],[Duplicate_Validation]],"Fail")&gt;0,
"Fail",
"Pass"
)</f>
        <v>Pass</v>
      </c>
      <c r="X87" s="11" t="str">
        <f>IF(ValidationTable[[#This Row],[Validation_Result]]="Pass","Yes","No")</f>
        <v>Yes</v>
      </c>
    </row>
    <row r="88" spans="1:24">
      <c r="A88" s="11">
        <f>RawTable[[#This Row],[Record_ID]]</f>
        <v>87</v>
      </c>
      <c r="B88" s="11" t="str">
        <f>RawTable[[#This Row],[Payment_Type]]</f>
        <v>Payroll</v>
      </c>
      <c r="C88" s="11" t="str">
        <f>RawTable[[#This Row],[Entity_Type]]</f>
        <v>Employee</v>
      </c>
      <c r="D88" s="11" t="str">
        <f>RawTable[[#This Row],[Country]]</f>
        <v>Germany</v>
      </c>
      <c r="E88" s="11" t="str">
        <f>RawTable[[#This Row],[Name]]</f>
        <v>John Johnson</v>
      </c>
      <c r="F88" s="11" t="str">
        <f>RawTable[[#This Row],[Bank_Account]]</f>
        <v>DE890000000000746845</v>
      </c>
      <c r="G88" s="11" t="str">
        <f>RawTable[[#This Row],[Month]]</f>
        <v>Jan-2026</v>
      </c>
      <c r="H88" s="11" t="str">
        <f>RawTable[[#This Row],[Currency]]</f>
        <v>EUR</v>
      </c>
      <c r="I88" s="4">
        <f>RawTable[[#This Row],[Net_Amount]]</f>
        <v>5938.2</v>
      </c>
      <c r="J88" s="2" t="str">
        <f>RawTable[[#This Row],[VAT_Applicable]]</f>
        <v>No</v>
      </c>
      <c r="K88" s="4">
        <f>RawTable[[#This Row],[VAT_Rate]]</f>
        <v>0</v>
      </c>
      <c r="L88" s="4">
        <f>RawTable[[#This Row],[VAT_Amount]]</f>
        <v>0</v>
      </c>
      <c r="M88" s="4">
        <f>RawTable[[#This Row],[Gross_Amount]]</f>
        <v>5938.2</v>
      </c>
      <c r="N88" s="4">
        <f>RawTable[[#This Row],[Exchange_Rate]]</f>
        <v>0.90888000000000002</v>
      </c>
      <c r="O88" s="4">
        <f>RawTable[[#This Row],[Amount_CHF]]</f>
        <v>5397.11</v>
      </c>
      <c r="P8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8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88" s="11" t="str">
        <f>IF(ValidationTable[[#This Row],[Currency]]="","Fail","Pass")</f>
        <v>Pass</v>
      </c>
      <c r="S88" s="11" t="str">
        <f>IF(
ValidationTable[[#This Row],[Currency]]="CHF",
IF(ValidationTable[[#This Row],[Exchange_Rate]]&lt;&gt;1,"Fail","Pass"),
IF(ValidationTable[[#This Row],[Exchange_Rate]]&lt;=0,"Fail","Pass")
)</f>
        <v>Pass</v>
      </c>
      <c r="T8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88" s="11" t="str">
        <f>IF(LEN(TRIM(ValidationTable[[#This Row],[Bank_Account]]))=0,"Fail","Pass")</f>
        <v>Pass</v>
      </c>
      <c r="V88" s="11" t="str">
        <f>IF(
COUNTIF(ValidationTable[Record_ID],ValidationTable[[#This Row],[Record_ID]])&gt;1,
"Fail",
"Pass"
)</f>
        <v>Pass</v>
      </c>
      <c r="W88" s="11" t="str">
        <f>IF(
COUNTIF(ValidationTable[[#This Row],[RequiredField_Validation]]:ValidationTable[[#This Row],[Duplicate_Validation]],"Fail")&gt;0,
"Fail",
"Pass"
)</f>
        <v>Pass</v>
      </c>
      <c r="X88" s="11" t="str">
        <f>IF(ValidationTable[[#This Row],[Validation_Result]]="Pass","Yes","No")</f>
        <v>Yes</v>
      </c>
    </row>
    <row r="89" spans="1:24">
      <c r="A89" s="11">
        <f>RawTable[[#This Row],[Record_ID]]</f>
        <v>88</v>
      </c>
      <c r="B89" s="11" t="str">
        <f>RawTable[[#This Row],[Payment_Type]]</f>
        <v>Payroll</v>
      </c>
      <c r="C89" s="11" t="str">
        <f>RawTable[[#This Row],[Entity_Type]]</f>
        <v>Employee</v>
      </c>
      <c r="D89" s="11" t="str">
        <f>RawTable[[#This Row],[Country]]</f>
        <v>Switzerland</v>
      </c>
      <c r="E89" s="11" t="str">
        <f>RawTable[[#This Row],[Name]]</f>
        <v>David Ali</v>
      </c>
      <c r="F89" s="11" t="str">
        <f>RawTable[[#This Row],[Bank_Account]]</f>
        <v>US-RT-000041956-AC-0000193052</v>
      </c>
      <c r="G89" s="11" t="str">
        <f>RawTable[[#This Row],[Month]]</f>
        <v>Mar-2026</v>
      </c>
      <c r="H89" s="11" t="str">
        <f>RawTable[[#This Row],[Currency]]</f>
        <v>CHF</v>
      </c>
      <c r="I89" s="4">
        <f>RawTable[[#This Row],[Net_Amount]]</f>
        <v>6839.95</v>
      </c>
      <c r="J89" s="2" t="str">
        <f>RawTable[[#This Row],[VAT_Applicable]]</f>
        <v>No</v>
      </c>
      <c r="K89" s="4">
        <f>RawTable[[#This Row],[VAT_Rate]]</f>
        <v>0</v>
      </c>
      <c r="L89" s="4">
        <f>RawTable[[#This Row],[VAT_Amount]]</f>
        <v>0</v>
      </c>
      <c r="M89" s="4">
        <f>RawTable[[#This Row],[Gross_Amount]]</f>
        <v>6839.95</v>
      </c>
      <c r="N89" s="4">
        <f>RawTable[[#This Row],[Exchange_Rate]]</f>
        <v>1</v>
      </c>
      <c r="O89" s="4">
        <f>RawTable[[#This Row],[Amount_CHF]]</f>
        <v>6839.95</v>
      </c>
      <c r="P8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8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89" s="11" t="str">
        <f>IF(ValidationTable[[#This Row],[Currency]]="","Fail","Pass")</f>
        <v>Pass</v>
      </c>
      <c r="S89" s="11" t="str">
        <f>IF(
ValidationTable[[#This Row],[Currency]]="CHF",
IF(ValidationTable[[#This Row],[Exchange_Rate]]&lt;&gt;1,"Fail","Pass"),
IF(ValidationTable[[#This Row],[Exchange_Rate]]&lt;=0,"Fail","Pass")
)</f>
        <v>Pass</v>
      </c>
      <c r="T8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89" s="11" t="str">
        <f>IF(LEN(TRIM(ValidationTable[[#This Row],[Bank_Account]]))=0,"Fail","Pass")</f>
        <v>Pass</v>
      </c>
      <c r="V89" s="11" t="str">
        <f>IF(
COUNTIF(ValidationTable[Record_ID],ValidationTable[[#This Row],[Record_ID]])&gt;1,
"Fail",
"Pass"
)</f>
        <v>Pass</v>
      </c>
      <c r="W89" s="11" t="str">
        <f>IF(
COUNTIF(ValidationTable[[#This Row],[RequiredField_Validation]]:ValidationTable[[#This Row],[Duplicate_Validation]],"Fail")&gt;0,
"Fail",
"Pass"
)</f>
        <v>Pass</v>
      </c>
      <c r="X89" s="11" t="str">
        <f>IF(ValidationTable[[#This Row],[Validation_Result]]="Pass","Yes","No")</f>
        <v>Yes</v>
      </c>
    </row>
    <row r="90" spans="1:24" hidden="1">
      <c r="A90" s="11">
        <f>RawTable[[#This Row],[Record_ID]]</f>
        <v>89</v>
      </c>
      <c r="B90" s="11" t="str">
        <f>RawTable[[#This Row],[Payment_Type]]</f>
        <v>Payroll</v>
      </c>
      <c r="C90" s="11" t="str">
        <f>RawTable[[#This Row],[Entity_Type]]</f>
        <v>Employee</v>
      </c>
      <c r="D90" s="11" t="str">
        <f>RawTable[[#This Row],[Country]]</f>
        <v>USA</v>
      </c>
      <c r="E90" s="11" t="str">
        <f>RawTable[[#This Row],[Name]]</f>
        <v>Laura Wilson</v>
      </c>
      <c r="F90" s="11" t="str">
        <f>RawTable[[#This Row],[Bank_Account]]</f>
        <v>CH930000000001159960</v>
      </c>
      <c r="G90" s="11" t="str">
        <f>RawTable[[#This Row],[Month]]</f>
        <v>Jan-2026</v>
      </c>
      <c r="H90" s="11" t="str">
        <f>RawTable[[#This Row],[Currency]]</f>
        <v>USD</v>
      </c>
      <c r="I90" s="4">
        <f>RawTable[[#This Row],[Net_Amount]]</f>
        <v>0</v>
      </c>
      <c r="J90" s="2" t="str">
        <f>RawTable[[#This Row],[VAT_Applicable]]</f>
        <v>No</v>
      </c>
      <c r="K90" s="4">
        <f>RawTable[[#This Row],[VAT_Rate]]</f>
        <v>0</v>
      </c>
      <c r="L90" s="4">
        <f>RawTable[[#This Row],[VAT_Amount]]</f>
        <v>0</v>
      </c>
      <c r="M90" s="4">
        <f>RawTable[[#This Row],[Gross_Amount]]</f>
        <v>0</v>
      </c>
      <c r="N90" s="4">
        <f>RawTable[[#This Row],[Exchange_Rate]]</f>
        <v>0.77017999999999998</v>
      </c>
      <c r="O90" s="4">
        <f>RawTable[[#This Row],[Amount_CHF]]</f>
        <v>0</v>
      </c>
      <c r="P9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90" s="11" t="str">
        <f>IF(
OR(ValidationTable[[#This Row],[Net_Amount]]&lt;=0,
ROUND(ValidationTable[[#This Row],[Net_Amount]]+ValidationTable[[#This Row],[VAT_Amount]],2)&lt;&gt;ROUND(ValidationTable[[#This Row],[Gross_Amount]],2)
),
"Fail",
"Pass"
)</f>
        <v>Fail</v>
      </c>
      <c r="R90" s="11" t="str">
        <f>IF(ValidationTable[[#This Row],[Currency]]="","Fail","Pass")</f>
        <v>Pass</v>
      </c>
      <c r="S90" s="11" t="str">
        <f>IF(
ValidationTable[[#This Row],[Currency]]="CHF",
IF(ValidationTable[[#This Row],[Exchange_Rate]]&lt;&gt;1,"Fail","Pass"),
IF(ValidationTable[[#This Row],[Exchange_Rate]]&lt;=0,"Fail","Pass")
)</f>
        <v>Pass</v>
      </c>
      <c r="T9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90" s="11" t="str">
        <f>IF(LEN(TRIM(ValidationTable[[#This Row],[Bank_Account]]))=0,"Fail","Pass")</f>
        <v>Pass</v>
      </c>
      <c r="V90" s="11" t="str">
        <f>IF(
COUNTIF(ValidationTable[Record_ID],ValidationTable[[#This Row],[Record_ID]])&gt;1,
"Fail",
"Pass"
)</f>
        <v>Pass</v>
      </c>
      <c r="W90" s="11" t="str">
        <f>IF(
COUNTIF(ValidationTable[[#This Row],[RequiredField_Validation]]:ValidationTable[[#This Row],[Duplicate_Validation]],"Fail")&gt;0,
"Fail",
"Pass"
)</f>
        <v>Fail</v>
      </c>
      <c r="X90" s="11" t="str">
        <f>IF(ValidationTable[[#This Row],[Validation_Result]]="Pass","Yes","No")</f>
        <v>No</v>
      </c>
    </row>
    <row r="91" spans="1:24">
      <c r="A91" s="11">
        <f>RawTable[[#This Row],[Record_ID]]</f>
        <v>90</v>
      </c>
      <c r="B91" s="11" t="str">
        <f>RawTable[[#This Row],[Payment_Type]]</f>
        <v>Payroll</v>
      </c>
      <c r="C91" s="11" t="str">
        <f>RawTable[[#This Row],[Entity_Type]]</f>
        <v>Employee</v>
      </c>
      <c r="D91" s="11" t="str">
        <f>RawTable[[#This Row],[Country]]</f>
        <v>UAE</v>
      </c>
      <c r="E91" s="11" t="str">
        <f>RawTable[[#This Row],[Name]]</f>
        <v>Sara Schmidt</v>
      </c>
      <c r="F91" s="11" t="str">
        <f>RawTable[[#This Row],[Bank_Account]]</f>
        <v>US-RT-000065402-AC-0000300934</v>
      </c>
      <c r="G91" s="11" t="str">
        <f>RawTable[[#This Row],[Month]]</f>
        <v>Feb-2026</v>
      </c>
      <c r="H91" s="11" t="str">
        <f>RawTable[[#This Row],[Currency]]</f>
        <v>AED</v>
      </c>
      <c r="I91" s="4">
        <f>RawTable[[#This Row],[Net_Amount]]</f>
        <v>22904.2</v>
      </c>
      <c r="J91" s="2" t="str">
        <f>RawTable[[#This Row],[VAT_Applicable]]</f>
        <v>No</v>
      </c>
      <c r="K91" s="4">
        <f>RawTable[[#This Row],[VAT_Rate]]</f>
        <v>0</v>
      </c>
      <c r="L91" s="4">
        <f>RawTable[[#This Row],[VAT_Amount]]</f>
        <v>0</v>
      </c>
      <c r="M91" s="4">
        <f>RawTable[[#This Row],[Gross_Amount]]</f>
        <v>22904.2</v>
      </c>
      <c r="N91" s="4">
        <f>RawTable[[#This Row],[Exchange_Rate]]</f>
        <v>0.21065</v>
      </c>
      <c r="O91" s="4">
        <f>RawTable[[#This Row],[Amount_CHF]]</f>
        <v>4824.7700000000004</v>
      </c>
      <c r="P9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9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91" s="11" t="str">
        <f>IF(ValidationTable[[#This Row],[Currency]]="","Fail","Pass")</f>
        <v>Pass</v>
      </c>
      <c r="S91" s="11" t="str">
        <f>IF(
ValidationTable[[#This Row],[Currency]]="CHF",
IF(ValidationTable[[#This Row],[Exchange_Rate]]&lt;&gt;1,"Fail","Pass"),
IF(ValidationTable[[#This Row],[Exchange_Rate]]&lt;=0,"Fail","Pass")
)</f>
        <v>Pass</v>
      </c>
      <c r="T9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91" s="11" t="str">
        <f>IF(LEN(TRIM(ValidationTable[[#This Row],[Bank_Account]]))=0,"Fail","Pass")</f>
        <v>Pass</v>
      </c>
      <c r="V91" s="11" t="str">
        <f>IF(
COUNTIF(ValidationTable[Record_ID],ValidationTable[[#This Row],[Record_ID]])&gt;1,
"Fail",
"Pass"
)</f>
        <v>Pass</v>
      </c>
      <c r="W91" s="11" t="str">
        <f>IF(
COUNTIF(ValidationTable[[#This Row],[RequiredField_Validation]]:ValidationTable[[#This Row],[Duplicate_Validation]],"Fail")&gt;0,
"Fail",
"Pass"
)</f>
        <v>Pass</v>
      </c>
      <c r="X91" s="11" t="str">
        <f>IF(ValidationTable[[#This Row],[Validation_Result]]="Pass","Yes","No")</f>
        <v>Yes</v>
      </c>
    </row>
    <row r="92" spans="1:24">
      <c r="A92" s="11">
        <f>RawTable[[#This Row],[Record_ID]]</f>
        <v>91</v>
      </c>
      <c r="B92" s="11" t="str">
        <f>RawTable[[#This Row],[Payment_Type]]</f>
        <v>Payroll</v>
      </c>
      <c r="C92" s="11" t="str">
        <f>RawTable[[#This Row],[Entity_Type]]</f>
        <v>Employee</v>
      </c>
      <c r="D92" s="11" t="str">
        <f>RawTable[[#This Row],[Country]]</f>
        <v>Switzerland</v>
      </c>
      <c r="E92" s="11" t="str">
        <f>RawTable[[#This Row],[Name]]</f>
        <v>Laura Khan</v>
      </c>
      <c r="F92" s="11" t="str">
        <f>RawTable[[#This Row],[Bank_Account]]</f>
        <v>US-RT-000066636-AC-0000306612</v>
      </c>
      <c r="G92" s="11" t="str">
        <f>RawTable[[#This Row],[Month]]</f>
        <v>Mar-2026</v>
      </c>
      <c r="H92" s="11" t="str">
        <f>RawTable[[#This Row],[Currency]]</f>
        <v>CHF</v>
      </c>
      <c r="I92" s="4">
        <f>RawTable[[#This Row],[Net_Amount]]</f>
        <v>6853.6</v>
      </c>
      <c r="J92" s="2" t="str">
        <f>RawTable[[#This Row],[VAT_Applicable]]</f>
        <v>No</v>
      </c>
      <c r="K92" s="4">
        <f>RawTable[[#This Row],[VAT_Rate]]</f>
        <v>0</v>
      </c>
      <c r="L92" s="4">
        <f>RawTable[[#This Row],[VAT_Amount]]</f>
        <v>0</v>
      </c>
      <c r="M92" s="4">
        <f>RawTable[[#This Row],[Gross_Amount]]</f>
        <v>6853.6</v>
      </c>
      <c r="N92" s="4">
        <f>RawTable[[#This Row],[Exchange_Rate]]</f>
        <v>1</v>
      </c>
      <c r="O92" s="4">
        <f>RawTable[[#This Row],[Amount_CHF]]</f>
        <v>6853.6</v>
      </c>
      <c r="P9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9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92" s="11" t="str">
        <f>IF(ValidationTable[[#This Row],[Currency]]="","Fail","Pass")</f>
        <v>Pass</v>
      </c>
      <c r="S92" s="11" t="str">
        <f>IF(
ValidationTable[[#This Row],[Currency]]="CHF",
IF(ValidationTable[[#This Row],[Exchange_Rate]]&lt;&gt;1,"Fail","Pass"),
IF(ValidationTable[[#This Row],[Exchange_Rate]]&lt;=0,"Fail","Pass")
)</f>
        <v>Pass</v>
      </c>
      <c r="T9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92" s="11" t="str">
        <f>IF(LEN(TRIM(ValidationTable[[#This Row],[Bank_Account]]))=0,"Fail","Pass")</f>
        <v>Pass</v>
      </c>
      <c r="V92" s="11" t="str">
        <f>IF(
COUNTIF(ValidationTable[Record_ID],ValidationTable[[#This Row],[Record_ID]])&gt;1,
"Fail",
"Pass"
)</f>
        <v>Pass</v>
      </c>
      <c r="W92" s="11" t="str">
        <f>IF(
COUNTIF(ValidationTable[[#This Row],[RequiredField_Validation]]:ValidationTable[[#This Row],[Duplicate_Validation]],"Fail")&gt;0,
"Fail",
"Pass"
)</f>
        <v>Pass</v>
      </c>
      <c r="X92" s="11" t="str">
        <f>IF(ValidationTable[[#This Row],[Validation_Result]]="Pass","Yes","No")</f>
        <v>Yes</v>
      </c>
    </row>
    <row r="93" spans="1:24">
      <c r="A93" s="11">
        <f>RawTable[[#This Row],[Record_ID]]</f>
        <v>92</v>
      </c>
      <c r="B93" s="11" t="str">
        <f>RawTable[[#This Row],[Payment_Type]]</f>
        <v>Payroll</v>
      </c>
      <c r="C93" s="11" t="str">
        <f>RawTable[[#This Row],[Entity_Type]]</f>
        <v>Employee</v>
      </c>
      <c r="D93" s="11" t="str">
        <f>RawTable[[#This Row],[Country]]</f>
        <v>Germany</v>
      </c>
      <c r="E93" s="11" t="str">
        <f>RawTable[[#This Row],[Name]]</f>
        <v>Michael Smith</v>
      </c>
      <c r="F93" s="11" t="str">
        <f>RawTable[[#This Row],[Bank_Account]]</f>
        <v>JO-IBAN-00382695</v>
      </c>
      <c r="G93" s="11" t="str">
        <f>RawTable[[#This Row],[Month]]</f>
        <v>Jan-2026</v>
      </c>
      <c r="H93" s="11" t="str">
        <f>RawTable[[#This Row],[Currency]]</f>
        <v>EUR</v>
      </c>
      <c r="I93" s="4">
        <f>RawTable[[#This Row],[Net_Amount]]</f>
        <v>5485.2</v>
      </c>
      <c r="J93" s="2" t="str">
        <f>RawTable[[#This Row],[VAT_Applicable]]</f>
        <v>No</v>
      </c>
      <c r="K93" s="4">
        <f>RawTable[[#This Row],[VAT_Rate]]</f>
        <v>0</v>
      </c>
      <c r="L93" s="4">
        <f>RawTable[[#This Row],[VAT_Amount]]</f>
        <v>0</v>
      </c>
      <c r="M93" s="4">
        <f>RawTable[[#This Row],[Gross_Amount]]</f>
        <v>5485.2</v>
      </c>
      <c r="N93" s="4">
        <f>RawTable[[#This Row],[Exchange_Rate]]</f>
        <v>0.90888000000000002</v>
      </c>
      <c r="O93" s="4">
        <f>RawTable[[#This Row],[Amount_CHF]]</f>
        <v>4985.3900000000003</v>
      </c>
      <c r="P9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9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93" s="11" t="str">
        <f>IF(ValidationTable[[#This Row],[Currency]]="","Fail","Pass")</f>
        <v>Pass</v>
      </c>
      <c r="S93" s="11" t="str">
        <f>IF(
ValidationTable[[#This Row],[Currency]]="CHF",
IF(ValidationTable[[#This Row],[Exchange_Rate]]&lt;&gt;1,"Fail","Pass"),
IF(ValidationTable[[#This Row],[Exchange_Rate]]&lt;=0,"Fail","Pass")
)</f>
        <v>Pass</v>
      </c>
      <c r="T9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93" s="11" t="str">
        <f>IF(LEN(TRIM(ValidationTable[[#This Row],[Bank_Account]]))=0,"Fail","Pass")</f>
        <v>Pass</v>
      </c>
      <c r="V93" s="11" t="str">
        <f>IF(
COUNTIF(ValidationTable[Record_ID],ValidationTable[[#This Row],[Record_ID]])&gt;1,
"Fail",
"Pass"
)</f>
        <v>Pass</v>
      </c>
      <c r="W93" s="11" t="str">
        <f>IF(
COUNTIF(ValidationTable[[#This Row],[RequiredField_Validation]]:ValidationTable[[#This Row],[Duplicate_Validation]],"Fail")&gt;0,
"Fail",
"Pass"
)</f>
        <v>Pass</v>
      </c>
      <c r="X93" s="11" t="str">
        <f>IF(ValidationTable[[#This Row],[Validation_Result]]="Pass","Yes","No")</f>
        <v>Yes</v>
      </c>
    </row>
    <row r="94" spans="1:24">
      <c r="A94" s="11">
        <f>RawTable[[#This Row],[Record_ID]]</f>
        <v>93</v>
      </c>
      <c r="B94" s="11" t="str">
        <f>RawTable[[#This Row],[Payment_Type]]</f>
        <v>Payroll</v>
      </c>
      <c r="C94" s="11" t="str">
        <f>RawTable[[#This Row],[Entity_Type]]</f>
        <v>Employee</v>
      </c>
      <c r="D94" s="11" t="str">
        <f>RawTable[[#This Row],[Country]]</f>
        <v>Jordan</v>
      </c>
      <c r="E94" s="11" t="str">
        <f>RawTable[[#This Row],[Name]]</f>
        <v>Anna Khan</v>
      </c>
      <c r="F94" s="11" t="str">
        <f>RawTable[[#This Row],[Bank_Account]]</f>
        <v>DE890000000000081474</v>
      </c>
      <c r="G94" s="11" t="str">
        <f>RawTable[[#This Row],[Month]]</f>
        <v>Feb-2026</v>
      </c>
      <c r="H94" s="11" t="str">
        <f>RawTable[[#This Row],[Currency]]</f>
        <v>JOD</v>
      </c>
      <c r="I94" s="4">
        <f>RawTable[[#This Row],[Net_Amount]]</f>
        <v>1636.56</v>
      </c>
      <c r="J94" s="2" t="str">
        <f>RawTable[[#This Row],[VAT_Applicable]]</f>
        <v>No</v>
      </c>
      <c r="K94" s="4">
        <f>RawTable[[#This Row],[VAT_Rate]]</f>
        <v>0</v>
      </c>
      <c r="L94" s="4">
        <f>RawTable[[#This Row],[VAT_Amount]]</f>
        <v>0</v>
      </c>
      <c r="M94" s="4">
        <f>RawTable[[#This Row],[Gross_Amount]]</f>
        <v>1636.56</v>
      </c>
      <c r="N94" s="4">
        <f>RawTable[[#This Row],[Exchange_Rate]]</f>
        <v>1.08643</v>
      </c>
      <c r="O94" s="4">
        <f>RawTable[[#This Row],[Amount_CHF]]</f>
        <v>1778.01</v>
      </c>
      <c r="P9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9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94" s="11" t="str">
        <f>IF(ValidationTable[[#This Row],[Currency]]="","Fail","Pass")</f>
        <v>Pass</v>
      </c>
      <c r="S94" s="11" t="str">
        <f>IF(
ValidationTable[[#This Row],[Currency]]="CHF",
IF(ValidationTable[[#This Row],[Exchange_Rate]]&lt;&gt;1,"Fail","Pass"),
IF(ValidationTable[[#This Row],[Exchange_Rate]]&lt;=0,"Fail","Pass")
)</f>
        <v>Pass</v>
      </c>
      <c r="T9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94" s="11" t="str">
        <f>IF(LEN(TRIM(ValidationTable[[#This Row],[Bank_Account]]))=0,"Fail","Pass")</f>
        <v>Pass</v>
      </c>
      <c r="V94" s="11" t="str">
        <f>IF(
COUNTIF(ValidationTable[Record_ID],ValidationTable[[#This Row],[Record_ID]])&gt;1,
"Fail",
"Pass"
)</f>
        <v>Pass</v>
      </c>
      <c r="W94" s="11" t="str">
        <f>IF(
COUNTIF(ValidationTable[[#This Row],[RequiredField_Validation]]:ValidationTable[[#This Row],[Duplicate_Validation]],"Fail")&gt;0,
"Fail",
"Pass"
)</f>
        <v>Pass</v>
      </c>
      <c r="X94" s="11" t="str">
        <f>IF(ValidationTable[[#This Row],[Validation_Result]]="Pass","Yes","No")</f>
        <v>Yes</v>
      </c>
    </row>
    <row r="95" spans="1:24">
      <c r="A95" s="11">
        <f>RawTable[[#This Row],[Record_ID]]</f>
        <v>94</v>
      </c>
      <c r="B95" s="11" t="str">
        <f>RawTable[[#This Row],[Payment_Type]]</f>
        <v>Payroll</v>
      </c>
      <c r="C95" s="11" t="str">
        <f>RawTable[[#This Row],[Entity_Type]]</f>
        <v>Employee</v>
      </c>
      <c r="D95" s="11" t="str">
        <f>RawTable[[#This Row],[Country]]</f>
        <v>UAE</v>
      </c>
      <c r="E95" s="11" t="str">
        <f>RawTable[[#This Row],[Name]]</f>
        <v>Anna Schmidt</v>
      </c>
      <c r="F95" s="11" t="str">
        <f>RawTable[[#This Row],[Bank_Account]]</f>
        <v>DE890000000000190106</v>
      </c>
      <c r="G95" s="11" t="str">
        <f>RawTable[[#This Row],[Month]]</f>
        <v>Jan-2026</v>
      </c>
      <c r="H95" s="11" t="str">
        <f>RawTable[[#This Row],[Currency]]</f>
        <v>AED</v>
      </c>
      <c r="I95" s="4">
        <f>RawTable[[#This Row],[Net_Amount]]</f>
        <v>22858</v>
      </c>
      <c r="J95" s="2" t="str">
        <f>RawTable[[#This Row],[VAT_Applicable]]</f>
        <v>No</v>
      </c>
      <c r="K95" s="4">
        <f>RawTable[[#This Row],[VAT_Rate]]</f>
        <v>0</v>
      </c>
      <c r="L95" s="4">
        <f>RawTable[[#This Row],[VAT_Amount]]</f>
        <v>0</v>
      </c>
      <c r="M95" s="4">
        <f>RawTable[[#This Row],[Gross_Amount]]</f>
        <v>22858</v>
      </c>
      <c r="N95" s="4">
        <f>RawTable[[#This Row],[Exchange_Rate]]</f>
        <v>0.21065</v>
      </c>
      <c r="O95" s="4">
        <f>RawTable[[#This Row],[Amount_CHF]]</f>
        <v>4815.04</v>
      </c>
      <c r="P9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9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95" s="11" t="str">
        <f>IF(ValidationTable[[#This Row],[Currency]]="","Fail","Pass")</f>
        <v>Pass</v>
      </c>
      <c r="S95" s="11" t="str">
        <f>IF(
ValidationTable[[#This Row],[Currency]]="CHF",
IF(ValidationTable[[#This Row],[Exchange_Rate]]&lt;&gt;1,"Fail","Pass"),
IF(ValidationTable[[#This Row],[Exchange_Rate]]&lt;=0,"Fail","Pass")
)</f>
        <v>Pass</v>
      </c>
      <c r="T9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95" s="11" t="str">
        <f>IF(LEN(TRIM(ValidationTable[[#This Row],[Bank_Account]]))=0,"Fail","Pass")</f>
        <v>Pass</v>
      </c>
      <c r="V95" s="11" t="str">
        <f>IF(
COUNTIF(ValidationTable[Record_ID],ValidationTable[[#This Row],[Record_ID]])&gt;1,
"Fail",
"Pass"
)</f>
        <v>Pass</v>
      </c>
      <c r="W95" s="11" t="str">
        <f>IF(
COUNTIF(ValidationTable[[#This Row],[RequiredField_Validation]]:ValidationTable[[#This Row],[Duplicate_Validation]],"Fail")&gt;0,
"Fail",
"Pass"
)</f>
        <v>Pass</v>
      </c>
      <c r="X95" s="11" t="str">
        <f>IF(ValidationTable[[#This Row],[Validation_Result]]="Pass","Yes","No")</f>
        <v>Yes</v>
      </c>
    </row>
    <row r="96" spans="1:24">
      <c r="A96" s="11">
        <f>RawTable[[#This Row],[Record_ID]]</f>
        <v>95</v>
      </c>
      <c r="B96" s="11" t="str">
        <f>RawTable[[#This Row],[Payment_Type]]</f>
        <v>Payroll</v>
      </c>
      <c r="C96" s="11" t="str">
        <f>RawTable[[#This Row],[Entity_Type]]</f>
        <v>Employee</v>
      </c>
      <c r="D96" s="11" t="str">
        <f>RawTable[[#This Row],[Country]]</f>
        <v>USA</v>
      </c>
      <c r="E96" s="11" t="str">
        <f>RawTable[[#This Row],[Name]]</f>
        <v>David Smith</v>
      </c>
      <c r="F96" s="11" t="str">
        <f>RawTable[[#This Row],[Bank_Account]]</f>
        <v>JO-IBAN-00148140</v>
      </c>
      <c r="G96" s="11" t="str">
        <f>RawTable[[#This Row],[Month]]</f>
        <v>Mar-2026</v>
      </c>
      <c r="H96" s="11" t="str">
        <f>RawTable[[#This Row],[Currency]]</f>
        <v>USD</v>
      </c>
      <c r="I96" s="4">
        <f>RawTable[[#This Row],[Net_Amount]]</f>
        <v>7667.8</v>
      </c>
      <c r="J96" s="2" t="str">
        <f>RawTable[[#This Row],[VAT_Applicable]]</f>
        <v>No</v>
      </c>
      <c r="K96" s="4">
        <f>RawTable[[#This Row],[VAT_Rate]]</f>
        <v>0</v>
      </c>
      <c r="L96" s="4">
        <f>RawTable[[#This Row],[VAT_Amount]]</f>
        <v>0</v>
      </c>
      <c r="M96" s="4">
        <f>RawTable[[#This Row],[Gross_Amount]]</f>
        <v>7667.8</v>
      </c>
      <c r="N96" s="4">
        <f>RawTable[[#This Row],[Exchange_Rate]]</f>
        <v>0.77017999999999998</v>
      </c>
      <c r="O96" s="4">
        <f>RawTable[[#This Row],[Amount_CHF]]</f>
        <v>5905.59</v>
      </c>
      <c r="P9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9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96" s="11" t="str">
        <f>IF(ValidationTable[[#This Row],[Currency]]="","Fail","Pass")</f>
        <v>Pass</v>
      </c>
      <c r="S96" s="11" t="str">
        <f>IF(
ValidationTable[[#This Row],[Currency]]="CHF",
IF(ValidationTable[[#This Row],[Exchange_Rate]]&lt;&gt;1,"Fail","Pass"),
IF(ValidationTable[[#This Row],[Exchange_Rate]]&lt;=0,"Fail","Pass")
)</f>
        <v>Pass</v>
      </c>
      <c r="T9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96" s="11" t="str">
        <f>IF(LEN(TRIM(ValidationTable[[#This Row],[Bank_Account]]))=0,"Fail","Pass")</f>
        <v>Pass</v>
      </c>
      <c r="V96" s="11" t="str">
        <f>IF(
COUNTIF(ValidationTable[Record_ID],ValidationTable[[#This Row],[Record_ID]])&gt;1,
"Fail",
"Pass"
)</f>
        <v>Pass</v>
      </c>
      <c r="W96" s="11" t="str">
        <f>IF(
COUNTIF(ValidationTable[[#This Row],[RequiredField_Validation]]:ValidationTable[[#This Row],[Duplicate_Validation]],"Fail")&gt;0,
"Fail",
"Pass"
)</f>
        <v>Pass</v>
      </c>
      <c r="X96" s="11" t="str">
        <f>IF(ValidationTable[[#This Row],[Validation_Result]]="Pass","Yes","No")</f>
        <v>Yes</v>
      </c>
    </row>
    <row r="97" spans="1:24">
      <c r="A97" s="11">
        <f>RawTable[[#This Row],[Record_ID]]</f>
        <v>96</v>
      </c>
      <c r="B97" s="11" t="str">
        <f>RawTable[[#This Row],[Payment_Type]]</f>
        <v>Payroll</v>
      </c>
      <c r="C97" s="11" t="str">
        <f>RawTable[[#This Row],[Entity_Type]]</f>
        <v>Employee</v>
      </c>
      <c r="D97" s="11" t="str">
        <f>RawTable[[#This Row],[Country]]</f>
        <v>Switzerland</v>
      </c>
      <c r="E97" s="11" t="str">
        <f>RawTable[[#This Row],[Name]]</f>
        <v>John Müller</v>
      </c>
      <c r="F97" s="11" t="str">
        <f>RawTable[[#This Row],[Bank_Account]]</f>
        <v>CH930000000001382080</v>
      </c>
      <c r="G97" s="11" t="str">
        <f>RawTable[[#This Row],[Month]]</f>
        <v>Jan-2026</v>
      </c>
      <c r="H97" s="11" t="str">
        <f>RawTable[[#This Row],[Currency]]</f>
        <v>CHF</v>
      </c>
      <c r="I97" s="4">
        <f>RawTable[[#This Row],[Net_Amount]]</f>
        <v>6286.15</v>
      </c>
      <c r="J97" s="2" t="str">
        <f>RawTable[[#This Row],[VAT_Applicable]]</f>
        <v>No</v>
      </c>
      <c r="K97" s="4">
        <f>RawTable[[#This Row],[VAT_Rate]]</f>
        <v>0</v>
      </c>
      <c r="L97" s="4">
        <f>RawTable[[#This Row],[VAT_Amount]]</f>
        <v>0</v>
      </c>
      <c r="M97" s="4">
        <f>RawTable[[#This Row],[Gross_Amount]]</f>
        <v>6286.15</v>
      </c>
      <c r="N97" s="4">
        <f>RawTable[[#This Row],[Exchange_Rate]]</f>
        <v>1</v>
      </c>
      <c r="O97" s="4">
        <f>RawTable[[#This Row],[Amount_CHF]]</f>
        <v>6286.15</v>
      </c>
      <c r="P9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9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97" s="11" t="str">
        <f>IF(ValidationTable[[#This Row],[Currency]]="","Fail","Pass")</f>
        <v>Pass</v>
      </c>
      <c r="S97" s="11" t="str">
        <f>IF(
ValidationTable[[#This Row],[Currency]]="CHF",
IF(ValidationTable[[#This Row],[Exchange_Rate]]&lt;&gt;1,"Fail","Pass"),
IF(ValidationTable[[#This Row],[Exchange_Rate]]&lt;=0,"Fail","Pass")
)</f>
        <v>Pass</v>
      </c>
      <c r="T9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97" s="11" t="str">
        <f>IF(LEN(TRIM(ValidationTable[[#This Row],[Bank_Account]]))=0,"Fail","Pass")</f>
        <v>Pass</v>
      </c>
      <c r="V97" s="11" t="str">
        <f>IF(
COUNTIF(ValidationTable[Record_ID],ValidationTable[[#This Row],[Record_ID]])&gt;1,
"Fail",
"Pass"
)</f>
        <v>Pass</v>
      </c>
      <c r="W97" s="11" t="str">
        <f>IF(
COUNTIF(ValidationTable[[#This Row],[RequiredField_Validation]]:ValidationTable[[#This Row],[Duplicate_Validation]],"Fail")&gt;0,
"Fail",
"Pass"
)</f>
        <v>Pass</v>
      </c>
      <c r="X97" s="11" t="str">
        <f>IF(ValidationTable[[#This Row],[Validation_Result]]="Pass","Yes","No")</f>
        <v>Yes</v>
      </c>
    </row>
    <row r="98" spans="1:24">
      <c r="A98" s="11">
        <f>RawTable[[#This Row],[Record_ID]]</f>
        <v>97</v>
      </c>
      <c r="B98" s="11" t="str">
        <f>RawTable[[#This Row],[Payment_Type]]</f>
        <v>Payroll</v>
      </c>
      <c r="C98" s="11" t="str">
        <f>RawTable[[#This Row],[Entity_Type]]</f>
        <v>Employee</v>
      </c>
      <c r="D98" s="11" t="str">
        <f>RawTable[[#This Row],[Country]]</f>
        <v>Switzerland</v>
      </c>
      <c r="E98" s="11" t="str">
        <f>RawTable[[#This Row],[Name]]</f>
        <v>Omar Brown</v>
      </c>
      <c r="F98" s="11" t="str">
        <f>RawTable[[#This Row],[Bank_Account]]</f>
        <v>DE890000000000203685</v>
      </c>
      <c r="G98" s="11" t="str">
        <f>RawTable[[#This Row],[Month]]</f>
        <v>Jan-2026</v>
      </c>
      <c r="H98" s="11" t="str">
        <f>RawTable[[#This Row],[Currency]]</f>
        <v>CHF</v>
      </c>
      <c r="I98" s="4">
        <f>RawTable[[#This Row],[Net_Amount]]</f>
        <v>6958.25</v>
      </c>
      <c r="J98" s="2" t="str">
        <f>RawTable[[#This Row],[VAT_Applicable]]</f>
        <v>No</v>
      </c>
      <c r="K98" s="4">
        <f>RawTable[[#This Row],[VAT_Rate]]</f>
        <v>0</v>
      </c>
      <c r="L98" s="4">
        <f>RawTable[[#This Row],[VAT_Amount]]</f>
        <v>0</v>
      </c>
      <c r="M98" s="4">
        <f>RawTable[[#This Row],[Gross_Amount]]</f>
        <v>6958.25</v>
      </c>
      <c r="N98" s="4">
        <f>RawTable[[#This Row],[Exchange_Rate]]</f>
        <v>1</v>
      </c>
      <c r="O98" s="4">
        <f>RawTable[[#This Row],[Amount_CHF]]</f>
        <v>6958.25</v>
      </c>
      <c r="P9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9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98" s="11" t="str">
        <f>IF(ValidationTable[[#This Row],[Currency]]="","Fail","Pass")</f>
        <v>Pass</v>
      </c>
      <c r="S98" s="11" t="str">
        <f>IF(
ValidationTable[[#This Row],[Currency]]="CHF",
IF(ValidationTable[[#This Row],[Exchange_Rate]]&lt;&gt;1,"Fail","Pass"),
IF(ValidationTable[[#This Row],[Exchange_Rate]]&lt;=0,"Fail","Pass")
)</f>
        <v>Pass</v>
      </c>
      <c r="T9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98" s="11" t="str">
        <f>IF(LEN(TRIM(ValidationTable[[#This Row],[Bank_Account]]))=0,"Fail","Pass")</f>
        <v>Pass</v>
      </c>
      <c r="V98" s="11" t="str">
        <f>IF(
COUNTIF(ValidationTable[Record_ID],ValidationTable[[#This Row],[Record_ID]])&gt;1,
"Fail",
"Pass"
)</f>
        <v>Pass</v>
      </c>
      <c r="W98" s="11" t="str">
        <f>IF(
COUNTIF(ValidationTable[[#This Row],[RequiredField_Validation]]:ValidationTable[[#This Row],[Duplicate_Validation]],"Fail")&gt;0,
"Fail",
"Pass"
)</f>
        <v>Pass</v>
      </c>
      <c r="X98" s="11" t="str">
        <f>IF(ValidationTable[[#This Row],[Validation_Result]]="Pass","Yes","No")</f>
        <v>Yes</v>
      </c>
    </row>
    <row r="99" spans="1:24">
      <c r="A99" s="11">
        <f>RawTable[[#This Row],[Record_ID]]</f>
        <v>98</v>
      </c>
      <c r="B99" s="11" t="str">
        <f>RawTable[[#This Row],[Payment_Type]]</f>
        <v>Payroll</v>
      </c>
      <c r="C99" s="11" t="str">
        <f>RawTable[[#This Row],[Entity_Type]]</f>
        <v>Employee</v>
      </c>
      <c r="D99" s="11" t="str">
        <f>RawTable[[#This Row],[Country]]</f>
        <v>Switzerland</v>
      </c>
      <c r="E99" s="11" t="str">
        <f>RawTable[[#This Row],[Name]]</f>
        <v>Ahmed Khan</v>
      </c>
      <c r="F99" s="11" t="str">
        <f>RawTable[[#This Row],[Bank_Account]]</f>
        <v>DE890000000000298738</v>
      </c>
      <c r="G99" s="11" t="str">
        <f>RawTable[[#This Row],[Month]]</f>
        <v>Mar-2026</v>
      </c>
      <c r="H99" s="11" t="str">
        <f>RawTable[[#This Row],[Currency]]</f>
        <v>CHF</v>
      </c>
      <c r="I99" s="4">
        <f>RawTable[[#This Row],[Net_Amount]]</f>
        <v>6737.9</v>
      </c>
      <c r="J99" s="2" t="str">
        <f>RawTable[[#This Row],[VAT_Applicable]]</f>
        <v>No</v>
      </c>
      <c r="K99" s="4">
        <f>RawTable[[#This Row],[VAT_Rate]]</f>
        <v>0</v>
      </c>
      <c r="L99" s="4">
        <f>RawTable[[#This Row],[VAT_Amount]]</f>
        <v>0</v>
      </c>
      <c r="M99" s="4">
        <f>RawTable[[#This Row],[Gross_Amount]]</f>
        <v>6737.9</v>
      </c>
      <c r="N99" s="4">
        <f>RawTable[[#This Row],[Exchange_Rate]]</f>
        <v>1</v>
      </c>
      <c r="O99" s="4">
        <f>RawTable[[#This Row],[Amount_CHF]]</f>
        <v>6737.9</v>
      </c>
      <c r="P9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9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99" s="11" t="str">
        <f>IF(ValidationTable[[#This Row],[Currency]]="","Fail","Pass")</f>
        <v>Pass</v>
      </c>
      <c r="S99" s="11" t="str">
        <f>IF(
ValidationTable[[#This Row],[Currency]]="CHF",
IF(ValidationTable[[#This Row],[Exchange_Rate]]&lt;&gt;1,"Fail","Pass"),
IF(ValidationTable[[#This Row],[Exchange_Rate]]&lt;=0,"Fail","Pass")
)</f>
        <v>Pass</v>
      </c>
      <c r="T9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99" s="11" t="str">
        <f>IF(LEN(TRIM(ValidationTable[[#This Row],[Bank_Account]]))=0,"Fail","Pass")</f>
        <v>Pass</v>
      </c>
      <c r="V99" s="11" t="str">
        <f>IF(
COUNTIF(ValidationTable[Record_ID],ValidationTable[[#This Row],[Record_ID]])&gt;1,
"Fail",
"Pass"
)</f>
        <v>Pass</v>
      </c>
      <c r="W99" s="11" t="str">
        <f>IF(
COUNTIF(ValidationTable[[#This Row],[RequiredField_Validation]]:ValidationTable[[#This Row],[Duplicate_Validation]],"Fail")&gt;0,
"Fail",
"Pass"
)</f>
        <v>Pass</v>
      </c>
      <c r="X99" s="11" t="str">
        <f>IF(ValidationTable[[#This Row],[Validation_Result]]="Pass","Yes","No")</f>
        <v>Yes</v>
      </c>
    </row>
    <row r="100" spans="1:24">
      <c r="A100" s="11">
        <f>RawTable[[#This Row],[Record_ID]]</f>
        <v>99</v>
      </c>
      <c r="B100" s="11" t="str">
        <f>RawTable[[#This Row],[Payment_Type]]</f>
        <v>Payroll</v>
      </c>
      <c r="C100" s="11" t="str">
        <f>RawTable[[#This Row],[Entity_Type]]</f>
        <v>Employee</v>
      </c>
      <c r="D100" s="11" t="str">
        <f>RawTable[[#This Row],[Country]]</f>
        <v>Jordan</v>
      </c>
      <c r="E100" s="11" t="str">
        <f>RawTable[[#This Row],[Name]]</f>
        <v>Ahmed Smith</v>
      </c>
      <c r="F100" s="11" t="str">
        <f>RawTable[[#This Row],[Bank_Account]]</f>
        <v>JO-IBAN-00703665</v>
      </c>
      <c r="G100" s="11" t="str">
        <f>RawTable[[#This Row],[Month]]</f>
        <v>Mar-2026</v>
      </c>
      <c r="H100" s="11" t="str">
        <f>RawTable[[#This Row],[Currency]]</f>
        <v>JOD</v>
      </c>
      <c r="I100" s="4">
        <f>RawTable[[#This Row],[Net_Amount]]</f>
        <v>1681.92</v>
      </c>
      <c r="J100" s="2" t="str">
        <f>RawTable[[#This Row],[VAT_Applicable]]</f>
        <v>No</v>
      </c>
      <c r="K100" s="4">
        <f>RawTable[[#This Row],[VAT_Rate]]</f>
        <v>0</v>
      </c>
      <c r="L100" s="4">
        <f>RawTable[[#This Row],[VAT_Amount]]</f>
        <v>0</v>
      </c>
      <c r="M100" s="4">
        <f>RawTable[[#This Row],[Gross_Amount]]</f>
        <v>1681.92</v>
      </c>
      <c r="N100" s="4">
        <f>RawTable[[#This Row],[Exchange_Rate]]</f>
        <v>1.08643</v>
      </c>
      <c r="O100" s="4">
        <f>RawTable[[#This Row],[Amount_CHF]]</f>
        <v>1827.29</v>
      </c>
      <c r="P10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0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00" s="11" t="str">
        <f>IF(ValidationTable[[#This Row],[Currency]]="","Fail","Pass")</f>
        <v>Pass</v>
      </c>
      <c r="S100" s="11" t="str">
        <f>IF(
ValidationTable[[#This Row],[Currency]]="CHF",
IF(ValidationTable[[#This Row],[Exchange_Rate]]&lt;&gt;1,"Fail","Pass"),
IF(ValidationTable[[#This Row],[Exchange_Rate]]&lt;=0,"Fail","Pass")
)</f>
        <v>Pass</v>
      </c>
      <c r="T10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00" s="11" t="str">
        <f>IF(LEN(TRIM(ValidationTable[[#This Row],[Bank_Account]]))=0,"Fail","Pass")</f>
        <v>Pass</v>
      </c>
      <c r="V100" s="11" t="str">
        <f>IF(
COUNTIF(ValidationTable[Record_ID],ValidationTable[[#This Row],[Record_ID]])&gt;1,
"Fail",
"Pass"
)</f>
        <v>Pass</v>
      </c>
      <c r="W100" s="11" t="str">
        <f>IF(
COUNTIF(ValidationTable[[#This Row],[RequiredField_Validation]]:ValidationTable[[#This Row],[Duplicate_Validation]],"Fail")&gt;0,
"Fail",
"Pass"
)</f>
        <v>Pass</v>
      </c>
      <c r="X100" s="11" t="str">
        <f>IF(ValidationTable[[#This Row],[Validation_Result]]="Pass","Yes","No")</f>
        <v>Yes</v>
      </c>
    </row>
    <row r="101" spans="1:24">
      <c r="A101" s="11">
        <f>RawTable[[#This Row],[Record_ID]]</f>
        <v>100</v>
      </c>
      <c r="B101" s="11" t="str">
        <f>RawTable[[#This Row],[Payment_Type]]</f>
        <v>Payroll</v>
      </c>
      <c r="C101" s="11" t="str">
        <f>RawTable[[#This Row],[Entity_Type]]</f>
        <v>Employee</v>
      </c>
      <c r="D101" s="11" t="str">
        <f>RawTable[[#This Row],[Country]]</f>
        <v>USA</v>
      </c>
      <c r="E101" s="11" t="str">
        <f>RawTable[[#This Row],[Name]]</f>
        <v>David Wilson</v>
      </c>
      <c r="F101" s="11" t="str">
        <f>RawTable[[#This Row],[Bank_Account]]</f>
        <v>US-RT-000004936-AC-0000022712</v>
      </c>
      <c r="G101" s="11" t="str">
        <f>RawTable[[#This Row],[Month]]</f>
        <v>Jan-2026</v>
      </c>
      <c r="H101" s="11" t="str">
        <f>RawTable[[#This Row],[Currency]]</f>
        <v>USD</v>
      </c>
      <c r="I101" s="4">
        <f>RawTable[[#This Row],[Net_Amount]]</f>
        <v>7634.32</v>
      </c>
      <c r="J101" s="2" t="str">
        <f>RawTable[[#This Row],[VAT_Applicable]]</f>
        <v>No</v>
      </c>
      <c r="K101" s="4">
        <f>RawTable[[#This Row],[VAT_Rate]]</f>
        <v>0</v>
      </c>
      <c r="L101" s="4">
        <f>RawTable[[#This Row],[VAT_Amount]]</f>
        <v>0</v>
      </c>
      <c r="M101" s="4">
        <f>RawTable[[#This Row],[Gross_Amount]]</f>
        <v>7634.32</v>
      </c>
      <c r="N101" s="4">
        <f>RawTable[[#This Row],[Exchange_Rate]]</f>
        <v>0.77017999999999998</v>
      </c>
      <c r="O101" s="4">
        <f>RawTable[[#This Row],[Amount_CHF]]</f>
        <v>5879.8</v>
      </c>
      <c r="P10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0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01" s="11" t="str">
        <f>IF(ValidationTable[[#This Row],[Currency]]="","Fail","Pass")</f>
        <v>Pass</v>
      </c>
      <c r="S101" s="11" t="str">
        <f>IF(
ValidationTable[[#This Row],[Currency]]="CHF",
IF(ValidationTable[[#This Row],[Exchange_Rate]]&lt;&gt;1,"Fail","Pass"),
IF(ValidationTable[[#This Row],[Exchange_Rate]]&lt;=0,"Fail","Pass")
)</f>
        <v>Pass</v>
      </c>
      <c r="T10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01" s="11" t="str">
        <f>IF(LEN(TRIM(ValidationTable[[#This Row],[Bank_Account]]))=0,"Fail","Pass")</f>
        <v>Pass</v>
      </c>
      <c r="V101" s="11" t="str">
        <f>IF(
COUNTIF(ValidationTable[Record_ID],ValidationTable[[#This Row],[Record_ID]])&gt;1,
"Fail",
"Pass"
)</f>
        <v>Pass</v>
      </c>
      <c r="W101" s="11" t="str">
        <f>IF(
COUNTIF(ValidationTable[[#This Row],[RequiredField_Validation]]:ValidationTable[[#This Row],[Duplicate_Validation]],"Fail")&gt;0,
"Fail",
"Pass"
)</f>
        <v>Pass</v>
      </c>
      <c r="X101" s="11" t="str">
        <f>IF(ValidationTable[[#This Row],[Validation_Result]]="Pass","Yes","No")</f>
        <v>Yes</v>
      </c>
    </row>
    <row r="102" spans="1:24">
      <c r="A102" s="11">
        <f>RawTable[[#This Row],[Record_ID]]</f>
        <v>101</v>
      </c>
      <c r="B102" s="11" t="str">
        <f>RawTable[[#This Row],[Payment_Type]]</f>
        <v>Payroll</v>
      </c>
      <c r="C102" s="11" t="str">
        <f>RawTable[[#This Row],[Entity_Type]]</f>
        <v>Employee</v>
      </c>
      <c r="D102" s="11" t="str">
        <f>RawTable[[#This Row],[Country]]</f>
        <v>Jordan</v>
      </c>
      <c r="E102" s="11" t="str">
        <f>RawTable[[#This Row],[Name]]</f>
        <v>John Müller</v>
      </c>
      <c r="F102" s="11" t="str">
        <f>RawTable[[#This Row],[Bank_Account]]</f>
        <v>CH930000000001382080</v>
      </c>
      <c r="G102" s="11" t="str">
        <f>RawTable[[#This Row],[Month]]</f>
        <v>Mar-2026</v>
      </c>
      <c r="H102" s="11" t="str">
        <f>RawTable[[#This Row],[Currency]]</f>
        <v>JOD</v>
      </c>
      <c r="I102" s="4">
        <f>RawTable[[#This Row],[Net_Amount]]</f>
        <v>1740.78</v>
      </c>
      <c r="J102" s="2" t="str">
        <f>RawTable[[#This Row],[VAT_Applicable]]</f>
        <v>No</v>
      </c>
      <c r="K102" s="4">
        <f>RawTable[[#This Row],[VAT_Rate]]</f>
        <v>0</v>
      </c>
      <c r="L102" s="4">
        <f>RawTable[[#This Row],[VAT_Amount]]</f>
        <v>0</v>
      </c>
      <c r="M102" s="4">
        <f>RawTable[[#This Row],[Gross_Amount]]</f>
        <v>1740.78</v>
      </c>
      <c r="N102" s="4">
        <f>RawTable[[#This Row],[Exchange_Rate]]</f>
        <v>1.08643</v>
      </c>
      <c r="O102" s="4">
        <f>RawTable[[#This Row],[Amount_CHF]]</f>
        <v>1891.24</v>
      </c>
      <c r="P10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0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02" s="11" t="str">
        <f>IF(ValidationTable[[#This Row],[Currency]]="","Fail","Pass")</f>
        <v>Pass</v>
      </c>
      <c r="S102" s="11" t="str">
        <f>IF(
ValidationTable[[#This Row],[Currency]]="CHF",
IF(ValidationTable[[#This Row],[Exchange_Rate]]&lt;&gt;1,"Fail","Pass"),
IF(ValidationTable[[#This Row],[Exchange_Rate]]&lt;=0,"Fail","Pass")
)</f>
        <v>Pass</v>
      </c>
      <c r="T10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02" s="11" t="str">
        <f>IF(LEN(TRIM(ValidationTable[[#This Row],[Bank_Account]]))=0,"Fail","Pass")</f>
        <v>Pass</v>
      </c>
      <c r="V102" s="11" t="str">
        <f>IF(
COUNTIF(ValidationTable[Record_ID],ValidationTable[[#This Row],[Record_ID]])&gt;1,
"Fail",
"Pass"
)</f>
        <v>Pass</v>
      </c>
      <c r="W102" s="11" t="str">
        <f>IF(
COUNTIF(ValidationTable[[#This Row],[RequiredField_Validation]]:ValidationTable[[#This Row],[Duplicate_Validation]],"Fail")&gt;0,
"Fail",
"Pass"
)</f>
        <v>Pass</v>
      </c>
      <c r="X102" s="11" t="str">
        <f>IF(ValidationTable[[#This Row],[Validation_Result]]="Pass","Yes","No")</f>
        <v>Yes</v>
      </c>
    </row>
    <row r="103" spans="1:24">
      <c r="A103" s="11">
        <f>RawTable[[#This Row],[Record_ID]]</f>
        <v>102</v>
      </c>
      <c r="B103" s="11" t="str">
        <f>RawTable[[#This Row],[Payment_Type]]</f>
        <v>Payroll</v>
      </c>
      <c r="C103" s="11" t="str">
        <f>RawTable[[#This Row],[Entity_Type]]</f>
        <v>Employee</v>
      </c>
      <c r="D103" s="11" t="str">
        <f>RawTable[[#This Row],[Country]]</f>
        <v>USA</v>
      </c>
      <c r="E103" s="11" t="str">
        <f>RawTable[[#This Row],[Name]]</f>
        <v>John Wilson</v>
      </c>
      <c r="F103" s="11" t="str">
        <f>RawTable[[#This Row],[Bank_Account]]</f>
        <v>US-RT-000071572-AC-0000329324</v>
      </c>
      <c r="G103" s="11" t="str">
        <f>RawTable[[#This Row],[Month]]</f>
        <v>Feb-2026</v>
      </c>
      <c r="H103" s="11" t="str">
        <f>RawTable[[#This Row],[Currency]]</f>
        <v>USD</v>
      </c>
      <c r="I103" s="4">
        <f>RawTable[[#This Row],[Net_Amount]]</f>
        <v>7478.1</v>
      </c>
      <c r="J103" s="2" t="str">
        <f>RawTable[[#This Row],[VAT_Applicable]]</f>
        <v>No</v>
      </c>
      <c r="K103" s="4">
        <f>RawTable[[#This Row],[VAT_Rate]]</f>
        <v>0</v>
      </c>
      <c r="L103" s="4">
        <f>RawTable[[#This Row],[VAT_Amount]]</f>
        <v>0</v>
      </c>
      <c r="M103" s="4">
        <f>RawTable[[#This Row],[Gross_Amount]]</f>
        <v>7478.1</v>
      </c>
      <c r="N103" s="4">
        <f>RawTable[[#This Row],[Exchange_Rate]]</f>
        <v>0.77017999999999998</v>
      </c>
      <c r="O103" s="4">
        <f>RawTable[[#This Row],[Amount_CHF]]</f>
        <v>5759.48</v>
      </c>
      <c r="P10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0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03" s="11" t="str">
        <f>IF(ValidationTable[[#This Row],[Currency]]="","Fail","Pass")</f>
        <v>Pass</v>
      </c>
      <c r="S103" s="11" t="str">
        <f>IF(
ValidationTable[[#This Row],[Currency]]="CHF",
IF(ValidationTable[[#This Row],[Exchange_Rate]]&lt;&gt;1,"Fail","Pass"),
IF(ValidationTable[[#This Row],[Exchange_Rate]]&lt;=0,"Fail","Pass")
)</f>
        <v>Pass</v>
      </c>
      <c r="T10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03" s="11" t="str">
        <f>IF(LEN(TRIM(ValidationTable[[#This Row],[Bank_Account]]))=0,"Fail","Pass")</f>
        <v>Pass</v>
      </c>
      <c r="V103" s="11" t="str">
        <f>IF(
COUNTIF(ValidationTable[Record_ID],ValidationTable[[#This Row],[Record_ID]])&gt;1,
"Fail",
"Pass"
)</f>
        <v>Pass</v>
      </c>
      <c r="W103" s="11" t="str">
        <f>IF(
COUNTIF(ValidationTable[[#This Row],[RequiredField_Validation]]:ValidationTable[[#This Row],[Duplicate_Validation]],"Fail")&gt;0,
"Fail",
"Pass"
)</f>
        <v>Pass</v>
      </c>
      <c r="X103" s="11" t="str">
        <f>IF(ValidationTable[[#This Row],[Validation_Result]]="Pass","Yes","No")</f>
        <v>Yes</v>
      </c>
    </row>
    <row r="104" spans="1:24">
      <c r="A104" s="11">
        <f>RawTable[[#This Row],[Record_ID]]</f>
        <v>103</v>
      </c>
      <c r="B104" s="11" t="str">
        <f>RawTable[[#This Row],[Payment_Type]]</f>
        <v>Payroll</v>
      </c>
      <c r="C104" s="11" t="str">
        <f>RawTable[[#This Row],[Entity_Type]]</f>
        <v>Employee</v>
      </c>
      <c r="D104" s="11" t="str">
        <f>RawTable[[#This Row],[Country]]</f>
        <v>UAE</v>
      </c>
      <c r="E104" s="11" t="str">
        <f>RawTable[[#This Row],[Name]]</f>
        <v>David Schmidt</v>
      </c>
      <c r="F104" s="11" t="str">
        <f>RawTable[[#This Row],[Bank_Account]]</f>
        <v>AE-IBAN-01792593</v>
      </c>
      <c r="G104" s="11" t="str">
        <f>RawTable[[#This Row],[Month]]</f>
        <v>Mar-2026</v>
      </c>
      <c r="H104" s="11" t="str">
        <f>RawTable[[#This Row],[Currency]]</f>
        <v>AED</v>
      </c>
      <c r="I104" s="4">
        <f>RawTable[[#This Row],[Net_Amount]]</f>
        <v>22385.82</v>
      </c>
      <c r="J104" s="2" t="str">
        <f>RawTable[[#This Row],[VAT_Applicable]]</f>
        <v>No</v>
      </c>
      <c r="K104" s="4">
        <f>RawTable[[#This Row],[VAT_Rate]]</f>
        <v>0</v>
      </c>
      <c r="L104" s="4">
        <f>RawTable[[#This Row],[VAT_Amount]]</f>
        <v>0</v>
      </c>
      <c r="M104" s="4">
        <f>RawTable[[#This Row],[Gross_Amount]]</f>
        <v>22385.82</v>
      </c>
      <c r="N104" s="4">
        <f>RawTable[[#This Row],[Exchange_Rate]]</f>
        <v>0.21065</v>
      </c>
      <c r="O104" s="4">
        <f>RawTable[[#This Row],[Amount_CHF]]</f>
        <v>4715.57</v>
      </c>
      <c r="P10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0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04" s="11" t="str">
        <f>IF(ValidationTable[[#This Row],[Currency]]="","Fail","Pass")</f>
        <v>Pass</v>
      </c>
      <c r="S104" s="11" t="str">
        <f>IF(
ValidationTable[[#This Row],[Currency]]="CHF",
IF(ValidationTable[[#This Row],[Exchange_Rate]]&lt;&gt;1,"Fail","Pass"),
IF(ValidationTable[[#This Row],[Exchange_Rate]]&lt;=0,"Fail","Pass")
)</f>
        <v>Pass</v>
      </c>
      <c r="T10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04" s="11" t="str">
        <f>IF(LEN(TRIM(ValidationTable[[#This Row],[Bank_Account]]))=0,"Fail","Pass")</f>
        <v>Pass</v>
      </c>
      <c r="V104" s="11" t="str">
        <f>IF(
COUNTIF(ValidationTable[Record_ID],ValidationTable[[#This Row],[Record_ID]])&gt;1,
"Fail",
"Pass"
)</f>
        <v>Pass</v>
      </c>
      <c r="W104" s="11" t="str">
        <f>IF(
COUNTIF(ValidationTable[[#This Row],[RequiredField_Validation]]:ValidationTable[[#This Row],[Duplicate_Validation]],"Fail")&gt;0,
"Fail",
"Pass"
)</f>
        <v>Pass</v>
      </c>
      <c r="X104" s="11" t="str">
        <f>IF(ValidationTable[[#This Row],[Validation_Result]]="Pass","Yes","No")</f>
        <v>Yes</v>
      </c>
    </row>
    <row r="105" spans="1:24">
      <c r="A105" s="11">
        <f>RawTable[[#This Row],[Record_ID]]</f>
        <v>104</v>
      </c>
      <c r="B105" s="11" t="str">
        <f>RawTable[[#This Row],[Payment_Type]]</f>
        <v>Payroll</v>
      </c>
      <c r="C105" s="11" t="str">
        <f>RawTable[[#This Row],[Entity_Type]]</f>
        <v>Employee</v>
      </c>
      <c r="D105" s="11" t="str">
        <f>RawTable[[#This Row],[Country]]</f>
        <v>UAE</v>
      </c>
      <c r="E105" s="11" t="str">
        <f>RawTable[[#This Row],[Name]]</f>
        <v>Laura Wilson</v>
      </c>
      <c r="F105" s="11" t="str">
        <f>RawTable[[#This Row],[Bank_Account]]</f>
        <v>CH930000000001159960</v>
      </c>
      <c r="G105" s="11" t="str">
        <f>RawTable[[#This Row],[Month]]</f>
        <v>Jan-2026</v>
      </c>
      <c r="H105" s="11" t="str">
        <f>RawTable[[#This Row],[Currency]]</f>
        <v>AED</v>
      </c>
      <c r="I105" s="4">
        <f>RawTable[[#This Row],[Net_Amount]]</f>
        <v>22642.400000000001</v>
      </c>
      <c r="J105" s="2" t="str">
        <f>RawTable[[#This Row],[VAT_Applicable]]</f>
        <v>No</v>
      </c>
      <c r="K105" s="4">
        <f>RawTable[[#This Row],[VAT_Rate]]</f>
        <v>0</v>
      </c>
      <c r="L105" s="4">
        <f>RawTable[[#This Row],[VAT_Amount]]</f>
        <v>0</v>
      </c>
      <c r="M105" s="4">
        <f>RawTable[[#This Row],[Gross_Amount]]</f>
        <v>22642.400000000001</v>
      </c>
      <c r="N105" s="4">
        <f>RawTable[[#This Row],[Exchange_Rate]]</f>
        <v>0.21065</v>
      </c>
      <c r="O105" s="4">
        <f>RawTable[[#This Row],[Amount_CHF]]</f>
        <v>4769.62</v>
      </c>
      <c r="P10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0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05" s="11" t="str">
        <f>IF(ValidationTable[[#This Row],[Currency]]="","Fail","Pass")</f>
        <v>Pass</v>
      </c>
      <c r="S105" s="11" t="str">
        <f>IF(
ValidationTable[[#This Row],[Currency]]="CHF",
IF(ValidationTable[[#This Row],[Exchange_Rate]]&lt;&gt;1,"Fail","Pass"),
IF(ValidationTable[[#This Row],[Exchange_Rate]]&lt;=0,"Fail","Pass")
)</f>
        <v>Pass</v>
      </c>
      <c r="T10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05" s="11" t="str">
        <f>IF(LEN(TRIM(ValidationTable[[#This Row],[Bank_Account]]))=0,"Fail","Pass")</f>
        <v>Pass</v>
      </c>
      <c r="V105" s="11" t="str">
        <f>IF(
COUNTIF(ValidationTable[Record_ID],ValidationTable[[#This Row],[Record_ID]])&gt;1,
"Fail",
"Pass"
)</f>
        <v>Pass</v>
      </c>
      <c r="W105" s="11" t="str">
        <f>IF(
COUNTIF(ValidationTable[[#This Row],[RequiredField_Validation]]:ValidationTable[[#This Row],[Duplicate_Validation]],"Fail")&gt;0,
"Fail",
"Pass"
)</f>
        <v>Pass</v>
      </c>
      <c r="X105" s="11" t="str">
        <f>IF(ValidationTable[[#This Row],[Validation_Result]]="Pass","Yes","No")</f>
        <v>Yes</v>
      </c>
    </row>
    <row r="106" spans="1:24">
      <c r="A106" s="11">
        <f>RawTable[[#This Row],[Record_ID]]</f>
        <v>105</v>
      </c>
      <c r="B106" s="11" t="str">
        <f>RawTable[[#This Row],[Payment_Type]]</f>
        <v>Payroll</v>
      </c>
      <c r="C106" s="11" t="str">
        <f>RawTable[[#This Row],[Entity_Type]]</f>
        <v>Employee</v>
      </c>
      <c r="D106" s="11" t="str">
        <f>RawTable[[#This Row],[Country]]</f>
        <v>USA</v>
      </c>
      <c r="E106" s="11" t="str">
        <f>RawTable[[#This Row],[Name]]</f>
        <v>John Müller</v>
      </c>
      <c r="F106" s="11" t="str">
        <f>RawTable[[#This Row],[Bank_Account]]</f>
        <v>CH930000000001382080</v>
      </c>
      <c r="G106" s="11" t="str">
        <f>RawTable[[#This Row],[Month]]</f>
        <v>Feb-2026</v>
      </c>
      <c r="H106" s="11" t="str">
        <f>RawTable[[#This Row],[Currency]]</f>
        <v>USD</v>
      </c>
      <c r="I106" s="4">
        <f>RawTable[[#This Row],[Net_Amount]]</f>
        <v>6769.7</v>
      </c>
      <c r="J106" s="2" t="str">
        <f>RawTable[[#This Row],[VAT_Applicable]]</f>
        <v>No</v>
      </c>
      <c r="K106" s="4">
        <f>RawTable[[#This Row],[VAT_Rate]]</f>
        <v>0</v>
      </c>
      <c r="L106" s="4">
        <f>RawTable[[#This Row],[VAT_Amount]]</f>
        <v>0</v>
      </c>
      <c r="M106" s="4">
        <f>RawTable[[#This Row],[Gross_Amount]]</f>
        <v>6769.7</v>
      </c>
      <c r="N106" s="4">
        <f>RawTable[[#This Row],[Exchange_Rate]]</f>
        <v>0.77017999999999998</v>
      </c>
      <c r="O106" s="4">
        <f>RawTable[[#This Row],[Amount_CHF]]</f>
        <v>5213.8900000000003</v>
      </c>
      <c r="P10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0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06" s="11" t="str">
        <f>IF(ValidationTable[[#This Row],[Currency]]="","Fail","Pass")</f>
        <v>Pass</v>
      </c>
      <c r="S106" s="11" t="str">
        <f>IF(
ValidationTable[[#This Row],[Currency]]="CHF",
IF(ValidationTable[[#This Row],[Exchange_Rate]]&lt;&gt;1,"Fail","Pass"),
IF(ValidationTable[[#This Row],[Exchange_Rate]]&lt;=0,"Fail","Pass")
)</f>
        <v>Pass</v>
      </c>
      <c r="T10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06" s="11" t="str">
        <f>IF(LEN(TRIM(ValidationTable[[#This Row],[Bank_Account]]))=0,"Fail","Pass")</f>
        <v>Pass</v>
      </c>
      <c r="V106" s="11" t="str">
        <f>IF(
COUNTIF(ValidationTable[Record_ID],ValidationTable[[#This Row],[Record_ID]])&gt;1,
"Fail",
"Pass"
)</f>
        <v>Pass</v>
      </c>
      <c r="W106" s="11" t="str">
        <f>IF(
COUNTIF(ValidationTable[[#This Row],[RequiredField_Validation]]:ValidationTable[[#This Row],[Duplicate_Validation]],"Fail")&gt;0,
"Fail",
"Pass"
)</f>
        <v>Pass</v>
      </c>
      <c r="X106" s="11" t="str">
        <f>IF(ValidationTable[[#This Row],[Validation_Result]]="Pass","Yes","No")</f>
        <v>Yes</v>
      </c>
    </row>
    <row r="107" spans="1:24">
      <c r="A107" s="11">
        <f>RawTable[[#This Row],[Record_ID]]</f>
        <v>106</v>
      </c>
      <c r="B107" s="11" t="str">
        <f>RawTable[[#This Row],[Payment_Type]]</f>
        <v>Payroll</v>
      </c>
      <c r="C107" s="11" t="str">
        <f>RawTable[[#This Row],[Entity_Type]]</f>
        <v>Employee</v>
      </c>
      <c r="D107" s="11" t="str">
        <f>RawTable[[#This Row],[Country]]</f>
        <v>Jordan</v>
      </c>
      <c r="E107" s="11" t="str">
        <f>RawTable[[#This Row],[Name]]</f>
        <v>Ahmed Ali</v>
      </c>
      <c r="F107" s="11" t="str">
        <f>RawTable[[#This Row],[Bank_Account]]</f>
        <v>JO-IBAN-00728355</v>
      </c>
      <c r="G107" s="11" t="str">
        <f>RawTable[[#This Row],[Month]]</f>
        <v>Feb-2026</v>
      </c>
      <c r="H107" s="11" t="str">
        <f>RawTable[[#This Row],[Currency]]</f>
        <v>JOD</v>
      </c>
      <c r="I107" s="4">
        <f>RawTable[[#This Row],[Net_Amount]]</f>
        <v>1622.7</v>
      </c>
      <c r="J107" s="2" t="str">
        <f>RawTable[[#This Row],[VAT_Applicable]]</f>
        <v>No</v>
      </c>
      <c r="K107" s="4">
        <f>RawTable[[#This Row],[VAT_Rate]]</f>
        <v>0</v>
      </c>
      <c r="L107" s="4">
        <f>RawTable[[#This Row],[VAT_Amount]]</f>
        <v>0</v>
      </c>
      <c r="M107" s="4">
        <f>RawTable[[#This Row],[Gross_Amount]]</f>
        <v>1622.7</v>
      </c>
      <c r="N107" s="4">
        <f>RawTable[[#This Row],[Exchange_Rate]]</f>
        <v>1.08643</v>
      </c>
      <c r="O107" s="4">
        <f>RawTable[[#This Row],[Amount_CHF]]</f>
        <v>1762.95</v>
      </c>
      <c r="P10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0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07" s="11" t="str">
        <f>IF(ValidationTable[[#This Row],[Currency]]="","Fail","Pass")</f>
        <v>Pass</v>
      </c>
      <c r="S107" s="11" t="str">
        <f>IF(
ValidationTable[[#This Row],[Currency]]="CHF",
IF(ValidationTable[[#This Row],[Exchange_Rate]]&lt;&gt;1,"Fail","Pass"),
IF(ValidationTable[[#This Row],[Exchange_Rate]]&lt;=0,"Fail","Pass")
)</f>
        <v>Pass</v>
      </c>
      <c r="T10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07" s="11" t="str">
        <f>IF(LEN(TRIM(ValidationTable[[#This Row],[Bank_Account]]))=0,"Fail","Pass")</f>
        <v>Pass</v>
      </c>
      <c r="V107" s="11" t="str">
        <f>IF(
COUNTIF(ValidationTable[Record_ID],ValidationTable[[#This Row],[Record_ID]])&gt;1,
"Fail",
"Pass"
)</f>
        <v>Pass</v>
      </c>
      <c r="W107" s="11" t="str">
        <f>IF(
COUNTIF(ValidationTable[[#This Row],[RequiredField_Validation]]:ValidationTable[[#This Row],[Duplicate_Validation]],"Fail")&gt;0,
"Fail",
"Pass"
)</f>
        <v>Pass</v>
      </c>
      <c r="X107" s="11" t="str">
        <f>IF(ValidationTable[[#This Row],[Validation_Result]]="Pass","Yes","No")</f>
        <v>Yes</v>
      </c>
    </row>
    <row r="108" spans="1:24">
      <c r="A108" s="11">
        <f>RawTable[[#This Row],[Record_ID]]</f>
        <v>107</v>
      </c>
      <c r="B108" s="11" t="str">
        <f>RawTable[[#This Row],[Payment_Type]]</f>
        <v>Payroll</v>
      </c>
      <c r="C108" s="11" t="str">
        <f>RawTable[[#This Row],[Entity_Type]]</f>
        <v>Employee</v>
      </c>
      <c r="D108" s="11" t="str">
        <f>RawTable[[#This Row],[Country]]</f>
        <v>UAE</v>
      </c>
      <c r="E108" s="11" t="str">
        <f>RawTable[[#This Row],[Name]]</f>
        <v>Lina Ali</v>
      </c>
      <c r="F108" s="11" t="str">
        <f>RawTable[[#This Row],[Bank_Account]]</f>
        <v>AE-IBAN-03259260</v>
      </c>
      <c r="G108" s="11" t="str">
        <f>RawTable[[#This Row],[Month]]</f>
        <v>Feb-2026</v>
      </c>
      <c r="H108" s="11" t="str">
        <f>RawTable[[#This Row],[Currency]]</f>
        <v>AED</v>
      </c>
      <c r="I108" s="4">
        <f>RawTable[[#This Row],[Net_Amount]]</f>
        <v>22110</v>
      </c>
      <c r="J108" s="2" t="str">
        <f>RawTable[[#This Row],[VAT_Applicable]]</f>
        <v>No</v>
      </c>
      <c r="K108" s="4">
        <f>RawTable[[#This Row],[VAT_Rate]]</f>
        <v>0</v>
      </c>
      <c r="L108" s="4">
        <f>RawTable[[#This Row],[VAT_Amount]]</f>
        <v>0</v>
      </c>
      <c r="M108" s="4">
        <f>RawTable[[#This Row],[Gross_Amount]]</f>
        <v>22110</v>
      </c>
      <c r="N108" s="4">
        <f>RawTable[[#This Row],[Exchange_Rate]]</f>
        <v>0.21065</v>
      </c>
      <c r="O108" s="4">
        <f>RawTable[[#This Row],[Amount_CHF]]</f>
        <v>4657.47</v>
      </c>
      <c r="P10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0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08" s="11" t="str">
        <f>IF(ValidationTable[[#This Row],[Currency]]="","Fail","Pass")</f>
        <v>Pass</v>
      </c>
      <c r="S108" s="11" t="str">
        <f>IF(
ValidationTable[[#This Row],[Currency]]="CHF",
IF(ValidationTable[[#This Row],[Exchange_Rate]]&lt;&gt;1,"Fail","Pass"),
IF(ValidationTable[[#This Row],[Exchange_Rate]]&lt;=0,"Fail","Pass")
)</f>
        <v>Pass</v>
      </c>
      <c r="T10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08" s="11" t="str">
        <f>IF(LEN(TRIM(ValidationTable[[#This Row],[Bank_Account]]))=0,"Fail","Pass")</f>
        <v>Pass</v>
      </c>
      <c r="V108" s="11" t="str">
        <f>IF(
COUNTIF(ValidationTable[Record_ID],ValidationTable[[#This Row],[Record_ID]])&gt;1,
"Fail",
"Pass"
)</f>
        <v>Pass</v>
      </c>
      <c r="W108" s="11" t="str">
        <f>IF(
COUNTIF(ValidationTable[[#This Row],[RequiredField_Validation]]:ValidationTable[[#This Row],[Duplicate_Validation]],"Fail")&gt;0,
"Fail",
"Pass"
)</f>
        <v>Pass</v>
      </c>
      <c r="X108" s="11" t="str">
        <f>IF(ValidationTable[[#This Row],[Validation_Result]]="Pass","Yes","No")</f>
        <v>Yes</v>
      </c>
    </row>
    <row r="109" spans="1:24">
      <c r="A109" s="11">
        <f>RawTable[[#This Row],[Record_ID]]</f>
        <v>108</v>
      </c>
      <c r="B109" s="11" t="str">
        <f>RawTable[[#This Row],[Payment_Type]]</f>
        <v>Payroll</v>
      </c>
      <c r="C109" s="11" t="str">
        <f>RawTable[[#This Row],[Entity_Type]]</f>
        <v>Employee</v>
      </c>
      <c r="D109" s="11" t="str">
        <f>RawTable[[#This Row],[Country]]</f>
        <v>Jordan</v>
      </c>
      <c r="E109" s="11" t="str">
        <f>RawTable[[#This Row],[Name]]</f>
        <v>Anna Schmidt</v>
      </c>
      <c r="F109" s="11" t="str">
        <f>RawTable[[#This Row],[Bank_Account]]</f>
        <v>DE890000000000190106</v>
      </c>
      <c r="G109" s="11" t="str">
        <f>RawTable[[#This Row],[Month]]</f>
        <v>Feb-2026</v>
      </c>
      <c r="H109" s="11" t="str">
        <f>RawTable[[#This Row],[Currency]]</f>
        <v>JOD</v>
      </c>
      <c r="I109" s="4">
        <f>RawTable[[#This Row],[Net_Amount]]</f>
        <v>1870.2</v>
      </c>
      <c r="J109" s="2" t="str">
        <f>RawTable[[#This Row],[VAT_Applicable]]</f>
        <v>No</v>
      </c>
      <c r="K109" s="4">
        <f>RawTable[[#This Row],[VAT_Rate]]</f>
        <v>0</v>
      </c>
      <c r="L109" s="4">
        <f>RawTable[[#This Row],[VAT_Amount]]</f>
        <v>0</v>
      </c>
      <c r="M109" s="4">
        <f>RawTable[[#This Row],[Gross_Amount]]</f>
        <v>1870.2</v>
      </c>
      <c r="N109" s="4">
        <f>RawTable[[#This Row],[Exchange_Rate]]</f>
        <v>1.08643</v>
      </c>
      <c r="O109" s="4">
        <f>RawTable[[#This Row],[Amount_CHF]]</f>
        <v>2031.84</v>
      </c>
      <c r="P10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0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09" s="11" t="str">
        <f>IF(ValidationTable[[#This Row],[Currency]]="","Fail","Pass")</f>
        <v>Pass</v>
      </c>
      <c r="S109" s="11" t="str">
        <f>IF(
ValidationTable[[#This Row],[Currency]]="CHF",
IF(ValidationTable[[#This Row],[Exchange_Rate]]&lt;&gt;1,"Fail","Pass"),
IF(ValidationTable[[#This Row],[Exchange_Rate]]&lt;=0,"Fail","Pass")
)</f>
        <v>Pass</v>
      </c>
      <c r="T10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09" s="11" t="str">
        <f>IF(LEN(TRIM(ValidationTable[[#This Row],[Bank_Account]]))=0,"Fail","Pass")</f>
        <v>Pass</v>
      </c>
      <c r="V109" s="11" t="str">
        <f>IF(
COUNTIF(ValidationTable[Record_ID],ValidationTable[[#This Row],[Record_ID]])&gt;1,
"Fail",
"Pass"
)</f>
        <v>Pass</v>
      </c>
      <c r="W109" s="11" t="str">
        <f>IF(
COUNTIF(ValidationTable[[#This Row],[RequiredField_Validation]]:ValidationTable[[#This Row],[Duplicate_Validation]],"Fail")&gt;0,
"Fail",
"Pass"
)</f>
        <v>Pass</v>
      </c>
      <c r="X109" s="11" t="str">
        <f>IF(ValidationTable[[#This Row],[Validation_Result]]="Pass","Yes","No")</f>
        <v>Yes</v>
      </c>
    </row>
    <row r="110" spans="1:24">
      <c r="A110" s="11">
        <f>RawTable[[#This Row],[Record_ID]]</f>
        <v>109</v>
      </c>
      <c r="B110" s="11" t="str">
        <f>RawTable[[#This Row],[Payment_Type]]</f>
        <v>Payroll</v>
      </c>
      <c r="C110" s="11" t="str">
        <f>RawTable[[#This Row],[Entity_Type]]</f>
        <v>Employee</v>
      </c>
      <c r="D110" s="11" t="str">
        <f>RawTable[[#This Row],[Country]]</f>
        <v>UAE</v>
      </c>
      <c r="E110" s="11" t="str">
        <f>RawTable[[#This Row],[Name]]</f>
        <v>Ahmed Johnson</v>
      </c>
      <c r="F110" s="11" t="str">
        <f>RawTable[[#This Row],[Bank_Account]]</f>
        <v>AE-IBAN-03313581</v>
      </c>
      <c r="G110" s="11" t="str">
        <f>RawTable[[#This Row],[Month]]</f>
        <v>Jan-2026</v>
      </c>
      <c r="H110" s="11" t="str">
        <f>RawTable[[#This Row],[Currency]]</f>
        <v>AED</v>
      </c>
      <c r="I110" s="4">
        <f>RawTable[[#This Row],[Net_Amount]]</f>
        <v>20116.8</v>
      </c>
      <c r="J110" s="2" t="str">
        <f>RawTable[[#This Row],[VAT_Applicable]]</f>
        <v>No</v>
      </c>
      <c r="K110" s="4">
        <f>RawTable[[#This Row],[VAT_Rate]]</f>
        <v>0</v>
      </c>
      <c r="L110" s="4">
        <f>RawTable[[#This Row],[VAT_Amount]]</f>
        <v>0</v>
      </c>
      <c r="M110" s="4">
        <f>RawTable[[#This Row],[Gross_Amount]]</f>
        <v>20116.8</v>
      </c>
      <c r="N110" s="4">
        <f>RawTable[[#This Row],[Exchange_Rate]]</f>
        <v>0.21065</v>
      </c>
      <c r="O110" s="4">
        <f>RawTable[[#This Row],[Amount_CHF]]</f>
        <v>4237.6000000000004</v>
      </c>
      <c r="P11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1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10" s="11" t="str">
        <f>IF(ValidationTable[[#This Row],[Currency]]="","Fail","Pass")</f>
        <v>Pass</v>
      </c>
      <c r="S110" s="11" t="str">
        <f>IF(
ValidationTable[[#This Row],[Currency]]="CHF",
IF(ValidationTable[[#This Row],[Exchange_Rate]]&lt;&gt;1,"Fail","Pass"),
IF(ValidationTable[[#This Row],[Exchange_Rate]]&lt;=0,"Fail","Pass")
)</f>
        <v>Pass</v>
      </c>
      <c r="T11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10" s="11" t="str">
        <f>IF(LEN(TRIM(ValidationTable[[#This Row],[Bank_Account]]))=0,"Fail","Pass")</f>
        <v>Pass</v>
      </c>
      <c r="V110" s="11" t="str">
        <f>IF(
COUNTIF(ValidationTable[Record_ID],ValidationTable[[#This Row],[Record_ID]])&gt;1,
"Fail",
"Pass"
)</f>
        <v>Pass</v>
      </c>
      <c r="W110" s="11" t="str">
        <f>IF(
COUNTIF(ValidationTable[[#This Row],[RequiredField_Validation]]:ValidationTable[[#This Row],[Duplicate_Validation]],"Fail")&gt;0,
"Fail",
"Pass"
)</f>
        <v>Pass</v>
      </c>
      <c r="X110" s="11" t="str">
        <f>IF(ValidationTable[[#This Row],[Validation_Result]]="Pass","Yes","No")</f>
        <v>Yes</v>
      </c>
    </row>
    <row r="111" spans="1:24">
      <c r="A111" s="11">
        <f>RawTable[[#This Row],[Record_ID]]</f>
        <v>110</v>
      </c>
      <c r="B111" s="11" t="str">
        <f>RawTable[[#This Row],[Payment_Type]]</f>
        <v>Payroll</v>
      </c>
      <c r="C111" s="11" t="str">
        <f>RawTable[[#This Row],[Entity_Type]]</f>
        <v>Employee</v>
      </c>
      <c r="D111" s="11" t="str">
        <f>RawTable[[#This Row],[Country]]</f>
        <v>Germany</v>
      </c>
      <c r="E111" s="11" t="str">
        <f>RawTable[[#This Row],[Name]]</f>
        <v>Lina Johnson</v>
      </c>
      <c r="F111" s="11" t="str">
        <f>RawTable[[#This Row],[Bank_Account]]</f>
        <v>CH930000000000740400</v>
      </c>
      <c r="G111" s="11" t="str">
        <f>RawTable[[#This Row],[Month]]</f>
        <v>Feb-2026</v>
      </c>
      <c r="H111" s="11" t="str">
        <f>RawTable[[#This Row],[Currency]]</f>
        <v>EUR</v>
      </c>
      <c r="I111" s="4">
        <f>RawTable[[#This Row],[Net_Amount]]</f>
        <v>6178.2</v>
      </c>
      <c r="J111" s="2" t="str">
        <f>RawTable[[#This Row],[VAT_Applicable]]</f>
        <v>No</v>
      </c>
      <c r="K111" s="4">
        <f>RawTable[[#This Row],[VAT_Rate]]</f>
        <v>0</v>
      </c>
      <c r="L111" s="4">
        <f>RawTable[[#This Row],[VAT_Amount]]</f>
        <v>0</v>
      </c>
      <c r="M111" s="4">
        <f>RawTable[[#This Row],[Gross_Amount]]</f>
        <v>6178.2</v>
      </c>
      <c r="N111" s="4">
        <f>RawTable[[#This Row],[Exchange_Rate]]</f>
        <v>0.90888000000000002</v>
      </c>
      <c r="O111" s="4">
        <f>RawTable[[#This Row],[Amount_CHF]]</f>
        <v>5615.24</v>
      </c>
      <c r="P11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1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11" s="11" t="str">
        <f>IF(ValidationTable[[#This Row],[Currency]]="","Fail","Pass")</f>
        <v>Pass</v>
      </c>
      <c r="S111" s="11" t="str">
        <f>IF(
ValidationTable[[#This Row],[Currency]]="CHF",
IF(ValidationTable[[#This Row],[Exchange_Rate]]&lt;&gt;1,"Fail","Pass"),
IF(ValidationTable[[#This Row],[Exchange_Rate]]&lt;=0,"Fail","Pass")
)</f>
        <v>Pass</v>
      </c>
      <c r="T11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11" s="11" t="str">
        <f>IF(LEN(TRIM(ValidationTable[[#This Row],[Bank_Account]]))=0,"Fail","Pass")</f>
        <v>Pass</v>
      </c>
      <c r="V111" s="11" t="str">
        <f>IF(
COUNTIF(ValidationTable[Record_ID],ValidationTable[[#This Row],[Record_ID]])&gt;1,
"Fail",
"Pass"
)</f>
        <v>Pass</v>
      </c>
      <c r="W111" s="11" t="str">
        <f>IF(
COUNTIF(ValidationTable[[#This Row],[RequiredField_Validation]]:ValidationTable[[#This Row],[Duplicate_Validation]],"Fail")&gt;0,
"Fail",
"Pass"
)</f>
        <v>Pass</v>
      </c>
      <c r="X111" s="11" t="str">
        <f>IF(ValidationTable[[#This Row],[Validation_Result]]="Pass","Yes","No")</f>
        <v>Yes</v>
      </c>
    </row>
    <row r="112" spans="1:24">
      <c r="A112" s="11">
        <f>RawTable[[#This Row],[Record_ID]]</f>
        <v>111</v>
      </c>
      <c r="B112" s="11" t="str">
        <f>RawTable[[#This Row],[Payment_Type]]</f>
        <v>Payroll</v>
      </c>
      <c r="C112" s="11" t="str">
        <f>RawTable[[#This Row],[Entity_Type]]</f>
        <v>Employee</v>
      </c>
      <c r="D112" s="11" t="str">
        <f>RawTable[[#This Row],[Country]]</f>
        <v>USA</v>
      </c>
      <c r="E112" s="11" t="str">
        <f>RawTable[[#This Row],[Name]]</f>
        <v>Sara Johnson</v>
      </c>
      <c r="F112" s="11" t="str">
        <f>RawTable[[#This Row],[Bank_Account]]</f>
        <v>US-RT-000062934-AC-0000289578</v>
      </c>
      <c r="G112" s="11" t="str">
        <f>RawTable[[#This Row],[Month]]</f>
        <v>Jan-2026</v>
      </c>
      <c r="H112" s="11" t="str">
        <f>RawTable[[#This Row],[Currency]]</f>
        <v>USD</v>
      </c>
      <c r="I112" s="4">
        <f>RawTable[[#This Row],[Net_Amount]]</f>
        <v>7259.18</v>
      </c>
      <c r="J112" s="2" t="str">
        <f>RawTable[[#This Row],[VAT_Applicable]]</f>
        <v>No</v>
      </c>
      <c r="K112" s="4">
        <f>RawTable[[#This Row],[VAT_Rate]]</f>
        <v>0</v>
      </c>
      <c r="L112" s="4">
        <f>RawTable[[#This Row],[VAT_Amount]]</f>
        <v>0</v>
      </c>
      <c r="M112" s="4">
        <f>RawTable[[#This Row],[Gross_Amount]]</f>
        <v>7259.18</v>
      </c>
      <c r="N112" s="4">
        <f>RawTable[[#This Row],[Exchange_Rate]]</f>
        <v>0.77017999999999998</v>
      </c>
      <c r="O112" s="4">
        <f>RawTable[[#This Row],[Amount_CHF]]</f>
        <v>5590.88</v>
      </c>
      <c r="P11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1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12" s="11" t="str">
        <f>IF(ValidationTable[[#This Row],[Currency]]="","Fail","Pass")</f>
        <v>Pass</v>
      </c>
      <c r="S112" s="11" t="str">
        <f>IF(
ValidationTable[[#This Row],[Currency]]="CHF",
IF(ValidationTable[[#This Row],[Exchange_Rate]]&lt;&gt;1,"Fail","Pass"),
IF(ValidationTable[[#This Row],[Exchange_Rate]]&lt;=0,"Fail","Pass")
)</f>
        <v>Pass</v>
      </c>
      <c r="T11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12" s="11" t="str">
        <f>IF(LEN(TRIM(ValidationTable[[#This Row],[Bank_Account]]))=0,"Fail","Pass")</f>
        <v>Pass</v>
      </c>
      <c r="V112" s="11" t="str">
        <f>IF(
COUNTIF(ValidationTable[Record_ID],ValidationTable[[#This Row],[Record_ID]])&gt;1,
"Fail",
"Pass"
)</f>
        <v>Pass</v>
      </c>
      <c r="W112" s="11" t="str">
        <f>IF(
COUNTIF(ValidationTable[[#This Row],[RequiredField_Validation]]:ValidationTable[[#This Row],[Duplicate_Validation]],"Fail")&gt;0,
"Fail",
"Pass"
)</f>
        <v>Pass</v>
      </c>
      <c r="X112" s="11" t="str">
        <f>IF(ValidationTable[[#This Row],[Validation_Result]]="Pass","Yes","No")</f>
        <v>Yes</v>
      </c>
    </row>
    <row r="113" spans="1:24">
      <c r="A113" s="11">
        <f>RawTable[[#This Row],[Record_ID]]</f>
        <v>112</v>
      </c>
      <c r="B113" s="11" t="str">
        <f>RawTable[[#This Row],[Payment_Type]]</f>
        <v>Payroll</v>
      </c>
      <c r="C113" s="11" t="str">
        <f>RawTable[[#This Row],[Entity_Type]]</f>
        <v>Employee</v>
      </c>
      <c r="D113" s="11" t="str">
        <f>RawTable[[#This Row],[Country]]</f>
        <v>Switzerland</v>
      </c>
      <c r="E113" s="11" t="str">
        <f>RawTable[[#This Row],[Name]]</f>
        <v>David Ali</v>
      </c>
      <c r="F113" s="11" t="str">
        <f>RawTable[[#This Row],[Bank_Account]]</f>
        <v>US-RT-000041956-AC-0000193052</v>
      </c>
      <c r="G113" s="11" t="str">
        <f>RawTable[[#This Row],[Month]]</f>
        <v>Feb-2026</v>
      </c>
      <c r="H113" s="11" t="str">
        <f>RawTable[[#This Row],[Currency]]</f>
        <v>CHF</v>
      </c>
      <c r="I113" s="4">
        <f>RawTable[[#This Row],[Net_Amount]]</f>
        <v>6942.55</v>
      </c>
      <c r="J113" s="2" t="str">
        <f>RawTable[[#This Row],[VAT_Applicable]]</f>
        <v>No</v>
      </c>
      <c r="K113" s="4">
        <f>RawTable[[#This Row],[VAT_Rate]]</f>
        <v>0</v>
      </c>
      <c r="L113" s="4">
        <f>RawTable[[#This Row],[VAT_Amount]]</f>
        <v>0</v>
      </c>
      <c r="M113" s="4">
        <f>RawTable[[#This Row],[Gross_Amount]]</f>
        <v>6942.55</v>
      </c>
      <c r="N113" s="4">
        <f>RawTable[[#This Row],[Exchange_Rate]]</f>
        <v>1</v>
      </c>
      <c r="O113" s="4">
        <f>RawTable[[#This Row],[Amount_CHF]]</f>
        <v>6942.55</v>
      </c>
      <c r="P11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1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13" s="11" t="str">
        <f>IF(ValidationTable[[#This Row],[Currency]]="","Fail","Pass")</f>
        <v>Pass</v>
      </c>
      <c r="S113" s="11" t="str">
        <f>IF(
ValidationTable[[#This Row],[Currency]]="CHF",
IF(ValidationTable[[#This Row],[Exchange_Rate]]&lt;&gt;1,"Fail","Pass"),
IF(ValidationTable[[#This Row],[Exchange_Rate]]&lt;=0,"Fail","Pass")
)</f>
        <v>Pass</v>
      </c>
      <c r="T11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13" s="11" t="str">
        <f>IF(LEN(TRIM(ValidationTable[[#This Row],[Bank_Account]]))=0,"Fail","Pass")</f>
        <v>Pass</v>
      </c>
      <c r="V113" s="11" t="str">
        <f>IF(
COUNTIF(ValidationTable[Record_ID],ValidationTable[[#This Row],[Record_ID]])&gt;1,
"Fail",
"Pass"
)</f>
        <v>Pass</v>
      </c>
      <c r="W113" s="11" t="str">
        <f>IF(
COUNTIF(ValidationTable[[#This Row],[RequiredField_Validation]]:ValidationTable[[#This Row],[Duplicate_Validation]],"Fail")&gt;0,
"Fail",
"Pass"
)</f>
        <v>Pass</v>
      </c>
      <c r="X113" s="11" t="str">
        <f>IF(ValidationTable[[#This Row],[Validation_Result]]="Pass","Yes","No")</f>
        <v>Yes</v>
      </c>
    </row>
    <row r="114" spans="1:24">
      <c r="A114" s="11">
        <f>RawTable[[#This Row],[Record_ID]]</f>
        <v>113</v>
      </c>
      <c r="B114" s="11" t="str">
        <f>RawTable[[#This Row],[Payment_Type]]</f>
        <v>Payroll</v>
      </c>
      <c r="C114" s="11" t="str">
        <f>RawTable[[#This Row],[Entity_Type]]</f>
        <v>Employee</v>
      </c>
      <c r="D114" s="11" t="str">
        <f>RawTable[[#This Row],[Country]]</f>
        <v>USA</v>
      </c>
      <c r="E114" s="11" t="str">
        <f>RawTable[[#This Row],[Name]]</f>
        <v>Lina Müller</v>
      </c>
      <c r="F114" s="11" t="str">
        <f>RawTable[[#This Row],[Bank_Account]]</f>
        <v>US-RT-000076508-AC-0000352036</v>
      </c>
      <c r="G114" s="11" t="str">
        <f>RawTable[[#This Row],[Month]]</f>
        <v>Jan-2026</v>
      </c>
      <c r="H114" s="11" t="str">
        <f>RawTable[[#This Row],[Currency]]</f>
        <v>USD</v>
      </c>
      <c r="I114" s="4">
        <f>RawTable[[#This Row],[Net_Amount]]</f>
        <v>6349.7</v>
      </c>
      <c r="J114" s="2" t="str">
        <f>RawTable[[#This Row],[VAT_Applicable]]</f>
        <v>No</v>
      </c>
      <c r="K114" s="4">
        <f>RawTable[[#This Row],[VAT_Rate]]</f>
        <v>0</v>
      </c>
      <c r="L114" s="4">
        <f>RawTable[[#This Row],[VAT_Amount]]</f>
        <v>0</v>
      </c>
      <c r="M114" s="4">
        <f>RawTable[[#This Row],[Gross_Amount]]</f>
        <v>6349.7</v>
      </c>
      <c r="N114" s="4">
        <f>RawTable[[#This Row],[Exchange_Rate]]</f>
        <v>0.77017999999999998</v>
      </c>
      <c r="O114" s="4">
        <f>RawTable[[#This Row],[Amount_CHF]]</f>
        <v>4890.41</v>
      </c>
      <c r="P11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1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14" s="11" t="str">
        <f>IF(ValidationTable[[#This Row],[Currency]]="","Fail","Pass")</f>
        <v>Pass</v>
      </c>
      <c r="S114" s="11" t="str">
        <f>IF(
ValidationTable[[#This Row],[Currency]]="CHF",
IF(ValidationTable[[#This Row],[Exchange_Rate]]&lt;&gt;1,"Fail","Pass"),
IF(ValidationTable[[#This Row],[Exchange_Rate]]&lt;=0,"Fail","Pass")
)</f>
        <v>Pass</v>
      </c>
      <c r="T11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14" s="11" t="str">
        <f>IF(LEN(TRIM(ValidationTable[[#This Row],[Bank_Account]]))=0,"Fail","Pass")</f>
        <v>Pass</v>
      </c>
      <c r="V114" s="11" t="str">
        <f>IF(
COUNTIF(ValidationTable[Record_ID],ValidationTable[[#This Row],[Record_ID]])&gt;1,
"Fail",
"Pass"
)</f>
        <v>Pass</v>
      </c>
      <c r="W114" s="11" t="str">
        <f>IF(
COUNTIF(ValidationTable[[#This Row],[RequiredField_Validation]]:ValidationTable[[#This Row],[Duplicate_Validation]],"Fail")&gt;0,
"Fail",
"Pass"
)</f>
        <v>Pass</v>
      </c>
      <c r="X114" s="11" t="str">
        <f>IF(ValidationTable[[#This Row],[Validation_Result]]="Pass","Yes","No")</f>
        <v>Yes</v>
      </c>
    </row>
    <row r="115" spans="1:24">
      <c r="A115" s="11">
        <f>RawTable[[#This Row],[Record_ID]]</f>
        <v>114</v>
      </c>
      <c r="B115" s="11" t="str">
        <f>RawTable[[#This Row],[Payment_Type]]</f>
        <v>Payroll</v>
      </c>
      <c r="C115" s="11" t="str">
        <f>RawTable[[#This Row],[Entity_Type]]</f>
        <v>Employee</v>
      </c>
      <c r="D115" s="11" t="str">
        <f>RawTable[[#This Row],[Country]]</f>
        <v>USA</v>
      </c>
      <c r="E115" s="11" t="str">
        <f>RawTable[[#This Row],[Name]]</f>
        <v>Sara Haddad</v>
      </c>
      <c r="F115" s="11" t="str">
        <f>RawTable[[#This Row],[Bank_Account]]</f>
        <v>AE-IBAN-02172840</v>
      </c>
      <c r="G115" s="11" t="str">
        <f>RawTable[[#This Row],[Month]]</f>
        <v>Mar-2026</v>
      </c>
      <c r="H115" s="11" t="str">
        <f>RawTable[[#This Row],[Currency]]</f>
        <v>USD</v>
      </c>
      <c r="I115" s="4">
        <f>RawTable[[#This Row],[Net_Amount]]</f>
        <v>7502.6</v>
      </c>
      <c r="J115" s="2" t="str">
        <f>RawTable[[#This Row],[VAT_Applicable]]</f>
        <v>No</v>
      </c>
      <c r="K115" s="4">
        <f>RawTable[[#This Row],[VAT_Rate]]</f>
        <v>0</v>
      </c>
      <c r="L115" s="4">
        <f>RawTable[[#This Row],[VAT_Amount]]</f>
        <v>0</v>
      </c>
      <c r="M115" s="4">
        <f>RawTable[[#This Row],[Gross_Amount]]</f>
        <v>7502.6</v>
      </c>
      <c r="N115" s="4">
        <f>RawTable[[#This Row],[Exchange_Rate]]</f>
        <v>0.77017999999999998</v>
      </c>
      <c r="O115" s="4">
        <f>RawTable[[#This Row],[Amount_CHF]]</f>
        <v>5778.35</v>
      </c>
      <c r="P11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1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15" s="11" t="str">
        <f>IF(ValidationTable[[#This Row],[Currency]]="","Fail","Pass")</f>
        <v>Pass</v>
      </c>
      <c r="S115" s="11" t="str">
        <f>IF(
ValidationTable[[#This Row],[Currency]]="CHF",
IF(ValidationTable[[#This Row],[Exchange_Rate]]&lt;&gt;1,"Fail","Pass"),
IF(ValidationTable[[#This Row],[Exchange_Rate]]&lt;=0,"Fail","Pass")
)</f>
        <v>Pass</v>
      </c>
      <c r="T11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15" s="11" t="str">
        <f>IF(LEN(TRIM(ValidationTable[[#This Row],[Bank_Account]]))=0,"Fail","Pass")</f>
        <v>Pass</v>
      </c>
      <c r="V115" s="11" t="str">
        <f>IF(
COUNTIF(ValidationTable[Record_ID],ValidationTable[[#This Row],[Record_ID]])&gt;1,
"Fail",
"Pass"
)</f>
        <v>Pass</v>
      </c>
      <c r="W115" s="11" t="str">
        <f>IF(
COUNTIF(ValidationTable[[#This Row],[RequiredField_Validation]]:ValidationTable[[#This Row],[Duplicate_Validation]],"Fail")&gt;0,
"Fail",
"Pass"
)</f>
        <v>Pass</v>
      </c>
      <c r="X115" s="11" t="str">
        <f>IF(ValidationTable[[#This Row],[Validation_Result]]="Pass","Yes","No")</f>
        <v>Yes</v>
      </c>
    </row>
    <row r="116" spans="1:24">
      <c r="A116" s="11">
        <f>RawTable[[#This Row],[Record_ID]]</f>
        <v>115</v>
      </c>
      <c r="B116" s="11" t="str">
        <f>RawTable[[#This Row],[Payment_Type]]</f>
        <v>Payroll</v>
      </c>
      <c r="C116" s="11" t="str">
        <f>RawTable[[#This Row],[Entity_Type]]</f>
        <v>Employee</v>
      </c>
      <c r="D116" s="11" t="str">
        <f>RawTable[[#This Row],[Country]]</f>
        <v>Jordan</v>
      </c>
      <c r="E116" s="11" t="str">
        <f>RawTable[[#This Row],[Name]]</f>
        <v>Sara Taylor</v>
      </c>
      <c r="F116" s="11" t="str">
        <f>RawTable[[#This Row],[Bank_Account]]</f>
        <v>JO-IBAN-00777735</v>
      </c>
      <c r="G116" s="11" t="str">
        <f>RawTable[[#This Row],[Month]]</f>
        <v>Mar-2026</v>
      </c>
      <c r="H116" s="11" t="str">
        <f>RawTable[[#This Row],[Currency]]</f>
        <v>JOD</v>
      </c>
      <c r="I116" s="4">
        <f>RawTable[[#This Row],[Net_Amount]]</f>
        <v>1893.96</v>
      </c>
      <c r="J116" s="2" t="str">
        <f>RawTable[[#This Row],[VAT_Applicable]]</f>
        <v>No</v>
      </c>
      <c r="K116" s="4">
        <f>RawTable[[#This Row],[VAT_Rate]]</f>
        <v>0</v>
      </c>
      <c r="L116" s="4">
        <f>RawTable[[#This Row],[VAT_Amount]]</f>
        <v>0</v>
      </c>
      <c r="M116" s="4">
        <f>RawTable[[#This Row],[Gross_Amount]]</f>
        <v>1893.96</v>
      </c>
      <c r="N116" s="4">
        <f>RawTable[[#This Row],[Exchange_Rate]]</f>
        <v>1.08643</v>
      </c>
      <c r="O116" s="4">
        <f>RawTable[[#This Row],[Amount_CHF]]</f>
        <v>2057.65</v>
      </c>
      <c r="P11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1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16" s="11" t="str">
        <f>IF(ValidationTable[[#This Row],[Currency]]="","Fail","Pass")</f>
        <v>Pass</v>
      </c>
      <c r="S116" s="11" t="str">
        <f>IF(
ValidationTable[[#This Row],[Currency]]="CHF",
IF(ValidationTable[[#This Row],[Exchange_Rate]]&lt;&gt;1,"Fail","Pass"),
IF(ValidationTable[[#This Row],[Exchange_Rate]]&lt;=0,"Fail","Pass")
)</f>
        <v>Pass</v>
      </c>
      <c r="T11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16" s="11" t="str">
        <f>IF(LEN(TRIM(ValidationTable[[#This Row],[Bank_Account]]))=0,"Fail","Pass")</f>
        <v>Pass</v>
      </c>
      <c r="V116" s="11" t="str">
        <f>IF(
COUNTIF(ValidationTable[Record_ID],ValidationTable[[#This Row],[Record_ID]])&gt;1,
"Fail",
"Pass"
)</f>
        <v>Pass</v>
      </c>
      <c r="W116" s="11" t="str">
        <f>IF(
COUNTIF(ValidationTable[[#This Row],[RequiredField_Validation]]:ValidationTable[[#This Row],[Duplicate_Validation]],"Fail")&gt;0,
"Fail",
"Pass"
)</f>
        <v>Pass</v>
      </c>
      <c r="X116" s="11" t="str">
        <f>IF(ValidationTable[[#This Row],[Validation_Result]]="Pass","Yes","No")</f>
        <v>Yes</v>
      </c>
    </row>
    <row r="117" spans="1:24">
      <c r="A117" s="11">
        <f>RawTable[[#This Row],[Record_ID]]</f>
        <v>116</v>
      </c>
      <c r="B117" s="11" t="str">
        <f>RawTable[[#This Row],[Payment_Type]]</f>
        <v>Payroll</v>
      </c>
      <c r="C117" s="11" t="str">
        <f>RawTable[[#This Row],[Entity_Type]]</f>
        <v>Employee</v>
      </c>
      <c r="D117" s="11" t="str">
        <f>RawTable[[#This Row],[Country]]</f>
        <v>Jordan</v>
      </c>
      <c r="E117" s="11" t="str">
        <f>RawTable[[#This Row],[Name]]</f>
        <v>Anna Brown</v>
      </c>
      <c r="F117" s="11" t="str">
        <f>RawTable[[#This Row],[Bank_Account]]</f>
        <v>JO-IBAN-00790080</v>
      </c>
      <c r="G117" s="11" t="str">
        <f>RawTable[[#This Row],[Month]]</f>
        <v>Feb-2026</v>
      </c>
      <c r="H117" s="11" t="str">
        <f>RawTable[[#This Row],[Currency]]</f>
        <v>JOD</v>
      </c>
      <c r="I117" s="4">
        <f>RawTable[[#This Row],[Net_Amount]]</f>
        <v>1734.66</v>
      </c>
      <c r="J117" s="2" t="str">
        <f>RawTable[[#This Row],[VAT_Applicable]]</f>
        <v>No</v>
      </c>
      <c r="K117" s="4">
        <f>RawTable[[#This Row],[VAT_Rate]]</f>
        <v>0</v>
      </c>
      <c r="L117" s="4">
        <f>RawTable[[#This Row],[VAT_Amount]]</f>
        <v>0</v>
      </c>
      <c r="M117" s="4">
        <f>RawTable[[#This Row],[Gross_Amount]]</f>
        <v>1734.66</v>
      </c>
      <c r="N117" s="4">
        <f>RawTable[[#This Row],[Exchange_Rate]]</f>
        <v>1.08643</v>
      </c>
      <c r="O117" s="4">
        <f>RawTable[[#This Row],[Amount_CHF]]</f>
        <v>1884.59</v>
      </c>
      <c r="P11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1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17" s="11" t="str">
        <f>IF(ValidationTable[[#This Row],[Currency]]="","Fail","Pass")</f>
        <v>Pass</v>
      </c>
      <c r="S117" s="11" t="str">
        <f>IF(
ValidationTable[[#This Row],[Currency]]="CHF",
IF(ValidationTable[[#This Row],[Exchange_Rate]]&lt;&gt;1,"Fail","Pass"),
IF(ValidationTable[[#This Row],[Exchange_Rate]]&lt;=0,"Fail","Pass")
)</f>
        <v>Pass</v>
      </c>
      <c r="T11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17" s="11" t="str">
        <f>IF(LEN(TRIM(ValidationTable[[#This Row],[Bank_Account]]))=0,"Fail","Pass")</f>
        <v>Pass</v>
      </c>
      <c r="V117" s="11" t="str">
        <f>IF(
COUNTIF(ValidationTable[Record_ID],ValidationTable[[#This Row],[Record_ID]])&gt;1,
"Fail",
"Pass"
)</f>
        <v>Pass</v>
      </c>
      <c r="W117" s="11" t="str">
        <f>IF(
COUNTIF(ValidationTable[[#This Row],[RequiredField_Validation]]:ValidationTable[[#This Row],[Duplicate_Validation]],"Fail")&gt;0,
"Fail",
"Pass"
)</f>
        <v>Pass</v>
      </c>
      <c r="X117" s="11" t="str">
        <f>IF(ValidationTable[[#This Row],[Validation_Result]]="Pass","Yes","No")</f>
        <v>Yes</v>
      </c>
    </row>
    <row r="118" spans="1:24">
      <c r="A118" s="11">
        <f>RawTable[[#This Row],[Record_ID]]</f>
        <v>117</v>
      </c>
      <c r="B118" s="11" t="str">
        <f>RawTable[[#This Row],[Payment_Type]]</f>
        <v>Payroll</v>
      </c>
      <c r="C118" s="11" t="str">
        <f>RawTable[[#This Row],[Entity_Type]]</f>
        <v>Employee</v>
      </c>
      <c r="D118" s="11" t="str">
        <f>RawTable[[#This Row],[Country]]</f>
        <v>USA</v>
      </c>
      <c r="E118" s="11" t="str">
        <f>RawTable[[#This Row],[Name]]</f>
        <v>John Wilson</v>
      </c>
      <c r="F118" s="11" t="str">
        <f>RawTable[[#This Row],[Bank_Account]]</f>
        <v>US-RT-000071572-AC-0000329324</v>
      </c>
      <c r="G118" s="11" t="str">
        <f>RawTable[[#This Row],[Month]]</f>
        <v>Feb-2026</v>
      </c>
      <c r="H118" s="11" t="str">
        <f>RawTable[[#This Row],[Currency]]</f>
        <v>USD</v>
      </c>
      <c r="I118" s="4">
        <f>RawTable[[#This Row],[Net_Amount]]</f>
        <v>7590.27</v>
      </c>
      <c r="J118" s="2" t="str">
        <f>RawTable[[#This Row],[VAT_Applicable]]</f>
        <v>No</v>
      </c>
      <c r="K118" s="4">
        <f>RawTable[[#This Row],[VAT_Rate]]</f>
        <v>0</v>
      </c>
      <c r="L118" s="4">
        <f>RawTable[[#This Row],[VAT_Amount]]</f>
        <v>0</v>
      </c>
      <c r="M118" s="4">
        <f>RawTable[[#This Row],[Gross_Amount]]</f>
        <v>7590.27</v>
      </c>
      <c r="N118" s="4">
        <f>RawTable[[#This Row],[Exchange_Rate]]</f>
        <v>0.77017999999999998</v>
      </c>
      <c r="O118" s="4">
        <f>RawTable[[#This Row],[Amount_CHF]]</f>
        <v>5845.87</v>
      </c>
      <c r="P11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1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18" s="11" t="str">
        <f>IF(ValidationTable[[#This Row],[Currency]]="","Fail","Pass")</f>
        <v>Pass</v>
      </c>
      <c r="S118" s="11" t="str">
        <f>IF(
ValidationTable[[#This Row],[Currency]]="CHF",
IF(ValidationTable[[#This Row],[Exchange_Rate]]&lt;&gt;1,"Fail","Pass"),
IF(ValidationTable[[#This Row],[Exchange_Rate]]&lt;=0,"Fail","Pass")
)</f>
        <v>Pass</v>
      </c>
      <c r="T11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18" s="11" t="str">
        <f>IF(LEN(TRIM(ValidationTable[[#This Row],[Bank_Account]]))=0,"Fail","Pass")</f>
        <v>Pass</v>
      </c>
      <c r="V118" s="11" t="str">
        <f>IF(
COUNTIF(ValidationTable[Record_ID],ValidationTable[[#This Row],[Record_ID]])&gt;1,
"Fail",
"Pass"
)</f>
        <v>Pass</v>
      </c>
      <c r="W118" s="11" t="str">
        <f>IF(
COUNTIF(ValidationTable[[#This Row],[RequiredField_Validation]]:ValidationTable[[#This Row],[Duplicate_Validation]],"Fail")&gt;0,
"Fail",
"Pass"
)</f>
        <v>Pass</v>
      </c>
      <c r="X118" s="11" t="str">
        <f>IF(ValidationTable[[#This Row],[Validation_Result]]="Pass","Yes","No")</f>
        <v>Yes</v>
      </c>
    </row>
    <row r="119" spans="1:24">
      <c r="A119" s="11">
        <f>RawTable[[#This Row],[Record_ID]]</f>
        <v>118</v>
      </c>
      <c r="B119" s="11" t="str">
        <f>RawTable[[#This Row],[Payment_Type]]</f>
        <v>Payroll</v>
      </c>
      <c r="C119" s="11" t="str">
        <f>RawTable[[#This Row],[Entity_Type]]</f>
        <v>Employee</v>
      </c>
      <c r="D119" s="11" t="str">
        <f>RawTable[[#This Row],[Country]]</f>
        <v>USA</v>
      </c>
      <c r="E119" s="11" t="str">
        <f>RawTable[[#This Row],[Name]]</f>
        <v>Julia Brown</v>
      </c>
      <c r="F119" s="11" t="str">
        <f>RawTable[[#This Row],[Bank_Account]]</f>
        <v>CH930000000000518280</v>
      </c>
      <c r="G119" s="11" t="str">
        <f>RawTable[[#This Row],[Month]]</f>
        <v>Feb-2026</v>
      </c>
      <c r="H119" s="11" t="str">
        <f>RawTable[[#This Row],[Currency]]</f>
        <v>USD</v>
      </c>
      <c r="I119" s="4">
        <f>RawTable[[#This Row],[Net_Amount]]</f>
        <v>6994.4</v>
      </c>
      <c r="J119" s="2" t="str">
        <f>RawTable[[#This Row],[VAT_Applicable]]</f>
        <v>No</v>
      </c>
      <c r="K119" s="4">
        <f>RawTable[[#This Row],[VAT_Rate]]</f>
        <v>0</v>
      </c>
      <c r="L119" s="4">
        <f>RawTable[[#This Row],[VAT_Amount]]</f>
        <v>0</v>
      </c>
      <c r="M119" s="4">
        <f>RawTable[[#This Row],[Gross_Amount]]</f>
        <v>6994.4</v>
      </c>
      <c r="N119" s="4">
        <f>RawTable[[#This Row],[Exchange_Rate]]</f>
        <v>0.77017999999999998</v>
      </c>
      <c r="O119" s="4">
        <f>RawTable[[#This Row],[Amount_CHF]]</f>
        <v>5386.95</v>
      </c>
      <c r="P11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1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19" s="11" t="str">
        <f>IF(ValidationTable[[#This Row],[Currency]]="","Fail","Pass")</f>
        <v>Pass</v>
      </c>
      <c r="S119" s="11" t="str">
        <f>IF(
ValidationTable[[#This Row],[Currency]]="CHF",
IF(ValidationTable[[#This Row],[Exchange_Rate]]&lt;&gt;1,"Fail","Pass"),
IF(ValidationTable[[#This Row],[Exchange_Rate]]&lt;=0,"Fail","Pass")
)</f>
        <v>Pass</v>
      </c>
      <c r="T11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19" s="11" t="str">
        <f>IF(LEN(TRIM(ValidationTable[[#This Row],[Bank_Account]]))=0,"Fail","Pass")</f>
        <v>Pass</v>
      </c>
      <c r="V119" s="11" t="str">
        <f>IF(
COUNTIF(ValidationTable[Record_ID],ValidationTable[[#This Row],[Record_ID]])&gt;1,
"Fail",
"Pass"
)</f>
        <v>Pass</v>
      </c>
      <c r="W119" s="11" t="str">
        <f>IF(
COUNTIF(ValidationTable[[#This Row],[RequiredField_Validation]]:ValidationTable[[#This Row],[Duplicate_Validation]],"Fail")&gt;0,
"Fail",
"Pass"
)</f>
        <v>Pass</v>
      </c>
      <c r="X119" s="11" t="str">
        <f>IF(ValidationTable[[#This Row],[Validation_Result]]="Pass","Yes","No")</f>
        <v>Yes</v>
      </c>
    </row>
    <row r="120" spans="1:24">
      <c r="A120" s="11">
        <f>RawTable[[#This Row],[Record_ID]]</f>
        <v>119</v>
      </c>
      <c r="B120" s="11" t="str">
        <f>RawTable[[#This Row],[Payment_Type]]</f>
        <v>Payroll</v>
      </c>
      <c r="C120" s="11" t="str">
        <f>RawTable[[#This Row],[Entity_Type]]</f>
        <v>Employee</v>
      </c>
      <c r="D120" s="11" t="str">
        <f>RawTable[[#This Row],[Country]]</f>
        <v>UAE</v>
      </c>
      <c r="E120" s="11" t="str">
        <f>RawTable[[#This Row],[Name]]</f>
        <v>David Smith</v>
      </c>
      <c r="F120" s="11" t="str">
        <f>RawTable[[#This Row],[Bank_Account]]</f>
        <v>JO-IBAN-00148140</v>
      </c>
      <c r="G120" s="11" t="str">
        <f>RawTable[[#This Row],[Month]]</f>
        <v>Feb-2026</v>
      </c>
      <c r="H120" s="11" t="str">
        <f>RawTable[[#This Row],[Currency]]</f>
        <v>AED</v>
      </c>
      <c r="I120" s="4">
        <f>RawTable[[#This Row],[Net_Amount]]</f>
        <v>24098.799999999999</v>
      </c>
      <c r="J120" s="2" t="str">
        <f>RawTable[[#This Row],[VAT_Applicable]]</f>
        <v>No</v>
      </c>
      <c r="K120" s="4">
        <f>RawTable[[#This Row],[VAT_Rate]]</f>
        <v>0</v>
      </c>
      <c r="L120" s="4">
        <f>RawTable[[#This Row],[VAT_Amount]]</f>
        <v>0</v>
      </c>
      <c r="M120" s="4">
        <f>RawTable[[#This Row],[Gross_Amount]]</f>
        <v>24098.799999999999</v>
      </c>
      <c r="N120" s="4">
        <f>RawTable[[#This Row],[Exchange_Rate]]</f>
        <v>0.21065</v>
      </c>
      <c r="O120" s="4">
        <f>RawTable[[#This Row],[Amount_CHF]]</f>
        <v>5076.41</v>
      </c>
      <c r="P12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2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20" s="11" t="str">
        <f>IF(ValidationTable[[#This Row],[Currency]]="","Fail","Pass")</f>
        <v>Pass</v>
      </c>
      <c r="S120" s="11" t="str">
        <f>IF(
ValidationTable[[#This Row],[Currency]]="CHF",
IF(ValidationTable[[#This Row],[Exchange_Rate]]&lt;&gt;1,"Fail","Pass"),
IF(ValidationTable[[#This Row],[Exchange_Rate]]&lt;=0,"Fail","Pass")
)</f>
        <v>Pass</v>
      </c>
      <c r="T12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20" s="11" t="str">
        <f>IF(LEN(TRIM(ValidationTable[[#This Row],[Bank_Account]]))=0,"Fail","Pass")</f>
        <v>Pass</v>
      </c>
      <c r="V120" s="11" t="str">
        <f>IF(
COUNTIF(ValidationTable[Record_ID],ValidationTable[[#This Row],[Record_ID]])&gt;1,
"Fail",
"Pass"
)</f>
        <v>Pass</v>
      </c>
      <c r="W120" s="11" t="str">
        <f>IF(
COUNTIF(ValidationTable[[#This Row],[RequiredField_Validation]]:ValidationTable[[#This Row],[Duplicate_Validation]],"Fail")&gt;0,
"Fail",
"Pass"
)</f>
        <v>Pass</v>
      </c>
      <c r="X120" s="11" t="str">
        <f>IF(ValidationTable[[#This Row],[Validation_Result]]="Pass","Yes","No")</f>
        <v>Yes</v>
      </c>
    </row>
    <row r="121" spans="1:24">
      <c r="A121" s="11">
        <f>RawTable[[#This Row],[Record_ID]]</f>
        <v>120</v>
      </c>
      <c r="B121" s="11" t="str">
        <f>RawTable[[#This Row],[Payment_Type]]</f>
        <v>Payroll</v>
      </c>
      <c r="C121" s="11" t="str">
        <f>RawTable[[#This Row],[Entity_Type]]</f>
        <v>Employee</v>
      </c>
      <c r="D121" s="11" t="str">
        <f>RawTable[[#This Row],[Country]]</f>
        <v>Jordan</v>
      </c>
      <c r="E121" s="11" t="str">
        <f>RawTable[[#This Row],[Name]]</f>
        <v>Omar Haddad</v>
      </c>
      <c r="F121" s="11" t="str">
        <f>RawTable[[#This Row],[Bank_Account]]</f>
        <v>CH930000000000444240</v>
      </c>
      <c r="G121" s="11" t="str">
        <f>RawTable[[#This Row],[Month]]</f>
        <v>Feb-2026</v>
      </c>
      <c r="H121" s="11" t="str">
        <f>RawTable[[#This Row],[Currency]]</f>
        <v>JOD</v>
      </c>
      <c r="I121" s="4">
        <f>RawTable[[#This Row],[Net_Amount]]</f>
        <v>1934.46</v>
      </c>
      <c r="J121" s="2" t="str">
        <f>RawTable[[#This Row],[VAT_Applicable]]</f>
        <v>No</v>
      </c>
      <c r="K121" s="4">
        <f>RawTable[[#This Row],[VAT_Rate]]</f>
        <v>0</v>
      </c>
      <c r="L121" s="4">
        <f>RawTable[[#This Row],[VAT_Amount]]</f>
        <v>0</v>
      </c>
      <c r="M121" s="4">
        <f>RawTable[[#This Row],[Gross_Amount]]</f>
        <v>1934.46</v>
      </c>
      <c r="N121" s="4">
        <f>RawTable[[#This Row],[Exchange_Rate]]</f>
        <v>1.08643</v>
      </c>
      <c r="O121" s="4">
        <f>RawTable[[#This Row],[Amount_CHF]]</f>
        <v>2101.66</v>
      </c>
      <c r="P12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2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21" s="11" t="str">
        <f>IF(ValidationTable[[#This Row],[Currency]]="","Fail","Pass")</f>
        <v>Pass</v>
      </c>
      <c r="S121" s="11" t="str">
        <f>IF(
ValidationTable[[#This Row],[Currency]]="CHF",
IF(ValidationTable[[#This Row],[Exchange_Rate]]&lt;&gt;1,"Fail","Pass"),
IF(ValidationTable[[#This Row],[Exchange_Rate]]&lt;=0,"Fail","Pass")
)</f>
        <v>Pass</v>
      </c>
      <c r="T12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21" s="11" t="str">
        <f>IF(LEN(TRIM(ValidationTable[[#This Row],[Bank_Account]]))=0,"Fail","Pass")</f>
        <v>Pass</v>
      </c>
      <c r="V121" s="11" t="str">
        <f>IF(
COUNTIF(ValidationTable[Record_ID],ValidationTable[[#This Row],[Record_ID]])&gt;1,
"Fail",
"Pass"
)</f>
        <v>Pass</v>
      </c>
      <c r="W121" s="11" t="str">
        <f>IF(
COUNTIF(ValidationTable[[#This Row],[RequiredField_Validation]]:ValidationTable[[#This Row],[Duplicate_Validation]],"Fail")&gt;0,
"Fail",
"Pass"
)</f>
        <v>Pass</v>
      </c>
      <c r="X121" s="11" t="str">
        <f>IF(ValidationTable[[#This Row],[Validation_Result]]="Pass","Yes","No")</f>
        <v>Yes</v>
      </c>
    </row>
    <row r="122" spans="1:24">
      <c r="A122" s="11">
        <f>RawTable[[#This Row],[Record_ID]]</f>
        <v>121</v>
      </c>
      <c r="B122" s="11" t="str">
        <f>RawTable[[#This Row],[Payment_Type]]</f>
        <v>Payroll</v>
      </c>
      <c r="C122" s="11" t="str">
        <f>RawTable[[#This Row],[Entity_Type]]</f>
        <v>Employee</v>
      </c>
      <c r="D122" s="11" t="str">
        <f>RawTable[[#This Row],[Country]]</f>
        <v>UAE</v>
      </c>
      <c r="E122" s="11" t="str">
        <f>RawTable[[#This Row],[Name]]</f>
        <v>Anna Johnson</v>
      </c>
      <c r="F122" s="11" t="str">
        <f>RawTable[[#This Row],[Bank_Account]]</f>
        <v>AE-IBAN-03530865</v>
      </c>
      <c r="G122" s="11" t="str">
        <f>RawTable[[#This Row],[Month]]</f>
        <v>Jan-2026</v>
      </c>
      <c r="H122" s="11" t="str">
        <f>RawTable[[#This Row],[Currency]]</f>
        <v>AED</v>
      </c>
      <c r="I122" s="4">
        <f>RawTable[[#This Row],[Net_Amount]]</f>
        <v>24079</v>
      </c>
      <c r="J122" s="2" t="str">
        <f>RawTable[[#This Row],[VAT_Applicable]]</f>
        <v>No</v>
      </c>
      <c r="K122" s="4">
        <f>RawTable[[#This Row],[VAT_Rate]]</f>
        <v>0</v>
      </c>
      <c r="L122" s="4">
        <f>RawTable[[#This Row],[VAT_Amount]]</f>
        <v>0</v>
      </c>
      <c r="M122" s="4">
        <f>RawTable[[#This Row],[Gross_Amount]]</f>
        <v>24079</v>
      </c>
      <c r="N122" s="4">
        <f>RawTable[[#This Row],[Exchange_Rate]]</f>
        <v>0.21065</v>
      </c>
      <c r="O122" s="4">
        <f>RawTable[[#This Row],[Amount_CHF]]</f>
        <v>5072.24</v>
      </c>
      <c r="P12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2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22" s="11" t="str">
        <f>IF(ValidationTable[[#This Row],[Currency]]="","Fail","Pass")</f>
        <v>Pass</v>
      </c>
      <c r="S122" s="11" t="str">
        <f>IF(
ValidationTable[[#This Row],[Currency]]="CHF",
IF(ValidationTable[[#This Row],[Exchange_Rate]]&lt;&gt;1,"Fail","Pass"),
IF(ValidationTable[[#This Row],[Exchange_Rate]]&lt;=0,"Fail","Pass")
)</f>
        <v>Pass</v>
      </c>
      <c r="T12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22" s="11" t="str">
        <f>IF(LEN(TRIM(ValidationTable[[#This Row],[Bank_Account]]))=0,"Fail","Pass")</f>
        <v>Pass</v>
      </c>
      <c r="V122" s="11" t="str">
        <f>IF(
COUNTIF(ValidationTable[Record_ID],ValidationTable[[#This Row],[Record_ID]])&gt;1,
"Fail",
"Pass"
)</f>
        <v>Pass</v>
      </c>
      <c r="W122" s="11" t="str">
        <f>IF(
COUNTIF(ValidationTable[[#This Row],[RequiredField_Validation]]:ValidationTable[[#This Row],[Duplicate_Validation]],"Fail")&gt;0,
"Fail",
"Pass"
)</f>
        <v>Pass</v>
      </c>
      <c r="X122" s="11" t="str">
        <f>IF(ValidationTable[[#This Row],[Validation_Result]]="Pass","Yes","No")</f>
        <v>Yes</v>
      </c>
    </row>
    <row r="123" spans="1:24">
      <c r="A123" s="11">
        <f>RawTable[[#This Row],[Record_ID]]</f>
        <v>122</v>
      </c>
      <c r="B123" s="11" t="str">
        <f>RawTable[[#This Row],[Payment_Type]]</f>
        <v>Payroll</v>
      </c>
      <c r="C123" s="11" t="str">
        <f>RawTable[[#This Row],[Entity_Type]]</f>
        <v>Employee</v>
      </c>
      <c r="D123" s="11" t="str">
        <f>RawTable[[#This Row],[Country]]</f>
        <v>Switzerland</v>
      </c>
      <c r="E123" s="11" t="str">
        <f>RawTable[[#This Row],[Name]]</f>
        <v>Sara Müller</v>
      </c>
      <c r="F123" s="11" t="str">
        <f>RawTable[[#This Row],[Bank_Account]]</f>
        <v>AE-IBAN-02498766</v>
      </c>
      <c r="G123" s="11" t="str">
        <f>RawTable[[#This Row],[Month]]</f>
        <v>Feb-2026</v>
      </c>
      <c r="H123" s="11" t="str">
        <f>RawTable[[#This Row],[Currency]]</f>
        <v>CHF</v>
      </c>
      <c r="I123" s="4">
        <f>RawTable[[#This Row],[Net_Amount]]</f>
        <v>7033.65</v>
      </c>
      <c r="J123" s="2" t="str">
        <f>RawTable[[#This Row],[VAT_Applicable]]</f>
        <v>No</v>
      </c>
      <c r="K123" s="4">
        <f>RawTable[[#This Row],[VAT_Rate]]</f>
        <v>0</v>
      </c>
      <c r="L123" s="4">
        <f>RawTable[[#This Row],[VAT_Amount]]</f>
        <v>0</v>
      </c>
      <c r="M123" s="4">
        <f>RawTable[[#This Row],[Gross_Amount]]</f>
        <v>7033.65</v>
      </c>
      <c r="N123" s="4">
        <f>RawTable[[#This Row],[Exchange_Rate]]</f>
        <v>1</v>
      </c>
      <c r="O123" s="4">
        <f>RawTable[[#This Row],[Amount_CHF]]</f>
        <v>7033.65</v>
      </c>
      <c r="P12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2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23" s="11" t="str">
        <f>IF(ValidationTable[[#This Row],[Currency]]="","Fail","Pass")</f>
        <v>Pass</v>
      </c>
      <c r="S123" s="11" t="str">
        <f>IF(
ValidationTable[[#This Row],[Currency]]="CHF",
IF(ValidationTable[[#This Row],[Exchange_Rate]]&lt;&gt;1,"Fail","Pass"),
IF(ValidationTable[[#This Row],[Exchange_Rate]]&lt;=0,"Fail","Pass")
)</f>
        <v>Pass</v>
      </c>
      <c r="T12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23" s="11" t="str">
        <f>IF(LEN(TRIM(ValidationTable[[#This Row],[Bank_Account]]))=0,"Fail","Pass")</f>
        <v>Pass</v>
      </c>
      <c r="V123" s="11" t="str">
        <f>IF(
COUNTIF(ValidationTable[Record_ID],ValidationTable[[#This Row],[Record_ID]])&gt;1,
"Fail",
"Pass"
)</f>
        <v>Pass</v>
      </c>
      <c r="W123" s="11" t="str">
        <f>IF(
COUNTIF(ValidationTable[[#This Row],[RequiredField_Validation]]:ValidationTable[[#This Row],[Duplicate_Validation]],"Fail")&gt;0,
"Fail",
"Pass"
)</f>
        <v>Pass</v>
      </c>
      <c r="X123" s="11" t="str">
        <f>IF(ValidationTable[[#This Row],[Validation_Result]]="Pass","Yes","No")</f>
        <v>Yes</v>
      </c>
    </row>
    <row r="124" spans="1:24">
      <c r="A124" s="11">
        <f>RawTable[[#This Row],[Record_ID]]</f>
        <v>123</v>
      </c>
      <c r="B124" s="11" t="str">
        <f>RawTable[[#This Row],[Payment_Type]]</f>
        <v>Payroll</v>
      </c>
      <c r="C124" s="11" t="str">
        <f>RawTable[[#This Row],[Entity_Type]]</f>
        <v>Employee</v>
      </c>
      <c r="D124" s="11" t="str">
        <f>RawTable[[#This Row],[Country]]</f>
        <v>Jordan</v>
      </c>
      <c r="E124" s="11" t="str">
        <f>RawTable[[#This Row],[Name]]</f>
        <v>John Johnson</v>
      </c>
      <c r="F124" s="11" t="str">
        <f>RawTable[[#This Row],[Bank_Account]]</f>
        <v>DE890000000000746845</v>
      </c>
      <c r="G124" s="11" t="str">
        <f>RawTable[[#This Row],[Month]]</f>
        <v>Feb-2026</v>
      </c>
      <c r="H124" s="11" t="str">
        <f>RawTable[[#This Row],[Currency]]</f>
        <v>JOD</v>
      </c>
      <c r="I124" s="4">
        <f>RawTable[[#This Row],[Net_Amount]]</f>
        <v>1781.46</v>
      </c>
      <c r="J124" s="2" t="str">
        <f>RawTable[[#This Row],[VAT_Applicable]]</f>
        <v>No</v>
      </c>
      <c r="K124" s="4">
        <f>RawTable[[#This Row],[VAT_Rate]]</f>
        <v>0</v>
      </c>
      <c r="L124" s="4">
        <f>RawTable[[#This Row],[VAT_Amount]]</f>
        <v>0</v>
      </c>
      <c r="M124" s="4">
        <f>RawTable[[#This Row],[Gross_Amount]]</f>
        <v>1781.46</v>
      </c>
      <c r="N124" s="4">
        <f>RawTable[[#This Row],[Exchange_Rate]]</f>
        <v>1.08643</v>
      </c>
      <c r="O124" s="4">
        <f>RawTable[[#This Row],[Amount_CHF]]</f>
        <v>1935.43</v>
      </c>
      <c r="P12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2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24" s="11" t="str">
        <f>IF(ValidationTable[[#This Row],[Currency]]="","Fail","Pass")</f>
        <v>Pass</v>
      </c>
      <c r="S124" s="11" t="str">
        <f>IF(
ValidationTable[[#This Row],[Currency]]="CHF",
IF(ValidationTable[[#This Row],[Exchange_Rate]]&lt;&gt;1,"Fail","Pass"),
IF(ValidationTable[[#This Row],[Exchange_Rate]]&lt;=0,"Fail","Pass")
)</f>
        <v>Pass</v>
      </c>
      <c r="T12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24" s="11" t="str">
        <f>IF(LEN(TRIM(ValidationTable[[#This Row],[Bank_Account]]))=0,"Fail","Pass")</f>
        <v>Pass</v>
      </c>
      <c r="V124" s="11" t="str">
        <f>IF(
COUNTIF(ValidationTable[Record_ID],ValidationTable[[#This Row],[Record_ID]])&gt;1,
"Fail",
"Pass"
)</f>
        <v>Pass</v>
      </c>
      <c r="W124" s="11" t="str">
        <f>IF(
COUNTIF(ValidationTable[[#This Row],[RequiredField_Validation]]:ValidationTable[[#This Row],[Duplicate_Validation]],"Fail")&gt;0,
"Fail",
"Pass"
)</f>
        <v>Pass</v>
      </c>
      <c r="X124" s="11" t="str">
        <f>IF(ValidationTable[[#This Row],[Validation_Result]]="Pass","Yes","No")</f>
        <v>Yes</v>
      </c>
    </row>
    <row r="125" spans="1:24">
      <c r="A125" s="11">
        <f>RawTable[[#This Row],[Record_ID]]</f>
        <v>124</v>
      </c>
      <c r="B125" s="11" t="str">
        <f>RawTable[[#This Row],[Payment_Type]]</f>
        <v>Payroll</v>
      </c>
      <c r="C125" s="11" t="str">
        <f>RawTable[[#This Row],[Entity_Type]]</f>
        <v>Employee</v>
      </c>
      <c r="D125" s="11" t="str">
        <f>RawTable[[#This Row],[Country]]</f>
        <v>Switzerland</v>
      </c>
      <c r="E125" s="11" t="str">
        <f>RawTable[[#This Row],[Name]]</f>
        <v>Ahmed Schmidt</v>
      </c>
      <c r="F125" s="11" t="str">
        <f>RawTable[[#This Row],[Bank_Account]]</f>
        <v>US-RT-000003702-AC-0000017034</v>
      </c>
      <c r="G125" s="11" t="str">
        <f>RawTable[[#This Row],[Month]]</f>
        <v>Mar-2026</v>
      </c>
      <c r="H125" s="11" t="str">
        <f>RawTable[[#This Row],[Currency]]</f>
        <v>CHF</v>
      </c>
      <c r="I125" s="4">
        <f>RawTable[[#This Row],[Net_Amount]]</f>
        <v>6521.45</v>
      </c>
      <c r="J125" s="2" t="str">
        <f>RawTable[[#This Row],[VAT_Applicable]]</f>
        <v>No</v>
      </c>
      <c r="K125" s="4">
        <f>RawTable[[#This Row],[VAT_Rate]]</f>
        <v>0</v>
      </c>
      <c r="L125" s="4">
        <f>RawTable[[#This Row],[VAT_Amount]]</f>
        <v>0</v>
      </c>
      <c r="M125" s="4">
        <f>RawTable[[#This Row],[Gross_Amount]]</f>
        <v>6521.45</v>
      </c>
      <c r="N125" s="4">
        <f>RawTable[[#This Row],[Exchange_Rate]]</f>
        <v>1</v>
      </c>
      <c r="O125" s="4">
        <f>RawTable[[#This Row],[Amount_CHF]]</f>
        <v>6521.45</v>
      </c>
      <c r="P12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2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25" s="11" t="str">
        <f>IF(ValidationTable[[#This Row],[Currency]]="","Fail","Pass")</f>
        <v>Pass</v>
      </c>
      <c r="S125" s="11" t="str">
        <f>IF(
ValidationTable[[#This Row],[Currency]]="CHF",
IF(ValidationTable[[#This Row],[Exchange_Rate]]&lt;&gt;1,"Fail","Pass"),
IF(ValidationTable[[#This Row],[Exchange_Rate]]&lt;=0,"Fail","Pass")
)</f>
        <v>Pass</v>
      </c>
      <c r="T12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25" s="11" t="str">
        <f>IF(LEN(TRIM(ValidationTable[[#This Row],[Bank_Account]]))=0,"Fail","Pass")</f>
        <v>Pass</v>
      </c>
      <c r="V125" s="11" t="str">
        <f>IF(
COUNTIF(ValidationTable[Record_ID],ValidationTable[[#This Row],[Record_ID]])&gt;1,
"Fail",
"Pass"
)</f>
        <v>Pass</v>
      </c>
      <c r="W125" s="11" t="str">
        <f>IF(
COUNTIF(ValidationTable[[#This Row],[RequiredField_Validation]]:ValidationTable[[#This Row],[Duplicate_Validation]],"Fail")&gt;0,
"Fail",
"Pass"
)</f>
        <v>Pass</v>
      </c>
      <c r="X125" s="11" t="str">
        <f>IF(ValidationTable[[#This Row],[Validation_Result]]="Pass","Yes","No")</f>
        <v>Yes</v>
      </c>
    </row>
    <row r="126" spans="1:24">
      <c r="A126" s="11">
        <f>RawTable[[#This Row],[Record_ID]]</f>
        <v>125</v>
      </c>
      <c r="B126" s="11" t="str">
        <f>RawTable[[#This Row],[Payment_Type]]</f>
        <v>Payroll</v>
      </c>
      <c r="C126" s="11" t="str">
        <f>RawTable[[#This Row],[Entity_Type]]</f>
        <v>Employee</v>
      </c>
      <c r="D126" s="11" t="str">
        <f>RawTable[[#This Row],[Country]]</f>
        <v>Switzerland</v>
      </c>
      <c r="E126" s="11" t="str">
        <f>RawTable[[#This Row],[Name]]</f>
        <v>David Smith</v>
      </c>
      <c r="F126" s="11" t="str">
        <f>RawTable[[#This Row],[Bank_Account]]</f>
        <v>JO-IBAN-00148140</v>
      </c>
      <c r="G126" s="11" t="str">
        <f>RawTable[[#This Row],[Month]]</f>
        <v>Jan-2026</v>
      </c>
      <c r="H126" s="11" t="str">
        <f>RawTable[[#This Row],[Currency]]</f>
        <v>CHF</v>
      </c>
      <c r="I126" s="4">
        <f>RawTable[[#This Row],[Net_Amount]]</f>
        <v>7120.1</v>
      </c>
      <c r="J126" s="2" t="str">
        <f>RawTable[[#This Row],[VAT_Applicable]]</f>
        <v>No</v>
      </c>
      <c r="K126" s="4">
        <f>RawTable[[#This Row],[VAT_Rate]]</f>
        <v>0</v>
      </c>
      <c r="L126" s="4">
        <f>RawTable[[#This Row],[VAT_Amount]]</f>
        <v>0</v>
      </c>
      <c r="M126" s="4">
        <f>RawTable[[#This Row],[Gross_Amount]]</f>
        <v>7120.1</v>
      </c>
      <c r="N126" s="4">
        <f>RawTable[[#This Row],[Exchange_Rate]]</f>
        <v>1</v>
      </c>
      <c r="O126" s="4">
        <f>RawTable[[#This Row],[Amount_CHF]]</f>
        <v>7120.1</v>
      </c>
      <c r="P12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2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26" s="11" t="str">
        <f>IF(ValidationTable[[#This Row],[Currency]]="","Fail","Pass")</f>
        <v>Pass</v>
      </c>
      <c r="S126" s="11" t="str">
        <f>IF(
ValidationTable[[#This Row],[Currency]]="CHF",
IF(ValidationTable[[#This Row],[Exchange_Rate]]&lt;&gt;1,"Fail","Pass"),
IF(ValidationTable[[#This Row],[Exchange_Rate]]&lt;=0,"Fail","Pass")
)</f>
        <v>Pass</v>
      </c>
      <c r="T12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26" s="11" t="str">
        <f>IF(LEN(TRIM(ValidationTable[[#This Row],[Bank_Account]]))=0,"Fail","Pass")</f>
        <v>Pass</v>
      </c>
      <c r="V126" s="11" t="str">
        <f>IF(
COUNTIF(ValidationTable[Record_ID],ValidationTable[[#This Row],[Record_ID]])&gt;1,
"Fail",
"Pass"
)</f>
        <v>Pass</v>
      </c>
      <c r="W126" s="11" t="str">
        <f>IF(
COUNTIF(ValidationTable[[#This Row],[RequiredField_Validation]]:ValidationTable[[#This Row],[Duplicate_Validation]],"Fail")&gt;0,
"Fail",
"Pass"
)</f>
        <v>Pass</v>
      </c>
      <c r="X126" s="11" t="str">
        <f>IF(ValidationTable[[#This Row],[Validation_Result]]="Pass","Yes","No")</f>
        <v>Yes</v>
      </c>
    </row>
    <row r="127" spans="1:24">
      <c r="A127" s="11">
        <f>RawTable[[#This Row],[Record_ID]]</f>
        <v>126</v>
      </c>
      <c r="B127" s="11" t="str">
        <f>RawTable[[#This Row],[Payment_Type]]</f>
        <v>Payroll</v>
      </c>
      <c r="C127" s="11" t="str">
        <f>RawTable[[#This Row],[Entity_Type]]</f>
        <v>Employee</v>
      </c>
      <c r="D127" s="11" t="str">
        <f>RawTable[[#This Row],[Country]]</f>
        <v>Switzerland</v>
      </c>
      <c r="E127" s="11" t="str">
        <f>RawTable[[#This Row],[Name]]</f>
        <v>Laura Haddad</v>
      </c>
      <c r="F127" s="11" t="str">
        <f>RawTable[[#This Row],[Bank_Account]]</f>
        <v>CH930000000001628880</v>
      </c>
      <c r="G127" s="11" t="str">
        <f>RawTable[[#This Row],[Month]]</f>
        <v>Feb-2026</v>
      </c>
      <c r="H127" s="11" t="str">
        <f>RawTable[[#This Row],[Currency]]</f>
        <v>CHF</v>
      </c>
      <c r="I127" s="4">
        <f>RawTable[[#This Row],[Net_Amount]]</f>
        <v>6279</v>
      </c>
      <c r="J127" s="2" t="str">
        <f>RawTable[[#This Row],[VAT_Applicable]]</f>
        <v>No</v>
      </c>
      <c r="K127" s="4">
        <f>RawTable[[#This Row],[VAT_Rate]]</f>
        <v>0</v>
      </c>
      <c r="L127" s="4">
        <f>RawTable[[#This Row],[VAT_Amount]]</f>
        <v>0</v>
      </c>
      <c r="M127" s="4">
        <f>RawTable[[#This Row],[Gross_Amount]]</f>
        <v>6279</v>
      </c>
      <c r="N127" s="4">
        <f>RawTable[[#This Row],[Exchange_Rate]]</f>
        <v>1</v>
      </c>
      <c r="O127" s="4">
        <f>RawTable[[#This Row],[Amount_CHF]]</f>
        <v>6279</v>
      </c>
      <c r="P12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2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27" s="11" t="str">
        <f>IF(ValidationTable[[#This Row],[Currency]]="","Fail","Pass")</f>
        <v>Pass</v>
      </c>
      <c r="S127" s="11" t="str">
        <f>IF(
ValidationTable[[#This Row],[Currency]]="CHF",
IF(ValidationTable[[#This Row],[Exchange_Rate]]&lt;&gt;1,"Fail","Pass"),
IF(ValidationTable[[#This Row],[Exchange_Rate]]&lt;=0,"Fail","Pass")
)</f>
        <v>Pass</v>
      </c>
      <c r="T12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27" s="11" t="str">
        <f>IF(LEN(TRIM(ValidationTable[[#This Row],[Bank_Account]]))=0,"Fail","Pass")</f>
        <v>Pass</v>
      </c>
      <c r="V127" s="11" t="str">
        <f>IF(
COUNTIF(ValidationTable[Record_ID],ValidationTable[[#This Row],[Record_ID]])&gt;1,
"Fail",
"Pass"
)</f>
        <v>Pass</v>
      </c>
      <c r="W127" s="11" t="str">
        <f>IF(
COUNTIF(ValidationTable[[#This Row],[RequiredField_Validation]]:ValidationTable[[#This Row],[Duplicate_Validation]],"Fail")&gt;0,
"Fail",
"Pass"
)</f>
        <v>Pass</v>
      </c>
      <c r="X127" s="11" t="str">
        <f>IF(ValidationTable[[#This Row],[Validation_Result]]="Pass","Yes","No")</f>
        <v>Yes</v>
      </c>
    </row>
    <row r="128" spans="1:24">
      <c r="A128" s="11">
        <f>RawTable[[#This Row],[Record_ID]]</f>
        <v>127</v>
      </c>
      <c r="B128" s="11" t="str">
        <f>RawTable[[#This Row],[Payment_Type]]</f>
        <v>Payroll</v>
      </c>
      <c r="C128" s="11" t="str">
        <f>RawTable[[#This Row],[Entity_Type]]</f>
        <v>Employee</v>
      </c>
      <c r="D128" s="11" t="str">
        <f>RawTable[[#This Row],[Country]]</f>
        <v>Germany</v>
      </c>
      <c r="E128" s="11" t="str">
        <f>RawTable[[#This Row],[Name]]</f>
        <v>Omar Schmidt</v>
      </c>
      <c r="F128" s="11" t="str">
        <f>RawTable[[#This Row],[Bank_Account]]</f>
        <v>AE-IBAN-00869136</v>
      </c>
      <c r="G128" s="11" t="str">
        <f>RawTable[[#This Row],[Month]]</f>
        <v>Jan-2026</v>
      </c>
      <c r="H128" s="11" t="str">
        <f>RawTable[[#This Row],[Currency]]</f>
        <v>EUR</v>
      </c>
      <c r="I128" s="4">
        <f>RawTable[[#This Row],[Net_Amount]]</f>
        <v>6599.12</v>
      </c>
      <c r="J128" s="2" t="str">
        <f>RawTable[[#This Row],[VAT_Applicable]]</f>
        <v>No</v>
      </c>
      <c r="K128" s="4">
        <f>RawTable[[#This Row],[VAT_Rate]]</f>
        <v>0</v>
      </c>
      <c r="L128" s="4">
        <f>RawTable[[#This Row],[VAT_Amount]]</f>
        <v>0</v>
      </c>
      <c r="M128" s="4">
        <f>RawTable[[#This Row],[Gross_Amount]]</f>
        <v>6599.12</v>
      </c>
      <c r="N128" s="4">
        <f>RawTable[[#This Row],[Exchange_Rate]]</f>
        <v>0.90888000000000002</v>
      </c>
      <c r="O128" s="4">
        <f>RawTable[[#This Row],[Amount_CHF]]</f>
        <v>5997.81</v>
      </c>
      <c r="P12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2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28" s="11" t="str">
        <f>IF(ValidationTable[[#This Row],[Currency]]="","Fail","Pass")</f>
        <v>Pass</v>
      </c>
      <c r="S128" s="11" t="str">
        <f>IF(
ValidationTable[[#This Row],[Currency]]="CHF",
IF(ValidationTable[[#This Row],[Exchange_Rate]]&lt;&gt;1,"Fail","Pass"),
IF(ValidationTable[[#This Row],[Exchange_Rate]]&lt;=0,"Fail","Pass")
)</f>
        <v>Pass</v>
      </c>
      <c r="T12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28" s="11" t="str">
        <f>IF(LEN(TRIM(ValidationTable[[#This Row],[Bank_Account]]))=0,"Fail","Pass")</f>
        <v>Pass</v>
      </c>
      <c r="V128" s="11" t="str">
        <f>IF(
COUNTIF(ValidationTable[Record_ID],ValidationTable[[#This Row],[Record_ID]])&gt;1,
"Fail",
"Pass"
)</f>
        <v>Pass</v>
      </c>
      <c r="W128" s="11" t="str">
        <f>IF(
COUNTIF(ValidationTable[[#This Row],[RequiredField_Validation]]:ValidationTable[[#This Row],[Duplicate_Validation]],"Fail")&gt;0,
"Fail",
"Pass"
)</f>
        <v>Pass</v>
      </c>
      <c r="X128" s="11" t="str">
        <f>IF(ValidationTable[[#This Row],[Validation_Result]]="Pass","Yes","No")</f>
        <v>Yes</v>
      </c>
    </row>
    <row r="129" spans="1:24">
      <c r="A129" s="11">
        <f>RawTable[[#This Row],[Record_ID]]</f>
        <v>128</v>
      </c>
      <c r="B129" s="11" t="str">
        <f>RawTable[[#This Row],[Payment_Type]]</f>
        <v>Payroll</v>
      </c>
      <c r="C129" s="11" t="str">
        <f>RawTable[[#This Row],[Entity_Type]]</f>
        <v>Employee</v>
      </c>
      <c r="D129" s="11" t="str">
        <f>RawTable[[#This Row],[Country]]</f>
        <v>Jordan</v>
      </c>
      <c r="E129" s="11" t="str">
        <f>RawTable[[#This Row],[Name]]</f>
        <v>Anna Ali</v>
      </c>
      <c r="F129" s="11" t="str">
        <f>RawTable[[#This Row],[Bank_Account]]</f>
        <v>JO-IBAN-00827115</v>
      </c>
      <c r="G129" s="11" t="str">
        <f>RawTable[[#This Row],[Month]]</f>
        <v>Jan-2026</v>
      </c>
      <c r="H129" s="11" t="str">
        <f>RawTable[[#This Row],[Currency]]</f>
        <v>JOD</v>
      </c>
      <c r="I129" s="4">
        <f>RawTable[[#This Row],[Net_Amount]]</f>
        <v>1760.58</v>
      </c>
      <c r="J129" s="2" t="str">
        <f>RawTable[[#This Row],[VAT_Applicable]]</f>
        <v>No</v>
      </c>
      <c r="K129" s="4">
        <f>RawTable[[#This Row],[VAT_Rate]]</f>
        <v>0</v>
      </c>
      <c r="L129" s="4">
        <f>RawTable[[#This Row],[VAT_Amount]]</f>
        <v>0</v>
      </c>
      <c r="M129" s="4">
        <f>RawTable[[#This Row],[Gross_Amount]]</f>
        <v>1760.58</v>
      </c>
      <c r="N129" s="4">
        <f>RawTable[[#This Row],[Exchange_Rate]]</f>
        <v>1.08643</v>
      </c>
      <c r="O129" s="4">
        <f>RawTable[[#This Row],[Amount_CHF]]</f>
        <v>1912.75</v>
      </c>
      <c r="P12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2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29" s="11" t="str">
        <f>IF(ValidationTable[[#This Row],[Currency]]="","Fail","Pass")</f>
        <v>Pass</v>
      </c>
      <c r="S129" s="11" t="str">
        <f>IF(
ValidationTable[[#This Row],[Currency]]="CHF",
IF(ValidationTable[[#This Row],[Exchange_Rate]]&lt;&gt;1,"Fail","Pass"),
IF(ValidationTable[[#This Row],[Exchange_Rate]]&lt;=0,"Fail","Pass")
)</f>
        <v>Pass</v>
      </c>
      <c r="T12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29" s="11" t="str">
        <f>IF(LEN(TRIM(ValidationTable[[#This Row],[Bank_Account]]))=0,"Fail","Pass")</f>
        <v>Pass</v>
      </c>
      <c r="V129" s="11" t="str">
        <f>IF(
COUNTIF(ValidationTable[Record_ID],ValidationTable[[#This Row],[Record_ID]])&gt;1,
"Fail",
"Pass"
)</f>
        <v>Pass</v>
      </c>
      <c r="W129" s="11" t="str">
        <f>IF(
COUNTIF(ValidationTable[[#This Row],[RequiredField_Validation]]:ValidationTable[[#This Row],[Duplicate_Validation]],"Fail")&gt;0,
"Fail",
"Pass"
)</f>
        <v>Pass</v>
      </c>
      <c r="X129" s="11" t="str">
        <f>IF(ValidationTable[[#This Row],[Validation_Result]]="Pass","Yes","No")</f>
        <v>Yes</v>
      </c>
    </row>
    <row r="130" spans="1:24">
      <c r="A130" s="11">
        <f>RawTable[[#This Row],[Record_ID]]</f>
        <v>129</v>
      </c>
      <c r="B130" s="11" t="str">
        <f>RawTable[[#This Row],[Payment_Type]]</f>
        <v>Payroll</v>
      </c>
      <c r="C130" s="11" t="str">
        <f>RawTable[[#This Row],[Entity_Type]]</f>
        <v>Employee</v>
      </c>
      <c r="D130" s="11" t="str">
        <f>RawTable[[#This Row],[Country]]</f>
        <v>USA</v>
      </c>
      <c r="E130" s="11" t="str">
        <f>RawTable[[#This Row],[Name]]</f>
        <v>Ahmed Wilson</v>
      </c>
      <c r="F130" s="11" t="str">
        <f>RawTable[[#This Row],[Bank_Account]]</f>
        <v>US-RT-000083912-AC-0000386104</v>
      </c>
      <c r="G130" s="11" t="str">
        <f>RawTable[[#This Row],[Month]]</f>
        <v>Feb-2026</v>
      </c>
      <c r="H130" s="11" t="str">
        <f>RawTable[[#This Row],[Currency]]</f>
        <v>USD</v>
      </c>
      <c r="I130" s="4">
        <f>RawTable[[#This Row],[Net_Amount]]</f>
        <v>7618.8</v>
      </c>
      <c r="J130" s="2" t="str">
        <f>RawTable[[#This Row],[VAT_Applicable]]</f>
        <v>No</v>
      </c>
      <c r="K130" s="4">
        <f>RawTable[[#This Row],[VAT_Rate]]</f>
        <v>0</v>
      </c>
      <c r="L130" s="4">
        <f>RawTable[[#This Row],[VAT_Amount]]</f>
        <v>0</v>
      </c>
      <c r="M130" s="4">
        <f>RawTable[[#This Row],[Gross_Amount]]</f>
        <v>7618.8</v>
      </c>
      <c r="N130" s="4">
        <f>RawTable[[#This Row],[Exchange_Rate]]</f>
        <v>0.77017999999999998</v>
      </c>
      <c r="O130" s="4">
        <f>RawTable[[#This Row],[Amount_CHF]]</f>
        <v>5867.85</v>
      </c>
      <c r="P13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3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30" s="11" t="str">
        <f>IF(ValidationTable[[#This Row],[Currency]]="","Fail","Pass")</f>
        <v>Pass</v>
      </c>
      <c r="S130" s="11" t="str">
        <f>IF(
ValidationTable[[#This Row],[Currency]]="CHF",
IF(ValidationTable[[#This Row],[Exchange_Rate]]&lt;&gt;1,"Fail","Pass"),
IF(ValidationTable[[#This Row],[Exchange_Rate]]&lt;=0,"Fail","Pass")
)</f>
        <v>Pass</v>
      </c>
      <c r="T13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30" s="11" t="str">
        <f>IF(LEN(TRIM(ValidationTable[[#This Row],[Bank_Account]]))=0,"Fail","Pass")</f>
        <v>Pass</v>
      </c>
      <c r="V130" s="11" t="str">
        <f>IF(
COUNTIF(ValidationTable[Record_ID],ValidationTable[[#This Row],[Record_ID]])&gt;1,
"Fail",
"Pass"
)</f>
        <v>Pass</v>
      </c>
      <c r="W130" s="11" t="str">
        <f>IF(
COUNTIF(ValidationTable[[#This Row],[RequiredField_Validation]]:ValidationTable[[#This Row],[Duplicate_Validation]],"Fail")&gt;0,
"Fail",
"Pass"
)</f>
        <v>Pass</v>
      </c>
      <c r="X130" s="11" t="str">
        <f>IF(ValidationTable[[#This Row],[Validation_Result]]="Pass","Yes","No")</f>
        <v>Yes</v>
      </c>
    </row>
    <row r="131" spans="1:24">
      <c r="A131" s="11">
        <f>RawTable[[#This Row],[Record_ID]]</f>
        <v>130</v>
      </c>
      <c r="B131" s="11" t="str">
        <f>RawTable[[#This Row],[Payment_Type]]</f>
        <v>Payroll</v>
      </c>
      <c r="C131" s="11" t="str">
        <f>RawTable[[#This Row],[Entity_Type]]</f>
        <v>Employee</v>
      </c>
      <c r="D131" s="11" t="str">
        <f>RawTable[[#This Row],[Country]]</f>
        <v>Switzerland</v>
      </c>
      <c r="E131" s="11" t="str">
        <f>RawTable[[#This Row],[Name]]</f>
        <v>Omar Haddad</v>
      </c>
      <c r="F131" s="11" t="str">
        <f>RawTable[[#This Row],[Bank_Account]]</f>
        <v>CH930000000000444240</v>
      </c>
      <c r="G131" s="11" t="str">
        <f>RawTable[[#This Row],[Month]]</f>
        <v>Feb-2026</v>
      </c>
      <c r="H131" s="11" t="str">
        <f>RawTable[[#This Row],[Currency]]</f>
        <v>CHF</v>
      </c>
      <c r="I131" s="4">
        <f>RawTable[[#This Row],[Net_Amount]]</f>
        <v>7090.33</v>
      </c>
      <c r="J131" s="2" t="str">
        <f>RawTable[[#This Row],[VAT_Applicable]]</f>
        <v>No</v>
      </c>
      <c r="K131" s="4">
        <f>RawTable[[#This Row],[VAT_Rate]]</f>
        <v>0</v>
      </c>
      <c r="L131" s="4">
        <f>RawTable[[#This Row],[VAT_Amount]]</f>
        <v>0</v>
      </c>
      <c r="M131" s="4">
        <f>RawTable[[#This Row],[Gross_Amount]]</f>
        <v>7090.33</v>
      </c>
      <c r="N131" s="4">
        <f>RawTable[[#This Row],[Exchange_Rate]]</f>
        <v>1</v>
      </c>
      <c r="O131" s="4">
        <f>RawTable[[#This Row],[Amount_CHF]]</f>
        <v>7090.33</v>
      </c>
      <c r="P13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3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31" s="11" t="str">
        <f>IF(ValidationTable[[#This Row],[Currency]]="","Fail","Pass")</f>
        <v>Pass</v>
      </c>
      <c r="S131" s="11" t="str">
        <f>IF(
ValidationTable[[#This Row],[Currency]]="CHF",
IF(ValidationTable[[#This Row],[Exchange_Rate]]&lt;&gt;1,"Fail","Pass"),
IF(ValidationTable[[#This Row],[Exchange_Rate]]&lt;=0,"Fail","Pass")
)</f>
        <v>Pass</v>
      </c>
      <c r="T13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31" s="11" t="str">
        <f>IF(LEN(TRIM(ValidationTable[[#This Row],[Bank_Account]]))=0,"Fail","Pass")</f>
        <v>Pass</v>
      </c>
      <c r="V131" s="11" t="str">
        <f>IF(
COUNTIF(ValidationTable[Record_ID],ValidationTable[[#This Row],[Record_ID]])&gt;1,
"Fail",
"Pass"
)</f>
        <v>Pass</v>
      </c>
      <c r="W131" s="11" t="str">
        <f>IF(
COUNTIF(ValidationTable[[#This Row],[RequiredField_Validation]]:ValidationTable[[#This Row],[Duplicate_Validation]],"Fail")&gt;0,
"Fail",
"Pass"
)</f>
        <v>Pass</v>
      </c>
      <c r="X131" s="11" t="str">
        <f>IF(ValidationTable[[#This Row],[Validation_Result]]="Pass","Yes","No")</f>
        <v>Yes</v>
      </c>
    </row>
    <row r="132" spans="1:24">
      <c r="A132" s="11">
        <f>RawTable[[#This Row],[Record_ID]]</f>
        <v>131</v>
      </c>
      <c r="B132" s="11" t="str">
        <f>RawTable[[#This Row],[Payment_Type]]</f>
        <v>Payroll</v>
      </c>
      <c r="C132" s="11" t="str">
        <f>RawTable[[#This Row],[Entity_Type]]</f>
        <v>Employee</v>
      </c>
      <c r="D132" s="11" t="str">
        <f>RawTable[[#This Row],[Country]]</f>
        <v>USA</v>
      </c>
      <c r="E132" s="11" t="str">
        <f>RawTable[[#This Row],[Name]]</f>
        <v>John Müller</v>
      </c>
      <c r="F132" s="11" t="str">
        <f>RawTable[[#This Row],[Bank_Account]]</f>
        <v>CH930000000001382080</v>
      </c>
      <c r="G132" s="11" t="str">
        <f>RawTable[[#This Row],[Month]]</f>
        <v>Mar-2026</v>
      </c>
      <c r="H132" s="11" t="str">
        <f>RawTable[[#This Row],[Currency]]</f>
        <v>USD</v>
      </c>
      <c r="I132" s="4">
        <f>RawTable[[#This Row],[Net_Amount]]</f>
        <v>6871.25</v>
      </c>
      <c r="J132" s="2" t="str">
        <f>RawTable[[#This Row],[VAT_Applicable]]</f>
        <v>No</v>
      </c>
      <c r="K132" s="4">
        <f>RawTable[[#This Row],[VAT_Rate]]</f>
        <v>0</v>
      </c>
      <c r="L132" s="4">
        <f>RawTable[[#This Row],[VAT_Amount]]</f>
        <v>0</v>
      </c>
      <c r="M132" s="4">
        <f>RawTable[[#This Row],[Gross_Amount]]</f>
        <v>6871.25</v>
      </c>
      <c r="N132" s="4">
        <f>RawTable[[#This Row],[Exchange_Rate]]</f>
        <v>0.77017999999999998</v>
      </c>
      <c r="O132" s="4">
        <f>RawTable[[#This Row],[Amount_CHF]]</f>
        <v>5292.1</v>
      </c>
      <c r="P13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3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32" s="11" t="str">
        <f>IF(ValidationTable[[#This Row],[Currency]]="","Fail","Pass")</f>
        <v>Pass</v>
      </c>
      <c r="S132" s="11" t="str">
        <f>IF(
ValidationTable[[#This Row],[Currency]]="CHF",
IF(ValidationTable[[#This Row],[Exchange_Rate]]&lt;&gt;1,"Fail","Pass"),
IF(ValidationTable[[#This Row],[Exchange_Rate]]&lt;=0,"Fail","Pass")
)</f>
        <v>Pass</v>
      </c>
      <c r="T13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32" s="11" t="str">
        <f>IF(LEN(TRIM(ValidationTable[[#This Row],[Bank_Account]]))=0,"Fail","Pass")</f>
        <v>Pass</v>
      </c>
      <c r="V132" s="11" t="str">
        <f>IF(
COUNTIF(ValidationTable[Record_ID],ValidationTable[[#This Row],[Record_ID]])&gt;1,
"Fail",
"Pass"
)</f>
        <v>Pass</v>
      </c>
      <c r="W132" s="11" t="str">
        <f>IF(
COUNTIF(ValidationTable[[#This Row],[RequiredField_Validation]]:ValidationTable[[#This Row],[Duplicate_Validation]],"Fail")&gt;0,
"Fail",
"Pass"
)</f>
        <v>Pass</v>
      </c>
      <c r="X132" s="11" t="str">
        <f>IF(ValidationTable[[#This Row],[Validation_Result]]="Pass","Yes","No")</f>
        <v>Yes</v>
      </c>
    </row>
    <row r="133" spans="1:24" hidden="1">
      <c r="A133" s="11">
        <f>RawTable[[#This Row],[Record_ID]]</f>
        <v>132</v>
      </c>
      <c r="B133" s="11" t="str">
        <f>RawTable[[#This Row],[Payment_Type]]</f>
        <v>Payroll</v>
      </c>
      <c r="C133" s="11" t="str">
        <f>RawTable[[#This Row],[Entity_Type]]</f>
        <v>Employee</v>
      </c>
      <c r="D133" s="11" t="str">
        <f>RawTable[[#This Row],[Country]]</f>
        <v>USA</v>
      </c>
      <c r="E133" s="11" t="str">
        <f>RawTable[[#This Row],[Name]]</f>
        <v>John Taylor</v>
      </c>
      <c r="F133" s="11" t="str">
        <f>RawTable[[#This Row],[Bank_Account]]</f>
        <v>US-RT-000085146-AC-0000391782</v>
      </c>
      <c r="G133" s="11" t="str">
        <f>RawTable[[#This Row],[Month]]</f>
        <v>Jan-2026</v>
      </c>
      <c r="I133" s="4">
        <f>RawTable[[#This Row],[Net_Amount]]</f>
        <v>6836.9</v>
      </c>
      <c r="J133" s="2" t="str">
        <f>RawTable[[#This Row],[VAT_Applicable]]</f>
        <v>No</v>
      </c>
      <c r="K133" s="4">
        <f>RawTable[[#This Row],[VAT_Rate]]</f>
        <v>0</v>
      </c>
      <c r="L133" s="4">
        <f>RawTable[[#This Row],[VAT_Amount]]</f>
        <v>0</v>
      </c>
      <c r="M133" s="4">
        <f>RawTable[[#This Row],[Gross_Amount]]</f>
        <v>6836.9</v>
      </c>
      <c r="N133" s="4" t="str">
        <f>RawTable[[#This Row],[Exchange_Rate]]</f>
        <v/>
      </c>
      <c r="O133" s="4" t="str">
        <f>RawTable[[#This Row],[Amount_CHF]]</f>
        <v/>
      </c>
      <c r="P13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Fail</v>
      </c>
      <c r="Q13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33" s="11" t="str">
        <f>IF(ValidationTable[[#This Row],[Currency]]="","Fail","Pass")</f>
        <v>Fail</v>
      </c>
      <c r="S133" s="11" t="str">
        <f>IF(
ValidationTable[[#This Row],[Currency]]="CHF",
IF(ValidationTable[[#This Row],[Exchange_Rate]]&lt;&gt;1,"Fail","Pass"),
IF(ValidationTable[[#This Row],[Exchange_Rate]]&lt;=0,"Fail","Pass")
)</f>
        <v>Pass</v>
      </c>
      <c r="T13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33" s="11" t="str">
        <f>IF(LEN(TRIM(ValidationTable[[#This Row],[Bank_Account]]))=0,"Fail","Pass")</f>
        <v>Pass</v>
      </c>
      <c r="V133" s="11" t="str">
        <f>IF(
COUNTIF(ValidationTable[Record_ID],ValidationTable[[#This Row],[Record_ID]])&gt;1,
"Fail",
"Pass"
)</f>
        <v>Pass</v>
      </c>
      <c r="W133" s="11" t="str">
        <f>IF(
COUNTIF(ValidationTable[[#This Row],[RequiredField_Validation]]:ValidationTable[[#This Row],[Duplicate_Validation]],"Fail")&gt;0,
"Fail",
"Pass"
)</f>
        <v>Fail</v>
      </c>
      <c r="X133" s="11" t="str">
        <f>IF(ValidationTable[[#This Row],[Validation_Result]]="Pass","Yes","No")</f>
        <v>No</v>
      </c>
    </row>
    <row r="134" spans="1:24">
      <c r="A134" s="11">
        <f>RawTable[[#This Row],[Record_ID]]</f>
        <v>133</v>
      </c>
      <c r="B134" s="11" t="str">
        <f>RawTable[[#This Row],[Payment_Type]]</f>
        <v>Payroll</v>
      </c>
      <c r="C134" s="11" t="str">
        <f>RawTable[[#This Row],[Entity_Type]]</f>
        <v>Employee</v>
      </c>
      <c r="D134" s="11" t="str">
        <f>RawTable[[#This Row],[Country]]</f>
        <v>Jordan</v>
      </c>
      <c r="E134" s="11" t="str">
        <f>RawTable[[#This Row],[Name]]</f>
        <v>Michael Taylor</v>
      </c>
      <c r="F134" s="11" t="str">
        <f>RawTable[[#This Row],[Bank_Account]]</f>
        <v>US-RT-000024680-AC-0000113560</v>
      </c>
      <c r="G134" s="11" t="str">
        <f>RawTable[[#This Row],[Month]]</f>
        <v>Jan-2026</v>
      </c>
      <c r="H134" s="11" t="str">
        <f>RawTable[[#This Row],[Currency]]</f>
        <v>JOD</v>
      </c>
      <c r="I134" s="4">
        <f>RawTable[[#This Row],[Net_Amount]]</f>
        <v>1919.34</v>
      </c>
      <c r="J134" s="2" t="str">
        <f>RawTable[[#This Row],[VAT_Applicable]]</f>
        <v>No</v>
      </c>
      <c r="K134" s="4">
        <f>RawTable[[#This Row],[VAT_Rate]]</f>
        <v>0</v>
      </c>
      <c r="L134" s="4">
        <f>RawTable[[#This Row],[VAT_Amount]]</f>
        <v>0</v>
      </c>
      <c r="M134" s="4">
        <f>RawTable[[#This Row],[Gross_Amount]]</f>
        <v>1919.34</v>
      </c>
      <c r="N134" s="4">
        <f>RawTable[[#This Row],[Exchange_Rate]]</f>
        <v>1.08643</v>
      </c>
      <c r="O134" s="4">
        <f>RawTable[[#This Row],[Amount_CHF]]</f>
        <v>2085.23</v>
      </c>
      <c r="P13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3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34" s="11" t="str">
        <f>IF(ValidationTable[[#This Row],[Currency]]="","Fail","Pass")</f>
        <v>Pass</v>
      </c>
      <c r="S134" s="11" t="str">
        <f>IF(
ValidationTable[[#This Row],[Currency]]="CHF",
IF(ValidationTable[[#This Row],[Exchange_Rate]]&lt;&gt;1,"Fail","Pass"),
IF(ValidationTable[[#This Row],[Exchange_Rate]]&lt;=0,"Fail","Pass")
)</f>
        <v>Pass</v>
      </c>
      <c r="T13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34" s="11" t="str">
        <f>IF(LEN(TRIM(ValidationTable[[#This Row],[Bank_Account]]))=0,"Fail","Pass")</f>
        <v>Pass</v>
      </c>
      <c r="V134" s="11" t="str">
        <f>IF(
COUNTIF(ValidationTable[Record_ID],ValidationTable[[#This Row],[Record_ID]])&gt;1,
"Fail",
"Pass"
)</f>
        <v>Pass</v>
      </c>
      <c r="W134" s="11" t="str">
        <f>IF(
COUNTIF(ValidationTable[[#This Row],[RequiredField_Validation]]:ValidationTable[[#This Row],[Duplicate_Validation]],"Fail")&gt;0,
"Fail",
"Pass"
)</f>
        <v>Pass</v>
      </c>
      <c r="X134" s="11" t="str">
        <f>IF(ValidationTable[[#This Row],[Validation_Result]]="Pass","Yes","No")</f>
        <v>Yes</v>
      </c>
    </row>
    <row r="135" spans="1:24">
      <c r="A135" s="11">
        <f>RawTable[[#This Row],[Record_ID]]</f>
        <v>134</v>
      </c>
      <c r="B135" s="11" t="str">
        <f>RawTable[[#This Row],[Payment_Type]]</f>
        <v>Payroll</v>
      </c>
      <c r="C135" s="11" t="str">
        <f>RawTable[[#This Row],[Entity_Type]]</f>
        <v>Employee</v>
      </c>
      <c r="D135" s="11" t="str">
        <f>RawTable[[#This Row],[Country]]</f>
        <v>Jordan</v>
      </c>
      <c r="E135" s="11" t="str">
        <f>RawTable[[#This Row],[Name]]</f>
        <v>Omar Khan</v>
      </c>
      <c r="F135" s="11" t="str">
        <f>RawTable[[#This Row],[Bank_Account]]</f>
        <v>AE-IBAN-01738272</v>
      </c>
      <c r="G135" s="11" t="str">
        <f>RawTable[[#This Row],[Month]]</f>
        <v>Jan-2026</v>
      </c>
      <c r="H135" s="11" t="str">
        <f>RawTable[[#This Row],[Currency]]</f>
        <v>JOD</v>
      </c>
      <c r="I135" s="4">
        <f>RawTable[[#This Row],[Net_Amount]]</f>
        <v>1697.58</v>
      </c>
      <c r="J135" s="2" t="str">
        <f>RawTable[[#This Row],[VAT_Applicable]]</f>
        <v>No</v>
      </c>
      <c r="K135" s="4">
        <f>RawTable[[#This Row],[VAT_Rate]]</f>
        <v>0</v>
      </c>
      <c r="L135" s="4">
        <f>RawTable[[#This Row],[VAT_Amount]]</f>
        <v>0</v>
      </c>
      <c r="M135" s="4">
        <f>RawTable[[#This Row],[Gross_Amount]]</f>
        <v>1697.58</v>
      </c>
      <c r="N135" s="4">
        <f>RawTable[[#This Row],[Exchange_Rate]]</f>
        <v>1.08643</v>
      </c>
      <c r="O135" s="4">
        <f>RawTable[[#This Row],[Amount_CHF]]</f>
        <v>1844.3</v>
      </c>
      <c r="P13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3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35" s="11" t="str">
        <f>IF(ValidationTable[[#This Row],[Currency]]="","Fail","Pass")</f>
        <v>Pass</v>
      </c>
      <c r="S135" s="11" t="str">
        <f>IF(
ValidationTable[[#This Row],[Currency]]="CHF",
IF(ValidationTable[[#This Row],[Exchange_Rate]]&lt;&gt;1,"Fail","Pass"),
IF(ValidationTable[[#This Row],[Exchange_Rate]]&lt;=0,"Fail","Pass")
)</f>
        <v>Pass</v>
      </c>
      <c r="T13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35" s="11" t="str">
        <f>IF(LEN(TRIM(ValidationTable[[#This Row],[Bank_Account]]))=0,"Fail","Pass")</f>
        <v>Pass</v>
      </c>
      <c r="V135" s="11" t="str">
        <f>IF(
COUNTIF(ValidationTable[Record_ID],ValidationTable[[#This Row],[Record_ID]])&gt;1,
"Fail",
"Pass"
)</f>
        <v>Pass</v>
      </c>
      <c r="W135" s="11" t="str">
        <f>IF(
COUNTIF(ValidationTable[[#This Row],[RequiredField_Validation]]:ValidationTable[[#This Row],[Duplicate_Validation]],"Fail")&gt;0,
"Fail",
"Pass"
)</f>
        <v>Pass</v>
      </c>
      <c r="X135" s="11" t="str">
        <f>IF(ValidationTable[[#This Row],[Validation_Result]]="Pass","Yes","No")</f>
        <v>Yes</v>
      </c>
    </row>
    <row r="136" spans="1:24">
      <c r="A136" s="11">
        <f>RawTable[[#This Row],[Record_ID]]</f>
        <v>135</v>
      </c>
      <c r="B136" s="11" t="str">
        <f>RawTable[[#This Row],[Payment_Type]]</f>
        <v>Payroll</v>
      </c>
      <c r="C136" s="11" t="str">
        <f>RawTable[[#This Row],[Entity_Type]]</f>
        <v>Employee</v>
      </c>
      <c r="D136" s="11" t="str">
        <f>RawTable[[#This Row],[Country]]</f>
        <v>USA</v>
      </c>
      <c r="E136" s="11" t="str">
        <f>RawTable[[#This Row],[Name]]</f>
        <v>Michael Taylor</v>
      </c>
      <c r="F136" s="11" t="str">
        <f>RawTable[[#This Row],[Bank_Account]]</f>
        <v>US-RT-000024680-AC-0000113560</v>
      </c>
      <c r="G136" s="11" t="str">
        <f>RawTable[[#This Row],[Month]]</f>
        <v>Jan-2026</v>
      </c>
      <c r="H136" s="11" t="str">
        <f>RawTable[[#This Row],[Currency]]</f>
        <v>USD</v>
      </c>
      <c r="I136" s="4">
        <f>RawTable[[#This Row],[Net_Amount]]</f>
        <v>7689.7</v>
      </c>
      <c r="J136" s="2" t="str">
        <f>RawTable[[#This Row],[VAT_Applicable]]</f>
        <v>No</v>
      </c>
      <c r="K136" s="4">
        <f>RawTable[[#This Row],[VAT_Rate]]</f>
        <v>0</v>
      </c>
      <c r="L136" s="4">
        <f>RawTable[[#This Row],[VAT_Amount]]</f>
        <v>0</v>
      </c>
      <c r="M136" s="4">
        <f>RawTable[[#This Row],[Gross_Amount]]</f>
        <v>7689.7</v>
      </c>
      <c r="N136" s="4">
        <f>RawTable[[#This Row],[Exchange_Rate]]</f>
        <v>0.77017999999999998</v>
      </c>
      <c r="O136" s="4">
        <f>RawTable[[#This Row],[Amount_CHF]]</f>
        <v>5922.45</v>
      </c>
      <c r="P13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3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36" s="11" t="str">
        <f>IF(ValidationTable[[#This Row],[Currency]]="","Fail","Pass")</f>
        <v>Pass</v>
      </c>
      <c r="S136" s="11" t="str">
        <f>IF(
ValidationTable[[#This Row],[Currency]]="CHF",
IF(ValidationTable[[#This Row],[Exchange_Rate]]&lt;&gt;1,"Fail","Pass"),
IF(ValidationTable[[#This Row],[Exchange_Rate]]&lt;=0,"Fail","Pass")
)</f>
        <v>Pass</v>
      </c>
      <c r="T13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36" s="11" t="str">
        <f>IF(LEN(TRIM(ValidationTable[[#This Row],[Bank_Account]]))=0,"Fail","Pass")</f>
        <v>Pass</v>
      </c>
      <c r="V136" s="11" t="str">
        <f>IF(
COUNTIF(ValidationTable[Record_ID],ValidationTable[[#This Row],[Record_ID]])&gt;1,
"Fail",
"Pass"
)</f>
        <v>Pass</v>
      </c>
      <c r="W136" s="11" t="str">
        <f>IF(
COUNTIF(ValidationTable[[#This Row],[RequiredField_Validation]]:ValidationTable[[#This Row],[Duplicate_Validation]],"Fail")&gt;0,
"Fail",
"Pass"
)</f>
        <v>Pass</v>
      </c>
      <c r="X136" s="11" t="str">
        <f>IF(ValidationTable[[#This Row],[Validation_Result]]="Pass","Yes","No")</f>
        <v>Yes</v>
      </c>
    </row>
    <row r="137" spans="1:24">
      <c r="A137" s="11">
        <f>RawTable[[#This Row],[Record_ID]]</f>
        <v>136</v>
      </c>
      <c r="B137" s="11" t="str">
        <f>RawTable[[#This Row],[Payment_Type]]</f>
        <v>Payroll</v>
      </c>
      <c r="C137" s="11" t="str">
        <f>RawTable[[#This Row],[Entity_Type]]</f>
        <v>Employee</v>
      </c>
      <c r="D137" s="11" t="str">
        <f>RawTable[[#This Row],[Country]]</f>
        <v>Germany</v>
      </c>
      <c r="E137" s="11" t="str">
        <f>RawTable[[#This Row],[Name]]</f>
        <v>John Wilson</v>
      </c>
      <c r="F137" s="11" t="str">
        <f>RawTable[[#This Row],[Bank_Account]]</f>
        <v>US-RT-000071572-AC-0000329324</v>
      </c>
      <c r="G137" s="11" t="str">
        <f>RawTable[[#This Row],[Month]]</f>
        <v>Jan-2026</v>
      </c>
      <c r="H137" s="11" t="str">
        <f>RawTable[[#This Row],[Currency]]</f>
        <v>EUR</v>
      </c>
      <c r="I137" s="4">
        <f>RawTable[[#This Row],[Net_Amount]]</f>
        <v>6409.8</v>
      </c>
      <c r="J137" s="2" t="str">
        <f>RawTable[[#This Row],[VAT_Applicable]]</f>
        <v>No</v>
      </c>
      <c r="K137" s="4">
        <f>RawTable[[#This Row],[VAT_Rate]]</f>
        <v>0</v>
      </c>
      <c r="L137" s="4">
        <f>RawTable[[#This Row],[VAT_Amount]]</f>
        <v>0</v>
      </c>
      <c r="M137" s="4">
        <f>RawTable[[#This Row],[Gross_Amount]]</f>
        <v>6409.8</v>
      </c>
      <c r="N137" s="4">
        <f>RawTable[[#This Row],[Exchange_Rate]]</f>
        <v>0.90888000000000002</v>
      </c>
      <c r="O137" s="4">
        <f>RawTable[[#This Row],[Amount_CHF]]</f>
        <v>5825.74</v>
      </c>
      <c r="P13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3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37" s="11" t="str">
        <f>IF(ValidationTable[[#This Row],[Currency]]="","Fail","Pass")</f>
        <v>Pass</v>
      </c>
      <c r="S137" s="11" t="str">
        <f>IF(
ValidationTable[[#This Row],[Currency]]="CHF",
IF(ValidationTable[[#This Row],[Exchange_Rate]]&lt;&gt;1,"Fail","Pass"),
IF(ValidationTable[[#This Row],[Exchange_Rate]]&lt;=0,"Fail","Pass")
)</f>
        <v>Pass</v>
      </c>
      <c r="T13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37" s="11" t="str">
        <f>IF(LEN(TRIM(ValidationTable[[#This Row],[Bank_Account]]))=0,"Fail","Pass")</f>
        <v>Pass</v>
      </c>
      <c r="V137" s="11" t="str">
        <f>IF(
COUNTIF(ValidationTable[Record_ID],ValidationTable[[#This Row],[Record_ID]])&gt;1,
"Fail",
"Pass"
)</f>
        <v>Pass</v>
      </c>
      <c r="W137" s="11" t="str">
        <f>IF(
COUNTIF(ValidationTable[[#This Row],[RequiredField_Validation]]:ValidationTable[[#This Row],[Duplicate_Validation]],"Fail")&gt;0,
"Fail",
"Pass"
)</f>
        <v>Pass</v>
      </c>
      <c r="X137" s="11" t="str">
        <f>IF(ValidationTable[[#This Row],[Validation_Result]]="Pass","Yes","No")</f>
        <v>Yes</v>
      </c>
    </row>
    <row r="138" spans="1:24">
      <c r="A138" s="11">
        <f>RawTable[[#This Row],[Record_ID]]</f>
        <v>137</v>
      </c>
      <c r="B138" s="11" t="str">
        <f>RawTable[[#This Row],[Payment_Type]]</f>
        <v>Payroll</v>
      </c>
      <c r="C138" s="11" t="str">
        <f>RawTable[[#This Row],[Entity_Type]]</f>
        <v>Employee</v>
      </c>
      <c r="D138" s="11" t="str">
        <f>RawTable[[#This Row],[Country]]</f>
        <v>Germany</v>
      </c>
      <c r="E138" s="11" t="str">
        <f>RawTable[[#This Row],[Name]]</f>
        <v>Laura Khan</v>
      </c>
      <c r="F138" s="11" t="str">
        <f>RawTable[[#This Row],[Bank_Account]]</f>
        <v>US-RT-000066636-AC-0000306612</v>
      </c>
      <c r="G138" s="11" t="str">
        <f>RawTable[[#This Row],[Month]]</f>
        <v>Mar-2026</v>
      </c>
      <c r="H138" s="11" t="str">
        <f>RawTable[[#This Row],[Currency]]</f>
        <v>EUR</v>
      </c>
      <c r="I138" s="4">
        <f>RawTable[[#This Row],[Net_Amount]]</f>
        <v>6326.4</v>
      </c>
      <c r="J138" s="2" t="str">
        <f>RawTable[[#This Row],[VAT_Applicable]]</f>
        <v>No</v>
      </c>
      <c r="K138" s="4">
        <f>RawTable[[#This Row],[VAT_Rate]]</f>
        <v>0</v>
      </c>
      <c r="L138" s="4">
        <f>RawTable[[#This Row],[VAT_Amount]]</f>
        <v>0</v>
      </c>
      <c r="M138" s="4">
        <f>RawTable[[#This Row],[Gross_Amount]]</f>
        <v>6326.4</v>
      </c>
      <c r="N138" s="4">
        <f>RawTable[[#This Row],[Exchange_Rate]]</f>
        <v>0.90888000000000002</v>
      </c>
      <c r="O138" s="4">
        <f>RawTable[[#This Row],[Amount_CHF]]</f>
        <v>5749.94</v>
      </c>
      <c r="P13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3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38" s="11" t="str">
        <f>IF(ValidationTable[[#This Row],[Currency]]="","Fail","Pass")</f>
        <v>Pass</v>
      </c>
      <c r="S138" s="11" t="str">
        <f>IF(
ValidationTable[[#This Row],[Currency]]="CHF",
IF(ValidationTable[[#This Row],[Exchange_Rate]]&lt;&gt;1,"Fail","Pass"),
IF(ValidationTable[[#This Row],[Exchange_Rate]]&lt;=0,"Fail","Pass")
)</f>
        <v>Pass</v>
      </c>
      <c r="T13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38" s="11" t="str">
        <f>IF(LEN(TRIM(ValidationTable[[#This Row],[Bank_Account]]))=0,"Fail","Pass")</f>
        <v>Pass</v>
      </c>
      <c r="V138" s="11" t="str">
        <f>IF(
COUNTIF(ValidationTable[Record_ID],ValidationTable[[#This Row],[Record_ID]])&gt;1,
"Fail",
"Pass"
)</f>
        <v>Pass</v>
      </c>
      <c r="W138" s="11" t="str">
        <f>IF(
COUNTIF(ValidationTable[[#This Row],[RequiredField_Validation]]:ValidationTable[[#This Row],[Duplicate_Validation]],"Fail")&gt;0,
"Fail",
"Pass"
)</f>
        <v>Pass</v>
      </c>
      <c r="X138" s="11" t="str">
        <f>IF(ValidationTable[[#This Row],[Validation_Result]]="Pass","Yes","No")</f>
        <v>Yes</v>
      </c>
    </row>
    <row r="139" spans="1:24">
      <c r="A139" s="11">
        <f>RawTable[[#This Row],[Record_ID]]</f>
        <v>138</v>
      </c>
      <c r="B139" s="11" t="str">
        <f>RawTable[[#This Row],[Payment_Type]]</f>
        <v>Payroll</v>
      </c>
      <c r="C139" s="11" t="str">
        <f>RawTable[[#This Row],[Entity_Type]]</f>
        <v>Employee</v>
      </c>
      <c r="D139" s="11" t="str">
        <f>RawTable[[#This Row],[Country]]</f>
        <v>UAE</v>
      </c>
      <c r="E139" s="11" t="str">
        <f>RawTable[[#This Row],[Name]]</f>
        <v>Anna Khan</v>
      </c>
      <c r="F139" s="11" t="str">
        <f>RawTable[[#This Row],[Bank_Account]]</f>
        <v>DE890000000000081474</v>
      </c>
      <c r="G139" s="11" t="str">
        <f>RawTable[[#This Row],[Month]]</f>
        <v>Mar-2026</v>
      </c>
      <c r="H139" s="11" t="str">
        <f>RawTable[[#This Row],[Currency]]</f>
        <v>AED</v>
      </c>
      <c r="I139" s="4">
        <f>RawTable[[#This Row],[Net_Amount]]</f>
        <v>20002.400000000001</v>
      </c>
      <c r="J139" s="2" t="str">
        <f>RawTable[[#This Row],[VAT_Applicable]]</f>
        <v>No</v>
      </c>
      <c r="K139" s="4">
        <f>RawTable[[#This Row],[VAT_Rate]]</f>
        <v>0</v>
      </c>
      <c r="L139" s="4">
        <f>RawTable[[#This Row],[VAT_Amount]]</f>
        <v>0</v>
      </c>
      <c r="M139" s="4">
        <f>RawTable[[#This Row],[Gross_Amount]]</f>
        <v>20002.400000000001</v>
      </c>
      <c r="N139" s="4">
        <f>RawTable[[#This Row],[Exchange_Rate]]</f>
        <v>0.21065</v>
      </c>
      <c r="O139" s="4">
        <f>RawTable[[#This Row],[Amount_CHF]]</f>
        <v>4213.51</v>
      </c>
      <c r="P13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3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39" s="11" t="str">
        <f>IF(ValidationTable[[#This Row],[Currency]]="","Fail","Pass")</f>
        <v>Pass</v>
      </c>
      <c r="S139" s="11" t="str">
        <f>IF(
ValidationTable[[#This Row],[Currency]]="CHF",
IF(ValidationTable[[#This Row],[Exchange_Rate]]&lt;&gt;1,"Fail","Pass"),
IF(ValidationTable[[#This Row],[Exchange_Rate]]&lt;=0,"Fail","Pass")
)</f>
        <v>Pass</v>
      </c>
      <c r="T13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39" s="11" t="str">
        <f>IF(LEN(TRIM(ValidationTable[[#This Row],[Bank_Account]]))=0,"Fail","Pass")</f>
        <v>Pass</v>
      </c>
      <c r="V139" s="11" t="str">
        <f>IF(
COUNTIF(ValidationTable[Record_ID],ValidationTable[[#This Row],[Record_ID]])&gt;1,
"Fail",
"Pass"
)</f>
        <v>Pass</v>
      </c>
      <c r="W139" s="11" t="str">
        <f>IF(
COUNTIF(ValidationTable[[#This Row],[RequiredField_Validation]]:ValidationTable[[#This Row],[Duplicate_Validation]],"Fail")&gt;0,
"Fail",
"Pass"
)</f>
        <v>Pass</v>
      </c>
      <c r="X139" s="11" t="str">
        <f>IF(ValidationTable[[#This Row],[Validation_Result]]="Pass","Yes","No")</f>
        <v>Yes</v>
      </c>
    </row>
    <row r="140" spans="1:24">
      <c r="A140" s="11">
        <f>RawTable[[#This Row],[Record_ID]]</f>
        <v>139</v>
      </c>
      <c r="B140" s="11" t="str">
        <f>RawTable[[#This Row],[Payment_Type]]</f>
        <v>Payroll</v>
      </c>
      <c r="C140" s="11" t="str">
        <f>RawTable[[#This Row],[Entity_Type]]</f>
        <v>Employee</v>
      </c>
      <c r="D140" s="11" t="str">
        <f>RawTable[[#This Row],[Country]]</f>
        <v>Germany</v>
      </c>
      <c r="E140" s="11" t="str">
        <f>RawTable[[#This Row],[Name]]</f>
        <v>Sara Brown</v>
      </c>
      <c r="F140" s="11" t="str">
        <f>RawTable[[#This Row],[Bank_Account]]</f>
        <v>DE890000000000950530</v>
      </c>
      <c r="G140" s="11" t="str">
        <f>RawTable[[#This Row],[Month]]</f>
        <v>Jan-2026</v>
      </c>
      <c r="H140" s="11" t="str">
        <f>RawTable[[#This Row],[Currency]]</f>
        <v>EUR</v>
      </c>
      <c r="I140" s="4">
        <f>RawTable[[#This Row],[Net_Amount]]</f>
        <v>5796</v>
      </c>
      <c r="J140" s="2" t="str">
        <f>RawTable[[#This Row],[VAT_Applicable]]</f>
        <v>No</v>
      </c>
      <c r="K140" s="4">
        <f>RawTable[[#This Row],[VAT_Rate]]</f>
        <v>0</v>
      </c>
      <c r="L140" s="4">
        <f>RawTable[[#This Row],[VAT_Amount]]</f>
        <v>0</v>
      </c>
      <c r="M140" s="4">
        <f>RawTable[[#This Row],[Gross_Amount]]</f>
        <v>5796</v>
      </c>
      <c r="N140" s="4">
        <f>RawTable[[#This Row],[Exchange_Rate]]</f>
        <v>0.90888000000000002</v>
      </c>
      <c r="O140" s="4">
        <f>RawTable[[#This Row],[Amount_CHF]]</f>
        <v>5267.87</v>
      </c>
      <c r="P14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4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40" s="11" t="str">
        <f>IF(ValidationTable[[#This Row],[Currency]]="","Fail","Pass")</f>
        <v>Pass</v>
      </c>
      <c r="S140" s="11" t="str">
        <f>IF(
ValidationTable[[#This Row],[Currency]]="CHF",
IF(ValidationTable[[#This Row],[Exchange_Rate]]&lt;&gt;1,"Fail","Pass"),
IF(ValidationTable[[#This Row],[Exchange_Rate]]&lt;=0,"Fail","Pass")
)</f>
        <v>Pass</v>
      </c>
      <c r="T14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40" s="11" t="str">
        <f>IF(LEN(TRIM(ValidationTable[[#This Row],[Bank_Account]]))=0,"Fail","Pass")</f>
        <v>Pass</v>
      </c>
      <c r="V140" s="11" t="str">
        <f>IF(
COUNTIF(ValidationTable[Record_ID],ValidationTable[[#This Row],[Record_ID]])&gt;1,
"Fail",
"Pass"
)</f>
        <v>Pass</v>
      </c>
      <c r="W140" s="11" t="str">
        <f>IF(
COUNTIF(ValidationTable[[#This Row],[RequiredField_Validation]]:ValidationTable[[#This Row],[Duplicate_Validation]],"Fail")&gt;0,
"Fail",
"Pass"
)</f>
        <v>Pass</v>
      </c>
      <c r="X140" s="11" t="str">
        <f>IF(ValidationTable[[#This Row],[Validation_Result]]="Pass","Yes","No")</f>
        <v>Yes</v>
      </c>
    </row>
    <row r="141" spans="1:24">
      <c r="A141" s="11">
        <f>RawTable[[#This Row],[Record_ID]]</f>
        <v>140</v>
      </c>
      <c r="B141" s="11" t="str">
        <f>RawTable[[#This Row],[Payment_Type]]</f>
        <v>Payroll</v>
      </c>
      <c r="C141" s="11" t="str">
        <f>RawTable[[#This Row],[Entity_Type]]</f>
        <v>Employee</v>
      </c>
      <c r="D141" s="11" t="str">
        <f>RawTable[[#This Row],[Country]]</f>
        <v>Switzerland</v>
      </c>
      <c r="E141" s="11" t="str">
        <f>RawTable[[#This Row],[Name]]</f>
        <v>Laura Ali</v>
      </c>
      <c r="F141" s="11" t="str">
        <f>RawTable[[#This Row],[Bank_Account]]</f>
        <v>CH930000000001752280</v>
      </c>
      <c r="G141" s="11" t="str">
        <f>RawTable[[#This Row],[Month]]</f>
        <v>Feb-2026</v>
      </c>
      <c r="H141" s="11" t="str">
        <f>RawTable[[#This Row],[Currency]]</f>
        <v>CHF</v>
      </c>
      <c r="I141" s="4">
        <f>RawTable[[#This Row],[Net_Amount]]</f>
        <v>6481.8</v>
      </c>
      <c r="J141" s="2" t="str">
        <f>RawTable[[#This Row],[VAT_Applicable]]</f>
        <v>No</v>
      </c>
      <c r="K141" s="4">
        <f>RawTable[[#This Row],[VAT_Rate]]</f>
        <v>0</v>
      </c>
      <c r="L141" s="4">
        <f>RawTable[[#This Row],[VAT_Amount]]</f>
        <v>0</v>
      </c>
      <c r="M141" s="4">
        <f>RawTable[[#This Row],[Gross_Amount]]</f>
        <v>6481.8</v>
      </c>
      <c r="N141" s="4">
        <f>RawTable[[#This Row],[Exchange_Rate]]</f>
        <v>1</v>
      </c>
      <c r="O141" s="4">
        <f>RawTable[[#This Row],[Amount_CHF]]</f>
        <v>6481.8</v>
      </c>
      <c r="P14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4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41" s="11" t="str">
        <f>IF(ValidationTable[[#This Row],[Currency]]="","Fail","Pass")</f>
        <v>Pass</v>
      </c>
      <c r="S141" s="11" t="str">
        <f>IF(
ValidationTable[[#This Row],[Currency]]="CHF",
IF(ValidationTable[[#This Row],[Exchange_Rate]]&lt;&gt;1,"Fail","Pass"),
IF(ValidationTable[[#This Row],[Exchange_Rate]]&lt;=0,"Fail","Pass")
)</f>
        <v>Pass</v>
      </c>
      <c r="T14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41" s="11" t="str">
        <f>IF(LEN(TRIM(ValidationTable[[#This Row],[Bank_Account]]))=0,"Fail","Pass")</f>
        <v>Pass</v>
      </c>
      <c r="V141" s="11" t="str">
        <f>IF(
COUNTIF(ValidationTable[Record_ID],ValidationTable[[#This Row],[Record_ID]])&gt;1,
"Fail",
"Pass"
)</f>
        <v>Pass</v>
      </c>
      <c r="W141" s="11" t="str">
        <f>IF(
COUNTIF(ValidationTable[[#This Row],[RequiredField_Validation]]:ValidationTable[[#This Row],[Duplicate_Validation]],"Fail")&gt;0,
"Fail",
"Pass"
)</f>
        <v>Pass</v>
      </c>
      <c r="X141" s="11" t="str">
        <f>IF(ValidationTable[[#This Row],[Validation_Result]]="Pass","Yes","No")</f>
        <v>Yes</v>
      </c>
    </row>
    <row r="142" spans="1:24">
      <c r="A142" s="11">
        <f>RawTable[[#This Row],[Record_ID]]</f>
        <v>141</v>
      </c>
      <c r="B142" s="11" t="str">
        <f>RawTable[[#This Row],[Payment_Type]]</f>
        <v>Payroll</v>
      </c>
      <c r="C142" s="11" t="str">
        <f>RawTable[[#This Row],[Entity_Type]]</f>
        <v>Employee</v>
      </c>
      <c r="D142" s="11" t="str">
        <f>RawTable[[#This Row],[Country]]</f>
        <v>Germany</v>
      </c>
      <c r="E142" s="11" t="str">
        <f>RawTable[[#This Row],[Name]]</f>
        <v>Laura Taylor</v>
      </c>
      <c r="F142" s="11" t="str">
        <f>RawTable[[#This Row],[Bank_Account]]</f>
        <v>DE890000000000977688</v>
      </c>
      <c r="G142" s="11" t="str">
        <f>RawTable[[#This Row],[Month]]</f>
        <v>Feb-2026</v>
      </c>
      <c r="H142" s="11" t="str">
        <f>RawTable[[#This Row],[Currency]]</f>
        <v>EUR</v>
      </c>
      <c r="I142" s="4">
        <f>RawTable[[#This Row],[Net_Amount]]</f>
        <v>5851.2</v>
      </c>
      <c r="J142" s="2" t="str">
        <f>RawTable[[#This Row],[VAT_Applicable]]</f>
        <v>No</v>
      </c>
      <c r="K142" s="4">
        <f>RawTable[[#This Row],[VAT_Rate]]</f>
        <v>0</v>
      </c>
      <c r="L142" s="4">
        <f>RawTable[[#This Row],[VAT_Amount]]</f>
        <v>0</v>
      </c>
      <c r="M142" s="4">
        <f>RawTable[[#This Row],[Gross_Amount]]</f>
        <v>5851.2</v>
      </c>
      <c r="N142" s="4">
        <f>RawTable[[#This Row],[Exchange_Rate]]</f>
        <v>0.90888000000000002</v>
      </c>
      <c r="O142" s="4">
        <f>RawTable[[#This Row],[Amount_CHF]]</f>
        <v>5318.04</v>
      </c>
      <c r="P14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4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42" s="11" t="str">
        <f>IF(ValidationTable[[#This Row],[Currency]]="","Fail","Pass")</f>
        <v>Pass</v>
      </c>
      <c r="S142" s="11" t="str">
        <f>IF(
ValidationTable[[#This Row],[Currency]]="CHF",
IF(ValidationTable[[#This Row],[Exchange_Rate]]&lt;&gt;1,"Fail","Pass"),
IF(ValidationTable[[#This Row],[Exchange_Rate]]&lt;=0,"Fail","Pass")
)</f>
        <v>Pass</v>
      </c>
      <c r="T14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42" s="11" t="str">
        <f>IF(LEN(TRIM(ValidationTable[[#This Row],[Bank_Account]]))=0,"Fail","Pass")</f>
        <v>Pass</v>
      </c>
      <c r="V142" s="11" t="str">
        <f>IF(
COUNTIF(ValidationTable[Record_ID],ValidationTable[[#This Row],[Record_ID]])&gt;1,
"Fail",
"Pass"
)</f>
        <v>Pass</v>
      </c>
      <c r="W142" s="11" t="str">
        <f>IF(
COUNTIF(ValidationTable[[#This Row],[RequiredField_Validation]]:ValidationTable[[#This Row],[Duplicate_Validation]],"Fail")&gt;0,
"Fail",
"Pass"
)</f>
        <v>Pass</v>
      </c>
      <c r="X142" s="11" t="str">
        <f>IF(ValidationTable[[#This Row],[Validation_Result]]="Pass","Yes","No")</f>
        <v>Yes</v>
      </c>
    </row>
    <row r="143" spans="1:24">
      <c r="A143" s="11">
        <f>RawTable[[#This Row],[Record_ID]]</f>
        <v>142</v>
      </c>
      <c r="B143" s="11" t="str">
        <f>RawTable[[#This Row],[Payment_Type]]</f>
        <v>Payroll</v>
      </c>
      <c r="C143" s="11" t="str">
        <f>RawTable[[#This Row],[Entity_Type]]</f>
        <v>Employee</v>
      </c>
      <c r="D143" s="11" t="str">
        <f>RawTable[[#This Row],[Country]]</f>
        <v>Switzerland</v>
      </c>
      <c r="E143" s="11" t="str">
        <f>RawTable[[#This Row],[Name]]</f>
        <v>Laura Khan</v>
      </c>
      <c r="F143" s="11" t="str">
        <f>RawTable[[#This Row],[Bank_Account]]</f>
        <v>US-RT-000066636-AC-0000306612</v>
      </c>
      <c r="G143" s="11" t="str">
        <f>RawTable[[#This Row],[Month]]</f>
        <v>Jan-2026</v>
      </c>
      <c r="H143" s="11" t="str">
        <f>RawTable[[#This Row],[Currency]]</f>
        <v>CHF</v>
      </c>
      <c r="I143" s="4">
        <f>RawTable[[#This Row],[Net_Amount]]</f>
        <v>6956.4</v>
      </c>
      <c r="J143" s="2" t="str">
        <f>RawTable[[#This Row],[VAT_Applicable]]</f>
        <v>No</v>
      </c>
      <c r="K143" s="4">
        <f>RawTable[[#This Row],[VAT_Rate]]</f>
        <v>0</v>
      </c>
      <c r="L143" s="4">
        <f>RawTable[[#This Row],[VAT_Amount]]</f>
        <v>0</v>
      </c>
      <c r="M143" s="4">
        <f>RawTable[[#This Row],[Gross_Amount]]</f>
        <v>6956.4</v>
      </c>
      <c r="N143" s="4">
        <f>RawTable[[#This Row],[Exchange_Rate]]</f>
        <v>1</v>
      </c>
      <c r="O143" s="4">
        <f>RawTable[[#This Row],[Amount_CHF]]</f>
        <v>6956.4</v>
      </c>
      <c r="P14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4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43" s="11" t="str">
        <f>IF(ValidationTable[[#This Row],[Currency]]="","Fail","Pass")</f>
        <v>Pass</v>
      </c>
      <c r="S143" s="11" t="str">
        <f>IF(
ValidationTable[[#This Row],[Currency]]="CHF",
IF(ValidationTable[[#This Row],[Exchange_Rate]]&lt;&gt;1,"Fail","Pass"),
IF(ValidationTable[[#This Row],[Exchange_Rate]]&lt;=0,"Fail","Pass")
)</f>
        <v>Pass</v>
      </c>
      <c r="T14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43" s="11" t="str">
        <f>IF(LEN(TRIM(ValidationTable[[#This Row],[Bank_Account]]))=0,"Fail","Pass")</f>
        <v>Pass</v>
      </c>
      <c r="V143" s="11" t="str">
        <f>IF(
COUNTIF(ValidationTable[Record_ID],ValidationTable[[#This Row],[Record_ID]])&gt;1,
"Fail",
"Pass"
)</f>
        <v>Pass</v>
      </c>
      <c r="W143" s="11" t="str">
        <f>IF(
COUNTIF(ValidationTable[[#This Row],[RequiredField_Validation]]:ValidationTable[[#This Row],[Duplicate_Validation]],"Fail")&gt;0,
"Fail",
"Pass"
)</f>
        <v>Pass</v>
      </c>
      <c r="X143" s="11" t="str">
        <f>IF(ValidationTable[[#This Row],[Validation_Result]]="Pass","Yes","No")</f>
        <v>Yes</v>
      </c>
    </row>
    <row r="144" spans="1:24">
      <c r="A144" s="11">
        <f>RawTable[[#This Row],[Record_ID]]</f>
        <v>143</v>
      </c>
      <c r="B144" s="11" t="str">
        <f>RawTable[[#This Row],[Payment_Type]]</f>
        <v>Payroll</v>
      </c>
      <c r="C144" s="11" t="str">
        <f>RawTable[[#This Row],[Entity_Type]]</f>
        <v>Employee</v>
      </c>
      <c r="D144" s="11" t="str">
        <f>RawTable[[#This Row],[Country]]</f>
        <v>USA</v>
      </c>
      <c r="E144" s="11" t="str">
        <f>RawTable[[#This Row],[Name]]</f>
        <v>Julia Schmidt</v>
      </c>
      <c r="F144" s="11" t="str">
        <f>RawTable[[#This Row],[Bank_Account]]</f>
        <v>US-RT-000090082-AC-0000414494</v>
      </c>
      <c r="G144" s="11" t="str">
        <f>RawTable[[#This Row],[Month]]</f>
        <v>Jan-2026</v>
      </c>
      <c r="H144" s="11" t="str">
        <f>RawTable[[#This Row],[Currency]]</f>
        <v>USD</v>
      </c>
      <c r="I144" s="4">
        <f>RawTable[[#This Row],[Net_Amount]]</f>
        <v>6719.3</v>
      </c>
      <c r="J144" s="2" t="str">
        <f>RawTable[[#This Row],[VAT_Applicable]]</f>
        <v>No</v>
      </c>
      <c r="K144" s="4">
        <f>RawTable[[#This Row],[VAT_Rate]]</f>
        <v>0</v>
      </c>
      <c r="L144" s="4">
        <f>RawTable[[#This Row],[VAT_Amount]]</f>
        <v>0</v>
      </c>
      <c r="M144" s="4">
        <f>RawTable[[#This Row],[Gross_Amount]]</f>
        <v>6719.3</v>
      </c>
      <c r="N144" s="4">
        <f>RawTable[[#This Row],[Exchange_Rate]]</f>
        <v>0.77017999999999998</v>
      </c>
      <c r="O144" s="4">
        <f>RawTable[[#This Row],[Amount_CHF]]</f>
        <v>5175.07</v>
      </c>
      <c r="P14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4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44" s="11" t="str">
        <f>IF(ValidationTable[[#This Row],[Currency]]="","Fail","Pass")</f>
        <v>Pass</v>
      </c>
      <c r="S144" s="11" t="str">
        <f>IF(
ValidationTable[[#This Row],[Currency]]="CHF",
IF(ValidationTable[[#This Row],[Exchange_Rate]]&lt;&gt;1,"Fail","Pass"),
IF(ValidationTable[[#This Row],[Exchange_Rate]]&lt;=0,"Fail","Pass")
)</f>
        <v>Pass</v>
      </c>
      <c r="T14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44" s="11" t="str">
        <f>IF(LEN(TRIM(ValidationTable[[#This Row],[Bank_Account]]))=0,"Fail","Pass")</f>
        <v>Pass</v>
      </c>
      <c r="V144" s="11" t="str">
        <f>IF(
COUNTIF(ValidationTable[Record_ID],ValidationTable[[#This Row],[Record_ID]])&gt;1,
"Fail",
"Pass"
)</f>
        <v>Pass</v>
      </c>
      <c r="W144" s="11" t="str">
        <f>IF(
COUNTIF(ValidationTable[[#This Row],[RequiredField_Validation]]:ValidationTable[[#This Row],[Duplicate_Validation]],"Fail")&gt;0,
"Fail",
"Pass"
)</f>
        <v>Pass</v>
      </c>
      <c r="X144" s="11" t="str">
        <f>IF(ValidationTable[[#This Row],[Validation_Result]]="Pass","Yes","No")</f>
        <v>Yes</v>
      </c>
    </row>
    <row r="145" spans="1:24">
      <c r="A145" s="11">
        <f>RawTable[[#This Row],[Record_ID]]</f>
        <v>144</v>
      </c>
      <c r="B145" s="11" t="str">
        <f>RawTable[[#This Row],[Payment_Type]]</f>
        <v>Payroll</v>
      </c>
      <c r="C145" s="11" t="str">
        <f>RawTable[[#This Row],[Entity_Type]]</f>
        <v>Employee</v>
      </c>
      <c r="D145" s="11" t="str">
        <f>RawTable[[#This Row],[Country]]</f>
        <v>Jordan</v>
      </c>
      <c r="E145" s="11" t="str">
        <f>RawTable[[#This Row],[Name]]</f>
        <v>Julia Haddad</v>
      </c>
      <c r="F145" s="11" t="str">
        <f>RawTable[[#This Row],[Bank_Account]]</f>
        <v>CH930000000000863800</v>
      </c>
      <c r="G145" s="11" t="str">
        <f>RawTable[[#This Row],[Month]]</f>
        <v>Feb-2026</v>
      </c>
      <c r="H145" s="11" t="str">
        <f>RawTable[[#This Row],[Currency]]</f>
        <v>JOD</v>
      </c>
      <c r="I145" s="4">
        <f>RawTable[[#This Row],[Net_Amount]]</f>
        <v>1926.94</v>
      </c>
      <c r="J145" s="2" t="str">
        <f>RawTable[[#This Row],[VAT_Applicable]]</f>
        <v>No</v>
      </c>
      <c r="K145" s="4">
        <f>RawTable[[#This Row],[VAT_Rate]]</f>
        <v>0</v>
      </c>
      <c r="L145" s="4">
        <f>RawTable[[#This Row],[VAT_Amount]]</f>
        <v>0</v>
      </c>
      <c r="M145" s="4">
        <f>RawTable[[#This Row],[Gross_Amount]]</f>
        <v>1926.94</v>
      </c>
      <c r="N145" s="4">
        <f>RawTable[[#This Row],[Exchange_Rate]]</f>
        <v>1.08643</v>
      </c>
      <c r="O145" s="4">
        <f>RawTable[[#This Row],[Amount_CHF]]</f>
        <v>2093.4899999999998</v>
      </c>
      <c r="P14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4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45" s="11" t="str">
        <f>IF(ValidationTable[[#This Row],[Currency]]="","Fail","Pass")</f>
        <v>Pass</v>
      </c>
      <c r="S145" s="11" t="str">
        <f>IF(
ValidationTable[[#This Row],[Currency]]="CHF",
IF(ValidationTable[[#This Row],[Exchange_Rate]]&lt;&gt;1,"Fail","Pass"),
IF(ValidationTable[[#This Row],[Exchange_Rate]]&lt;=0,"Fail","Pass")
)</f>
        <v>Pass</v>
      </c>
      <c r="T14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45" s="11" t="str">
        <f>IF(LEN(TRIM(ValidationTable[[#This Row],[Bank_Account]]))=0,"Fail","Pass")</f>
        <v>Pass</v>
      </c>
      <c r="V145" s="11" t="str">
        <f>IF(
COUNTIF(ValidationTable[Record_ID],ValidationTable[[#This Row],[Record_ID]])&gt;1,
"Fail",
"Pass"
)</f>
        <v>Pass</v>
      </c>
      <c r="W145" s="11" t="str">
        <f>IF(
COUNTIF(ValidationTable[[#This Row],[RequiredField_Validation]]:ValidationTable[[#This Row],[Duplicate_Validation]],"Fail")&gt;0,
"Fail",
"Pass"
)</f>
        <v>Pass</v>
      </c>
      <c r="X145" s="11" t="str">
        <f>IF(ValidationTable[[#This Row],[Validation_Result]]="Pass","Yes","No")</f>
        <v>Yes</v>
      </c>
    </row>
    <row r="146" spans="1:24">
      <c r="A146" s="11">
        <f>RawTable[[#This Row],[Record_ID]]</f>
        <v>145</v>
      </c>
      <c r="B146" s="11" t="str">
        <f>RawTable[[#This Row],[Payment_Type]]</f>
        <v>Payroll</v>
      </c>
      <c r="C146" s="11" t="str">
        <f>RawTable[[#This Row],[Entity_Type]]</f>
        <v>Employee</v>
      </c>
      <c r="D146" s="11" t="str">
        <f>RawTable[[#This Row],[Country]]</f>
        <v>Germany</v>
      </c>
      <c r="E146" s="11" t="str">
        <f>RawTable[[#This Row],[Name]]</f>
        <v>Julia Wilson</v>
      </c>
      <c r="F146" s="11" t="str">
        <f>RawTable[[#This Row],[Bank_Account]]</f>
        <v>DE890000000001004846</v>
      </c>
      <c r="G146" s="11" t="str">
        <f>RawTable[[#This Row],[Month]]</f>
        <v>Jan-2026</v>
      </c>
      <c r="H146" s="11" t="str">
        <f>RawTable[[#This Row],[Currency]]</f>
        <v>EUR</v>
      </c>
      <c r="I146" s="4">
        <f>RawTable[[#This Row],[Net_Amount]]</f>
        <v>5742.6</v>
      </c>
      <c r="J146" s="2" t="str">
        <f>RawTable[[#This Row],[VAT_Applicable]]</f>
        <v>No</v>
      </c>
      <c r="K146" s="4">
        <f>RawTable[[#This Row],[VAT_Rate]]</f>
        <v>0</v>
      </c>
      <c r="L146" s="4">
        <f>RawTable[[#This Row],[VAT_Amount]]</f>
        <v>0</v>
      </c>
      <c r="M146" s="4">
        <f>RawTable[[#This Row],[Gross_Amount]]</f>
        <v>5742.6</v>
      </c>
      <c r="N146" s="4">
        <f>RawTable[[#This Row],[Exchange_Rate]]</f>
        <v>0.90888000000000002</v>
      </c>
      <c r="O146" s="4">
        <f>RawTable[[#This Row],[Amount_CHF]]</f>
        <v>5219.33</v>
      </c>
      <c r="P14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4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46" s="11" t="str">
        <f>IF(ValidationTable[[#This Row],[Currency]]="","Fail","Pass")</f>
        <v>Pass</v>
      </c>
      <c r="S146" s="11" t="str">
        <f>IF(
ValidationTable[[#This Row],[Currency]]="CHF",
IF(ValidationTable[[#This Row],[Exchange_Rate]]&lt;&gt;1,"Fail","Pass"),
IF(ValidationTable[[#This Row],[Exchange_Rate]]&lt;=0,"Fail","Pass")
)</f>
        <v>Pass</v>
      </c>
      <c r="T14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46" s="11" t="str">
        <f>IF(LEN(TRIM(ValidationTable[[#This Row],[Bank_Account]]))=0,"Fail","Pass")</f>
        <v>Pass</v>
      </c>
      <c r="V146" s="11" t="str">
        <f>IF(
COUNTIF(ValidationTable[Record_ID],ValidationTable[[#This Row],[Record_ID]])&gt;1,
"Fail",
"Pass"
)</f>
        <v>Pass</v>
      </c>
      <c r="W146" s="11" t="str">
        <f>IF(
COUNTIF(ValidationTable[[#This Row],[RequiredField_Validation]]:ValidationTable[[#This Row],[Duplicate_Validation]],"Fail")&gt;0,
"Fail",
"Pass"
)</f>
        <v>Pass</v>
      </c>
      <c r="X146" s="11" t="str">
        <f>IF(ValidationTable[[#This Row],[Validation_Result]]="Pass","Yes","No")</f>
        <v>Yes</v>
      </c>
    </row>
    <row r="147" spans="1:24">
      <c r="A147" s="11">
        <f>RawTable[[#This Row],[Record_ID]]</f>
        <v>146</v>
      </c>
      <c r="B147" s="11" t="str">
        <f>RawTable[[#This Row],[Payment_Type]]</f>
        <v>Payroll</v>
      </c>
      <c r="C147" s="11" t="str">
        <f>RawTable[[#This Row],[Entity_Type]]</f>
        <v>Employee</v>
      </c>
      <c r="D147" s="11" t="str">
        <f>RawTable[[#This Row],[Country]]</f>
        <v>Germany</v>
      </c>
      <c r="E147" s="11" t="str">
        <f>RawTable[[#This Row],[Name]]</f>
        <v>Anna Brown</v>
      </c>
      <c r="F147" s="11" t="str">
        <f>RawTable[[#This Row],[Bank_Account]]</f>
        <v>JO-IBAN-00790080</v>
      </c>
      <c r="G147" s="11" t="str">
        <f>RawTable[[#This Row],[Month]]</f>
        <v>Mar-2026</v>
      </c>
      <c r="H147" s="11" t="str">
        <f>RawTable[[#This Row],[Currency]]</f>
        <v>EUR</v>
      </c>
      <c r="I147" s="4">
        <f>RawTable[[#This Row],[Net_Amount]]</f>
        <v>5782.2</v>
      </c>
      <c r="J147" s="2" t="str">
        <f>RawTable[[#This Row],[VAT_Applicable]]</f>
        <v>No</v>
      </c>
      <c r="K147" s="4">
        <f>RawTable[[#This Row],[VAT_Rate]]</f>
        <v>0</v>
      </c>
      <c r="L147" s="4">
        <f>RawTable[[#This Row],[VAT_Amount]]</f>
        <v>0</v>
      </c>
      <c r="M147" s="4">
        <f>RawTable[[#This Row],[Gross_Amount]]</f>
        <v>5782.2</v>
      </c>
      <c r="N147" s="4">
        <f>RawTable[[#This Row],[Exchange_Rate]]</f>
        <v>0.90888000000000002</v>
      </c>
      <c r="O147" s="4">
        <f>RawTable[[#This Row],[Amount_CHF]]</f>
        <v>5255.33</v>
      </c>
      <c r="P14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4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47" s="11" t="str">
        <f>IF(ValidationTable[[#This Row],[Currency]]="","Fail","Pass")</f>
        <v>Pass</v>
      </c>
      <c r="S147" s="11" t="str">
        <f>IF(
ValidationTable[[#This Row],[Currency]]="CHF",
IF(ValidationTable[[#This Row],[Exchange_Rate]]&lt;&gt;1,"Fail","Pass"),
IF(ValidationTable[[#This Row],[Exchange_Rate]]&lt;=0,"Fail","Pass")
)</f>
        <v>Pass</v>
      </c>
      <c r="T14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47" s="11" t="str">
        <f>IF(LEN(TRIM(ValidationTable[[#This Row],[Bank_Account]]))=0,"Fail","Pass")</f>
        <v>Pass</v>
      </c>
      <c r="V147" s="11" t="str">
        <f>IF(
COUNTIF(ValidationTable[Record_ID],ValidationTable[[#This Row],[Record_ID]])&gt;1,
"Fail",
"Pass"
)</f>
        <v>Pass</v>
      </c>
      <c r="W147" s="11" t="str">
        <f>IF(
COUNTIF(ValidationTable[[#This Row],[RequiredField_Validation]]:ValidationTable[[#This Row],[Duplicate_Validation]],"Fail")&gt;0,
"Fail",
"Pass"
)</f>
        <v>Pass</v>
      </c>
      <c r="X147" s="11" t="str">
        <f>IF(ValidationTable[[#This Row],[Validation_Result]]="Pass","Yes","No")</f>
        <v>Yes</v>
      </c>
    </row>
    <row r="148" spans="1:24">
      <c r="A148" s="11">
        <f>RawTable[[#This Row],[Record_ID]]</f>
        <v>147</v>
      </c>
      <c r="B148" s="11" t="str">
        <f>RawTable[[#This Row],[Payment_Type]]</f>
        <v>Payroll</v>
      </c>
      <c r="C148" s="11" t="str">
        <f>RawTable[[#This Row],[Entity_Type]]</f>
        <v>Employee</v>
      </c>
      <c r="D148" s="11" t="str">
        <f>RawTable[[#This Row],[Country]]</f>
        <v>Germany</v>
      </c>
      <c r="E148" s="11" t="str">
        <f>RawTable[[#This Row],[Name]]</f>
        <v>John Wilson</v>
      </c>
      <c r="F148" s="11" t="str">
        <f>RawTable[[#This Row],[Bank_Account]]</f>
        <v>US-RT-000071572-AC-0000329324</v>
      </c>
      <c r="G148" s="11" t="str">
        <f>RawTable[[#This Row],[Month]]</f>
        <v>Feb-2026</v>
      </c>
      <c r="H148" s="11" t="str">
        <f>RawTable[[#This Row],[Currency]]</f>
        <v>EUR</v>
      </c>
      <c r="I148" s="4">
        <f>RawTable[[#This Row],[Net_Amount]]</f>
        <v>6505.95</v>
      </c>
      <c r="J148" s="2" t="str">
        <f>RawTable[[#This Row],[VAT_Applicable]]</f>
        <v>No</v>
      </c>
      <c r="K148" s="4">
        <f>RawTable[[#This Row],[VAT_Rate]]</f>
        <v>0</v>
      </c>
      <c r="L148" s="4">
        <f>RawTable[[#This Row],[VAT_Amount]]</f>
        <v>0</v>
      </c>
      <c r="M148" s="4">
        <f>RawTable[[#This Row],[Gross_Amount]]</f>
        <v>6505.95</v>
      </c>
      <c r="N148" s="4">
        <f>RawTable[[#This Row],[Exchange_Rate]]</f>
        <v>0.90888000000000002</v>
      </c>
      <c r="O148" s="4">
        <f>RawTable[[#This Row],[Amount_CHF]]</f>
        <v>5913.13</v>
      </c>
      <c r="P14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4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48" s="11" t="str">
        <f>IF(ValidationTable[[#This Row],[Currency]]="","Fail","Pass")</f>
        <v>Pass</v>
      </c>
      <c r="S148" s="11" t="str">
        <f>IF(
ValidationTable[[#This Row],[Currency]]="CHF",
IF(ValidationTable[[#This Row],[Exchange_Rate]]&lt;&gt;1,"Fail","Pass"),
IF(ValidationTable[[#This Row],[Exchange_Rate]]&lt;=0,"Fail","Pass")
)</f>
        <v>Pass</v>
      </c>
      <c r="T14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48" s="11" t="str">
        <f>IF(LEN(TRIM(ValidationTable[[#This Row],[Bank_Account]]))=0,"Fail","Pass")</f>
        <v>Pass</v>
      </c>
      <c r="V148" s="11" t="str">
        <f>IF(
COUNTIF(ValidationTable[Record_ID],ValidationTable[[#This Row],[Record_ID]])&gt;1,
"Fail",
"Pass"
)</f>
        <v>Pass</v>
      </c>
      <c r="W148" s="11" t="str">
        <f>IF(
COUNTIF(ValidationTable[[#This Row],[RequiredField_Validation]]:ValidationTable[[#This Row],[Duplicate_Validation]],"Fail")&gt;0,
"Fail",
"Pass"
)</f>
        <v>Pass</v>
      </c>
      <c r="X148" s="11" t="str">
        <f>IF(ValidationTable[[#This Row],[Validation_Result]]="Pass","Yes","No")</f>
        <v>Yes</v>
      </c>
    </row>
    <row r="149" spans="1:24">
      <c r="A149" s="11">
        <f>RawTable[[#This Row],[Record_ID]]</f>
        <v>148</v>
      </c>
      <c r="B149" s="11" t="str">
        <f>RawTable[[#This Row],[Payment_Type]]</f>
        <v>Payroll</v>
      </c>
      <c r="C149" s="11" t="str">
        <f>RawTable[[#This Row],[Entity_Type]]</f>
        <v>Employee</v>
      </c>
      <c r="D149" s="11" t="str">
        <f>RawTable[[#This Row],[Country]]</f>
        <v>Germany</v>
      </c>
      <c r="E149" s="11" t="str">
        <f>RawTable[[#This Row],[Name]]</f>
        <v>Ahmed Khan</v>
      </c>
      <c r="F149" s="11" t="str">
        <f>RawTable[[#This Row],[Bank_Account]]</f>
        <v>DE890000000000298738</v>
      </c>
      <c r="G149" s="11" t="str">
        <f>RawTable[[#This Row],[Month]]</f>
        <v>Feb-2026</v>
      </c>
      <c r="H149" s="11" t="str">
        <f>RawTable[[#This Row],[Currency]]</f>
        <v>EUR</v>
      </c>
      <c r="I149" s="4">
        <f>RawTable[[#This Row],[Net_Amount]]</f>
        <v>6312.89</v>
      </c>
      <c r="J149" s="2" t="str">
        <f>RawTable[[#This Row],[VAT_Applicable]]</f>
        <v>No</v>
      </c>
      <c r="K149" s="4">
        <f>RawTable[[#This Row],[VAT_Rate]]</f>
        <v>0</v>
      </c>
      <c r="L149" s="4">
        <f>RawTable[[#This Row],[VAT_Amount]]</f>
        <v>0</v>
      </c>
      <c r="M149" s="4">
        <f>RawTable[[#This Row],[Gross_Amount]]</f>
        <v>6312.89</v>
      </c>
      <c r="N149" s="4">
        <f>RawTable[[#This Row],[Exchange_Rate]]</f>
        <v>0.90888000000000002</v>
      </c>
      <c r="O149" s="4">
        <f>RawTable[[#This Row],[Amount_CHF]]</f>
        <v>5737.66</v>
      </c>
      <c r="P14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4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49" s="11" t="str">
        <f>IF(ValidationTable[[#This Row],[Currency]]="","Fail","Pass")</f>
        <v>Pass</v>
      </c>
      <c r="S149" s="11" t="str">
        <f>IF(
ValidationTable[[#This Row],[Currency]]="CHF",
IF(ValidationTable[[#This Row],[Exchange_Rate]]&lt;&gt;1,"Fail","Pass"),
IF(ValidationTable[[#This Row],[Exchange_Rate]]&lt;=0,"Fail","Pass")
)</f>
        <v>Pass</v>
      </c>
      <c r="T14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49" s="11" t="str">
        <f>IF(LEN(TRIM(ValidationTable[[#This Row],[Bank_Account]]))=0,"Fail","Pass")</f>
        <v>Pass</v>
      </c>
      <c r="V149" s="11" t="str">
        <f>IF(
COUNTIF(ValidationTable[Record_ID],ValidationTable[[#This Row],[Record_ID]])&gt;1,
"Fail",
"Pass"
)</f>
        <v>Pass</v>
      </c>
      <c r="W149" s="11" t="str">
        <f>IF(
COUNTIF(ValidationTable[[#This Row],[RequiredField_Validation]]:ValidationTable[[#This Row],[Duplicate_Validation]],"Fail")&gt;0,
"Fail",
"Pass"
)</f>
        <v>Pass</v>
      </c>
      <c r="X149" s="11" t="str">
        <f>IF(ValidationTable[[#This Row],[Validation_Result]]="Pass","Yes","No")</f>
        <v>Yes</v>
      </c>
    </row>
    <row r="150" spans="1:24">
      <c r="A150" s="11">
        <f>RawTable[[#This Row],[Record_ID]]</f>
        <v>149</v>
      </c>
      <c r="B150" s="11" t="str">
        <f>RawTable[[#This Row],[Payment_Type]]</f>
        <v>Payroll</v>
      </c>
      <c r="C150" s="11" t="str">
        <f>RawTable[[#This Row],[Entity_Type]]</f>
        <v>Employee</v>
      </c>
      <c r="D150" s="11" t="str">
        <f>RawTable[[#This Row],[Country]]</f>
        <v>Jordan</v>
      </c>
      <c r="E150" s="11" t="str">
        <f>RawTable[[#This Row],[Name]]</f>
        <v>Sara Smith</v>
      </c>
      <c r="F150" s="11" t="str">
        <f>RawTable[[#This Row],[Bank_Account]]</f>
        <v>JO-IBAN-00925875</v>
      </c>
      <c r="G150" s="11" t="str">
        <f>RawTable[[#This Row],[Month]]</f>
        <v>Feb-2026</v>
      </c>
      <c r="H150" s="11" t="str">
        <f>RawTable[[#This Row],[Currency]]</f>
        <v>JOD</v>
      </c>
      <c r="I150" s="4">
        <f>RawTable[[#This Row],[Net_Amount]]</f>
        <v>1974.78</v>
      </c>
      <c r="J150" s="2" t="str">
        <f>RawTable[[#This Row],[VAT_Applicable]]</f>
        <v>No</v>
      </c>
      <c r="K150" s="4">
        <f>RawTable[[#This Row],[VAT_Rate]]</f>
        <v>0</v>
      </c>
      <c r="L150" s="4">
        <f>RawTable[[#This Row],[VAT_Amount]]</f>
        <v>0</v>
      </c>
      <c r="M150" s="4">
        <f>RawTable[[#This Row],[Gross_Amount]]</f>
        <v>1974.78</v>
      </c>
      <c r="N150" s="4">
        <f>RawTable[[#This Row],[Exchange_Rate]]</f>
        <v>1.08643</v>
      </c>
      <c r="O150" s="4">
        <f>RawTable[[#This Row],[Amount_CHF]]</f>
        <v>2145.46</v>
      </c>
      <c r="P15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5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50" s="11" t="str">
        <f>IF(ValidationTable[[#This Row],[Currency]]="","Fail","Pass")</f>
        <v>Pass</v>
      </c>
      <c r="S150" s="11" t="str">
        <f>IF(
ValidationTable[[#This Row],[Currency]]="CHF",
IF(ValidationTable[[#This Row],[Exchange_Rate]]&lt;&gt;1,"Fail","Pass"),
IF(ValidationTable[[#This Row],[Exchange_Rate]]&lt;=0,"Fail","Pass")
)</f>
        <v>Pass</v>
      </c>
      <c r="T15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50" s="11" t="str">
        <f>IF(LEN(TRIM(ValidationTable[[#This Row],[Bank_Account]]))=0,"Fail","Pass")</f>
        <v>Pass</v>
      </c>
      <c r="V150" s="11" t="str">
        <f>IF(
COUNTIF(ValidationTable[Record_ID],ValidationTable[[#This Row],[Record_ID]])&gt;1,
"Fail",
"Pass"
)</f>
        <v>Pass</v>
      </c>
      <c r="W150" s="11" t="str">
        <f>IF(
COUNTIF(ValidationTable[[#This Row],[RequiredField_Validation]]:ValidationTable[[#This Row],[Duplicate_Validation]],"Fail")&gt;0,
"Fail",
"Pass"
)</f>
        <v>Pass</v>
      </c>
      <c r="X150" s="11" t="str">
        <f>IF(ValidationTable[[#This Row],[Validation_Result]]="Pass","Yes","No")</f>
        <v>Yes</v>
      </c>
    </row>
    <row r="151" spans="1:24">
      <c r="A151" s="11">
        <f>RawTable[[#This Row],[Record_ID]]</f>
        <v>150</v>
      </c>
      <c r="B151" s="11" t="str">
        <f>RawTable[[#This Row],[Payment_Type]]</f>
        <v>Payroll</v>
      </c>
      <c r="C151" s="11" t="str">
        <f>RawTable[[#This Row],[Entity_Type]]</f>
        <v>Employee</v>
      </c>
      <c r="D151" s="11" t="str">
        <f>RawTable[[#This Row],[Country]]</f>
        <v>USA</v>
      </c>
      <c r="E151" s="11" t="str">
        <f>RawTable[[#This Row],[Name]]</f>
        <v>Anna Schmidt</v>
      </c>
      <c r="F151" s="11" t="str">
        <f>RawTable[[#This Row],[Bank_Account]]</f>
        <v>DE890000000000190106</v>
      </c>
      <c r="G151" s="11" t="str">
        <f>RawTable[[#This Row],[Month]]</f>
        <v>Jan-2026</v>
      </c>
      <c r="H151" s="11" t="str">
        <f>RawTable[[#This Row],[Currency]]</f>
        <v>USD</v>
      </c>
      <c r="I151" s="4">
        <f>RawTable[[#This Row],[Net_Amount]]</f>
        <v>7273</v>
      </c>
      <c r="J151" s="2" t="str">
        <f>RawTable[[#This Row],[VAT_Applicable]]</f>
        <v>No</v>
      </c>
      <c r="K151" s="4">
        <f>RawTable[[#This Row],[VAT_Rate]]</f>
        <v>0</v>
      </c>
      <c r="L151" s="4">
        <f>RawTable[[#This Row],[VAT_Amount]]</f>
        <v>0</v>
      </c>
      <c r="M151" s="4">
        <f>RawTable[[#This Row],[Gross_Amount]]</f>
        <v>7273</v>
      </c>
      <c r="N151" s="4">
        <f>RawTable[[#This Row],[Exchange_Rate]]</f>
        <v>0.77017999999999998</v>
      </c>
      <c r="O151" s="4">
        <f>RawTable[[#This Row],[Amount_CHF]]</f>
        <v>5601.52</v>
      </c>
      <c r="P15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5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51" s="11" t="str">
        <f>IF(ValidationTable[[#This Row],[Currency]]="","Fail","Pass")</f>
        <v>Pass</v>
      </c>
      <c r="S151" s="11" t="str">
        <f>IF(
ValidationTable[[#This Row],[Currency]]="CHF",
IF(ValidationTable[[#This Row],[Exchange_Rate]]&lt;&gt;1,"Fail","Pass"),
IF(ValidationTable[[#This Row],[Exchange_Rate]]&lt;=0,"Fail","Pass")
)</f>
        <v>Pass</v>
      </c>
      <c r="T15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51" s="11" t="str">
        <f>IF(LEN(TRIM(ValidationTable[[#This Row],[Bank_Account]]))=0,"Fail","Pass")</f>
        <v>Pass</v>
      </c>
      <c r="V151" s="11" t="str">
        <f>IF(
COUNTIF(ValidationTable[Record_ID],ValidationTable[[#This Row],[Record_ID]])&gt;1,
"Fail",
"Pass"
)</f>
        <v>Pass</v>
      </c>
      <c r="W151" s="11" t="str">
        <f>IF(
COUNTIF(ValidationTable[[#This Row],[RequiredField_Validation]]:ValidationTable[[#This Row],[Duplicate_Validation]],"Fail")&gt;0,
"Fail",
"Pass"
)</f>
        <v>Pass</v>
      </c>
      <c r="X151" s="11" t="str">
        <f>IF(ValidationTable[[#This Row],[Validation_Result]]="Pass","Yes","No")</f>
        <v>Yes</v>
      </c>
    </row>
    <row r="152" spans="1:24">
      <c r="A152" s="11">
        <f>RawTable[[#This Row],[Record_ID]]</f>
        <v>151</v>
      </c>
      <c r="B152" s="11" t="str">
        <f>RawTable[[#This Row],[Payment_Type]]</f>
        <v>Payroll</v>
      </c>
      <c r="C152" s="11" t="str">
        <f>RawTable[[#This Row],[Entity_Type]]</f>
        <v>Employee</v>
      </c>
      <c r="D152" s="11" t="str">
        <f>RawTable[[#This Row],[Country]]</f>
        <v>UAE</v>
      </c>
      <c r="E152" s="11" t="str">
        <f>RawTable[[#This Row],[Name]]</f>
        <v>Julia Schmidt</v>
      </c>
      <c r="F152" s="11" t="str">
        <f>RawTable[[#This Row],[Bank_Account]]</f>
        <v>US-RT-000090082-AC-0000414494</v>
      </c>
      <c r="G152" s="11" t="str">
        <f>RawTable[[#This Row],[Month]]</f>
        <v>Jan-2026</v>
      </c>
      <c r="H152" s="11" t="str">
        <f>RawTable[[#This Row],[Currency]]</f>
        <v>AED</v>
      </c>
      <c r="I152" s="4">
        <f>RawTable[[#This Row],[Net_Amount]]</f>
        <v>21117.8</v>
      </c>
      <c r="J152" s="2" t="str">
        <f>RawTable[[#This Row],[VAT_Applicable]]</f>
        <v>No</v>
      </c>
      <c r="K152" s="4">
        <f>RawTable[[#This Row],[VAT_Rate]]</f>
        <v>0</v>
      </c>
      <c r="L152" s="4">
        <f>RawTable[[#This Row],[VAT_Amount]]</f>
        <v>0</v>
      </c>
      <c r="M152" s="4">
        <f>RawTable[[#This Row],[Gross_Amount]]</f>
        <v>21117.8</v>
      </c>
      <c r="N152" s="4">
        <f>RawTable[[#This Row],[Exchange_Rate]]</f>
        <v>0.21065</v>
      </c>
      <c r="O152" s="4">
        <f>RawTable[[#This Row],[Amount_CHF]]</f>
        <v>4448.46</v>
      </c>
      <c r="P15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5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52" s="11" t="str">
        <f>IF(ValidationTable[[#This Row],[Currency]]="","Fail","Pass")</f>
        <v>Pass</v>
      </c>
      <c r="S152" s="11" t="str">
        <f>IF(
ValidationTable[[#This Row],[Currency]]="CHF",
IF(ValidationTable[[#This Row],[Exchange_Rate]]&lt;&gt;1,"Fail","Pass"),
IF(ValidationTable[[#This Row],[Exchange_Rate]]&lt;=0,"Fail","Pass")
)</f>
        <v>Pass</v>
      </c>
      <c r="T15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52" s="11" t="str">
        <f>IF(LEN(TRIM(ValidationTable[[#This Row],[Bank_Account]]))=0,"Fail","Pass")</f>
        <v>Pass</v>
      </c>
      <c r="V152" s="11" t="str">
        <f>IF(
COUNTIF(ValidationTable[Record_ID],ValidationTable[[#This Row],[Record_ID]])&gt;1,
"Fail",
"Pass"
)</f>
        <v>Pass</v>
      </c>
      <c r="W152" s="11" t="str">
        <f>IF(
COUNTIF(ValidationTable[[#This Row],[RequiredField_Validation]]:ValidationTable[[#This Row],[Duplicate_Validation]],"Fail")&gt;0,
"Fail",
"Pass"
)</f>
        <v>Pass</v>
      </c>
      <c r="X152" s="11" t="str">
        <f>IF(ValidationTable[[#This Row],[Validation_Result]]="Pass","Yes","No")</f>
        <v>Yes</v>
      </c>
    </row>
    <row r="153" spans="1:24">
      <c r="A153" s="11">
        <f>RawTable[[#This Row],[Record_ID]]</f>
        <v>152</v>
      </c>
      <c r="B153" s="11" t="str">
        <f>RawTable[[#This Row],[Payment_Type]]</f>
        <v>Payroll</v>
      </c>
      <c r="C153" s="11" t="str">
        <f>RawTable[[#This Row],[Entity_Type]]</f>
        <v>Employee</v>
      </c>
      <c r="D153" s="11" t="str">
        <f>RawTable[[#This Row],[Country]]</f>
        <v>UAE</v>
      </c>
      <c r="E153" s="11" t="str">
        <f>RawTable[[#This Row],[Name]]</f>
        <v>Michael Wilson</v>
      </c>
      <c r="F153" s="11" t="str">
        <f>RawTable[[#This Row],[Bank_Account]]</f>
        <v>US-RT-000013574-AC-0000062458</v>
      </c>
      <c r="G153" s="11" t="str">
        <f>RawTable[[#This Row],[Month]]</f>
        <v>Feb-2026</v>
      </c>
      <c r="H153" s="11" t="str">
        <f>RawTable[[#This Row],[Currency]]</f>
        <v>AED</v>
      </c>
      <c r="I153" s="4">
        <f>RawTable[[#This Row],[Net_Amount]]</f>
        <v>22785.53</v>
      </c>
      <c r="J153" s="2" t="str">
        <f>RawTable[[#This Row],[VAT_Applicable]]</f>
        <v>No</v>
      </c>
      <c r="K153" s="4">
        <f>RawTable[[#This Row],[VAT_Rate]]</f>
        <v>0</v>
      </c>
      <c r="L153" s="4">
        <f>RawTable[[#This Row],[VAT_Amount]]</f>
        <v>0</v>
      </c>
      <c r="M153" s="4">
        <f>RawTable[[#This Row],[Gross_Amount]]</f>
        <v>22785.53</v>
      </c>
      <c r="N153" s="4">
        <f>RawTable[[#This Row],[Exchange_Rate]]</f>
        <v>0.21065</v>
      </c>
      <c r="O153" s="4">
        <f>RawTable[[#This Row],[Amount_CHF]]</f>
        <v>4799.7700000000004</v>
      </c>
      <c r="P15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5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53" s="11" t="str">
        <f>IF(ValidationTable[[#This Row],[Currency]]="","Fail","Pass")</f>
        <v>Pass</v>
      </c>
      <c r="S153" s="11" t="str">
        <f>IF(
ValidationTable[[#This Row],[Currency]]="CHF",
IF(ValidationTable[[#This Row],[Exchange_Rate]]&lt;&gt;1,"Fail","Pass"),
IF(ValidationTable[[#This Row],[Exchange_Rate]]&lt;=0,"Fail","Pass")
)</f>
        <v>Pass</v>
      </c>
      <c r="T15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53" s="11" t="str">
        <f>IF(LEN(TRIM(ValidationTable[[#This Row],[Bank_Account]]))=0,"Fail","Pass")</f>
        <v>Pass</v>
      </c>
      <c r="V153" s="11" t="str">
        <f>IF(
COUNTIF(ValidationTable[Record_ID],ValidationTable[[#This Row],[Record_ID]])&gt;1,
"Fail",
"Pass"
)</f>
        <v>Pass</v>
      </c>
      <c r="W153" s="11" t="str">
        <f>IF(
COUNTIF(ValidationTable[[#This Row],[RequiredField_Validation]]:ValidationTable[[#This Row],[Duplicate_Validation]],"Fail")&gt;0,
"Fail",
"Pass"
)</f>
        <v>Pass</v>
      </c>
      <c r="X153" s="11" t="str">
        <f>IF(ValidationTable[[#This Row],[Validation_Result]]="Pass","Yes","No")</f>
        <v>Yes</v>
      </c>
    </row>
    <row r="154" spans="1:24">
      <c r="A154" s="11">
        <f>RawTable[[#This Row],[Record_ID]]</f>
        <v>153</v>
      </c>
      <c r="B154" s="11" t="str">
        <f>RawTable[[#This Row],[Payment_Type]]</f>
        <v>Payroll</v>
      </c>
      <c r="C154" s="11" t="str">
        <f>RawTable[[#This Row],[Entity_Type]]</f>
        <v>Employee</v>
      </c>
      <c r="D154" s="11" t="str">
        <f>RawTable[[#This Row],[Country]]</f>
        <v>Jordan</v>
      </c>
      <c r="E154" s="11" t="str">
        <f>RawTable[[#This Row],[Name]]</f>
        <v>Michael Müller</v>
      </c>
      <c r="F154" s="11" t="str">
        <f>RawTable[[#This Row],[Bank_Account]]</f>
        <v>CH930000000000592320</v>
      </c>
      <c r="G154" s="11" t="str">
        <f>RawTable[[#This Row],[Month]]</f>
        <v>Jan-2026</v>
      </c>
      <c r="H154" s="11" t="str">
        <f>RawTable[[#This Row],[Currency]]</f>
        <v>JOD</v>
      </c>
      <c r="I154" s="4">
        <f>RawTable[[#This Row],[Net_Amount]]</f>
        <v>1806.72</v>
      </c>
      <c r="J154" s="2" t="str">
        <f>RawTable[[#This Row],[VAT_Applicable]]</f>
        <v>No</v>
      </c>
      <c r="K154" s="4">
        <f>RawTable[[#This Row],[VAT_Rate]]</f>
        <v>0</v>
      </c>
      <c r="L154" s="4">
        <f>RawTable[[#This Row],[VAT_Amount]]</f>
        <v>0</v>
      </c>
      <c r="M154" s="4">
        <f>RawTable[[#This Row],[Gross_Amount]]</f>
        <v>1806.72</v>
      </c>
      <c r="N154" s="4">
        <f>RawTable[[#This Row],[Exchange_Rate]]</f>
        <v>1.08643</v>
      </c>
      <c r="O154" s="4">
        <f>RawTable[[#This Row],[Amount_CHF]]</f>
        <v>1962.87</v>
      </c>
      <c r="P15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5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54" s="11" t="str">
        <f>IF(ValidationTable[[#This Row],[Currency]]="","Fail","Pass")</f>
        <v>Pass</v>
      </c>
      <c r="S154" s="11" t="str">
        <f>IF(
ValidationTable[[#This Row],[Currency]]="CHF",
IF(ValidationTable[[#This Row],[Exchange_Rate]]&lt;&gt;1,"Fail","Pass"),
IF(ValidationTable[[#This Row],[Exchange_Rate]]&lt;=0,"Fail","Pass")
)</f>
        <v>Pass</v>
      </c>
      <c r="T15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54" s="11" t="str">
        <f>IF(LEN(TRIM(ValidationTable[[#This Row],[Bank_Account]]))=0,"Fail","Pass")</f>
        <v>Pass</v>
      </c>
      <c r="V154" s="11" t="str">
        <f>IF(
COUNTIF(ValidationTable[Record_ID],ValidationTable[[#This Row],[Record_ID]])&gt;1,
"Fail",
"Pass"
)</f>
        <v>Pass</v>
      </c>
      <c r="W154" s="11" t="str">
        <f>IF(
COUNTIF(ValidationTable[[#This Row],[RequiredField_Validation]]:ValidationTable[[#This Row],[Duplicate_Validation]],"Fail")&gt;0,
"Fail",
"Pass"
)</f>
        <v>Pass</v>
      </c>
      <c r="X154" s="11" t="str">
        <f>IF(ValidationTable[[#This Row],[Validation_Result]]="Pass","Yes","No")</f>
        <v>Yes</v>
      </c>
    </row>
    <row r="155" spans="1:24">
      <c r="A155" s="11">
        <f>RawTable[[#This Row],[Record_ID]]</f>
        <v>154</v>
      </c>
      <c r="B155" s="11" t="str">
        <f>RawTable[[#This Row],[Payment_Type]]</f>
        <v>Payroll</v>
      </c>
      <c r="C155" s="11" t="str">
        <f>RawTable[[#This Row],[Entity_Type]]</f>
        <v>Employee</v>
      </c>
      <c r="D155" s="11" t="str">
        <f>RawTable[[#This Row],[Country]]</f>
        <v>Jordan</v>
      </c>
      <c r="E155" s="11" t="str">
        <f>RawTable[[#This Row],[Name]]</f>
        <v>Michael Brown</v>
      </c>
      <c r="F155" s="11" t="str">
        <f>RawTable[[#This Row],[Bank_Account]]</f>
        <v>JO-IBAN-00938220</v>
      </c>
      <c r="G155" s="11" t="str">
        <f>RawTable[[#This Row],[Month]]</f>
        <v>Jan-2026</v>
      </c>
      <c r="H155" s="11" t="str">
        <f>RawTable[[#This Row],[Currency]]</f>
        <v>JOD</v>
      </c>
      <c r="I155" s="4">
        <f>RawTable[[#This Row],[Net_Amount]]</f>
        <v>1640.52</v>
      </c>
      <c r="J155" s="2" t="str">
        <f>RawTable[[#This Row],[VAT_Applicable]]</f>
        <v>No</v>
      </c>
      <c r="K155" s="4">
        <f>RawTable[[#This Row],[VAT_Rate]]</f>
        <v>0</v>
      </c>
      <c r="L155" s="4">
        <f>RawTable[[#This Row],[VAT_Amount]]</f>
        <v>0</v>
      </c>
      <c r="M155" s="4">
        <f>RawTable[[#This Row],[Gross_Amount]]</f>
        <v>1640.52</v>
      </c>
      <c r="N155" s="4">
        <f>RawTable[[#This Row],[Exchange_Rate]]</f>
        <v>1.08643</v>
      </c>
      <c r="O155" s="4">
        <f>RawTable[[#This Row],[Amount_CHF]]</f>
        <v>1782.31</v>
      </c>
      <c r="P15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5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55" s="11" t="str">
        <f>IF(ValidationTable[[#This Row],[Currency]]="","Fail","Pass")</f>
        <v>Pass</v>
      </c>
      <c r="S155" s="11" t="str">
        <f>IF(
ValidationTable[[#This Row],[Currency]]="CHF",
IF(ValidationTable[[#This Row],[Exchange_Rate]]&lt;&gt;1,"Fail","Pass"),
IF(ValidationTable[[#This Row],[Exchange_Rate]]&lt;=0,"Fail","Pass")
)</f>
        <v>Pass</v>
      </c>
      <c r="T15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55" s="11" t="str">
        <f>IF(LEN(TRIM(ValidationTable[[#This Row],[Bank_Account]]))=0,"Fail","Pass")</f>
        <v>Pass</v>
      </c>
      <c r="V155" s="11" t="str">
        <f>IF(
COUNTIF(ValidationTable[Record_ID],ValidationTable[[#This Row],[Record_ID]])&gt;1,
"Fail",
"Pass"
)</f>
        <v>Pass</v>
      </c>
      <c r="W155" s="11" t="str">
        <f>IF(
COUNTIF(ValidationTable[[#This Row],[RequiredField_Validation]]:ValidationTable[[#This Row],[Duplicate_Validation]],"Fail")&gt;0,
"Fail",
"Pass"
)</f>
        <v>Pass</v>
      </c>
      <c r="X155" s="11" t="str">
        <f>IF(ValidationTable[[#This Row],[Validation_Result]]="Pass","Yes","No")</f>
        <v>Yes</v>
      </c>
    </row>
    <row r="156" spans="1:24">
      <c r="A156" s="11">
        <f>RawTable[[#This Row],[Record_ID]]</f>
        <v>155</v>
      </c>
      <c r="B156" s="11" t="str">
        <f>RawTable[[#This Row],[Payment_Type]]</f>
        <v>Payroll</v>
      </c>
      <c r="C156" s="11" t="str">
        <f>RawTable[[#This Row],[Entity_Type]]</f>
        <v>Employee</v>
      </c>
      <c r="D156" s="11" t="str">
        <f>RawTable[[#This Row],[Country]]</f>
        <v>USA</v>
      </c>
      <c r="E156" s="11" t="str">
        <f>RawTable[[#This Row],[Name]]</f>
        <v>Ahmed Johnson</v>
      </c>
      <c r="F156" s="11" t="str">
        <f>RawTable[[#This Row],[Bank_Account]]</f>
        <v>AE-IBAN-03313581</v>
      </c>
      <c r="G156" s="11" t="str">
        <f>RawTable[[#This Row],[Month]]</f>
        <v>Jan-2026</v>
      </c>
      <c r="H156" s="11" t="str">
        <f>RawTable[[#This Row],[Currency]]</f>
        <v>USD</v>
      </c>
      <c r="I156" s="4">
        <f>RawTable[[#This Row],[Net_Amount]]</f>
        <v>6400.8</v>
      </c>
      <c r="J156" s="2" t="str">
        <f>RawTable[[#This Row],[VAT_Applicable]]</f>
        <v>No</v>
      </c>
      <c r="K156" s="4">
        <f>RawTable[[#This Row],[VAT_Rate]]</f>
        <v>0</v>
      </c>
      <c r="L156" s="4">
        <f>RawTable[[#This Row],[VAT_Amount]]</f>
        <v>0</v>
      </c>
      <c r="M156" s="4">
        <f>RawTable[[#This Row],[Gross_Amount]]</f>
        <v>6400.8</v>
      </c>
      <c r="N156" s="4">
        <f>RawTable[[#This Row],[Exchange_Rate]]</f>
        <v>0.77017999999999998</v>
      </c>
      <c r="O156" s="4">
        <f>RawTable[[#This Row],[Amount_CHF]]</f>
        <v>4929.7700000000004</v>
      </c>
      <c r="P15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5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56" s="11" t="str">
        <f>IF(ValidationTable[[#This Row],[Currency]]="","Fail","Pass")</f>
        <v>Pass</v>
      </c>
      <c r="S156" s="11" t="str">
        <f>IF(
ValidationTable[[#This Row],[Currency]]="CHF",
IF(ValidationTable[[#This Row],[Exchange_Rate]]&lt;&gt;1,"Fail","Pass"),
IF(ValidationTable[[#This Row],[Exchange_Rate]]&lt;=0,"Fail","Pass")
)</f>
        <v>Pass</v>
      </c>
      <c r="T15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56" s="11" t="str">
        <f>IF(LEN(TRIM(ValidationTable[[#This Row],[Bank_Account]]))=0,"Fail","Pass")</f>
        <v>Pass</v>
      </c>
      <c r="V156" s="11" t="str">
        <f>IF(
COUNTIF(ValidationTable[Record_ID],ValidationTable[[#This Row],[Record_ID]])&gt;1,
"Fail",
"Pass"
)</f>
        <v>Pass</v>
      </c>
      <c r="W156" s="11" t="str">
        <f>IF(
COUNTIF(ValidationTable[[#This Row],[RequiredField_Validation]]:ValidationTable[[#This Row],[Duplicate_Validation]],"Fail")&gt;0,
"Fail",
"Pass"
)</f>
        <v>Pass</v>
      </c>
      <c r="X156" s="11" t="str">
        <f>IF(ValidationTable[[#This Row],[Validation_Result]]="Pass","Yes","No")</f>
        <v>Yes</v>
      </c>
    </row>
    <row r="157" spans="1:24">
      <c r="A157" s="11">
        <f>RawTable[[#This Row],[Record_ID]]</f>
        <v>156</v>
      </c>
      <c r="B157" s="11" t="str">
        <f>RawTable[[#This Row],[Payment_Type]]</f>
        <v>Payroll</v>
      </c>
      <c r="C157" s="11" t="str">
        <f>RawTable[[#This Row],[Entity_Type]]</f>
        <v>Employee</v>
      </c>
      <c r="D157" s="11" t="str">
        <f>RawTable[[#This Row],[Country]]</f>
        <v>USA</v>
      </c>
      <c r="E157" s="11" t="str">
        <f>RawTable[[#This Row],[Name]]</f>
        <v>Laura Khan</v>
      </c>
      <c r="F157" s="11" t="str">
        <f>RawTable[[#This Row],[Bank_Account]]</f>
        <v>US-RT-000066636-AC-0000306612</v>
      </c>
      <c r="G157" s="11" t="str">
        <f>RawTable[[#This Row],[Month]]</f>
        <v>Mar-2026</v>
      </c>
      <c r="H157" s="11" t="str">
        <f>RawTable[[#This Row],[Currency]]</f>
        <v>USD</v>
      </c>
      <c r="I157" s="4">
        <f>RawTable[[#This Row],[Net_Amount]]</f>
        <v>7491.51</v>
      </c>
      <c r="J157" s="2" t="str">
        <f>RawTable[[#This Row],[VAT_Applicable]]</f>
        <v>No</v>
      </c>
      <c r="K157" s="4">
        <f>RawTable[[#This Row],[VAT_Rate]]</f>
        <v>0</v>
      </c>
      <c r="L157" s="4">
        <f>RawTable[[#This Row],[VAT_Amount]]</f>
        <v>0</v>
      </c>
      <c r="M157" s="4">
        <f>RawTable[[#This Row],[Gross_Amount]]</f>
        <v>7491.51</v>
      </c>
      <c r="N157" s="4">
        <f>RawTable[[#This Row],[Exchange_Rate]]</f>
        <v>0.77017999999999998</v>
      </c>
      <c r="O157" s="4">
        <f>RawTable[[#This Row],[Amount_CHF]]</f>
        <v>5769.81</v>
      </c>
      <c r="P15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5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57" s="11" t="str">
        <f>IF(ValidationTable[[#This Row],[Currency]]="","Fail","Pass")</f>
        <v>Pass</v>
      </c>
      <c r="S157" s="11" t="str">
        <f>IF(
ValidationTable[[#This Row],[Currency]]="CHF",
IF(ValidationTable[[#This Row],[Exchange_Rate]]&lt;&gt;1,"Fail","Pass"),
IF(ValidationTable[[#This Row],[Exchange_Rate]]&lt;=0,"Fail","Pass")
)</f>
        <v>Pass</v>
      </c>
      <c r="T15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57" s="11" t="str">
        <f>IF(LEN(TRIM(ValidationTable[[#This Row],[Bank_Account]]))=0,"Fail","Pass")</f>
        <v>Pass</v>
      </c>
      <c r="V157" s="11" t="str">
        <f>IF(
COUNTIF(ValidationTable[Record_ID],ValidationTable[[#This Row],[Record_ID]])&gt;1,
"Fail",
"Pass"
)</f>
        <v>Pass</v>
      </c>
      <c r="W157" s="11" t="str">
        <f>IF(
COUNTIF(ValidationTable[[#This Row],[RequiredField_Validation]]:ValidationTable[[#This Row],[Duplicate_Validation]],"Fail")&gt;0,
"Fail",
"Pass"
)</f>
        <v>Pass</v>
      </c>
      <c r="X157" s="11" t="str">
        <f>IF(ValidationTable[[#This Row],[Validation_Result]]="Pass","Yes","No")</f>
        <v>Yes</v>
      </c>
    </row>
    <row r="158" spans="1:24">
      <c r="A158" s="11">
        <f>RawTable[[#This Row],[Record_ID]]</f>
        <v>157</v>
      </c>
      <c r="B158" s="11" t="str">
        <f>RawTable[[#This Row],[Payment_Type]]</f>
        <v>Payroll</v>
      </c>
      <c r="C158" s="11" t="str">
        <f>RawTable[[#This Row],[Entity_Type]]</f>
        <v>Employee</v>
      </c>
      <c r="D158" s="11" t="str">
        <f>RawTable[[#This Row],[Country]]</f>
        <v>Jordan</v>
      </c>
      <c r="E158" s="11" t="str">
        <f>RawTable[[#This Row],[Name]]</f>
        <v>Julia Ali</v>
      </c>
      <c r="F158" s="11" t="str">
        <f>RawTable[[#This Row],[Bank_Account]]</f>
        <v>JO-IBAN-00469110</v>
      </c>
      <c r="G158" s="11" t="str">
        <f>RawTable[[#This Row],[Month]]</f>
        <v>Feb-2026</v>
      </c>
      <c r="H158" s="11" t="str">
        <f>RawTable[[#This Row],[Currency]]</f>
        <v>JOD</v>
      </c>
      <c r="I158" s="4">
        <f>RawTable[[#This Row],[Net_Amount]]</f>
        <v>1921.46</v>
      </c>
      <c r="J158" s="2" t="str">
        <f>RawTable[[#This Row],[VAT_Applicable]]</f>
        <v>No</v>
      </c>
      <c r="K158" s="4">
        <f>RawTable[[#This Row],[VAT_Rate]]</f>
        <v>0</v>
      </c>
      <c r="L158" s="4">
        <f>RawTable[[#This Row],[VAT_Amount]]</f>
        <v>0</v>
      </c>
      <c r="M158" s="4">
        <f>RawTable[[#This Row],[Gross_Amount]]</f>
        <v>1921.46</v>
      </c>
      <c r="N158" s="4">
        <f>RawTable[[#This Row],[Exchange_Rate]]</f>
        <v>1.08643</v>
      </c>
      <c r="O158" s="4">
        <f>RawTable[[#This Row],[Amount_CHF]]</f>
        <v>2087.5300000000002</v>
      </c>
      <c r="P15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5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58" s="11" t="str">
        <f>IF(ValidationTable[[#This Row],[Currency]]="","Fail","Pass")</f>
        <v>Pass</v>
      </c>
      <c r="S158" s="11" t="str">
        <f>IF(
ValidationTable[[#This Row],[Currency]]="CHF",
IF(ValidationTable[[#This Row],[Exchange_Rate]]&lt;&gt;1,"Fail","Pass"),
IF(ValidationTable[[#This Row],[Exchange_Rate]]&lt;=0,"Fail","Pass")
)</f>
        <v>Pass</v>
      </c>
      <c r="T15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58" s="11" t="str">
        <f>IF(LEN(TRIM(ValidationTable[[#This Row],[Bank_Account]]))=0,"Fail","Pass")</f>
        <v>Pass</v>
      </c>
      <c r="V158" s="11" t="str">
        <f>IF(
COUNTIF(ValidationTable[Record_ID],ValidationTable[[#This Row],[Record_ID]])&gt;1,
"Fail",
"Pass"
)</f>
        <v>Pass</v>
      </c>
      <c r="W158" s="11" t="str">
        <f>IF(
COUNTIF(ValidationTable[[#This Row],[RequiredField_Validation]]:ValidationTable[[#This Row],[Duplicate_Validation]],"Fail")&gt;0,
"Fail",
"Pass"
)</f>
        <v>Pass</v>
      </c>
      <c r="X158" s="11" t="str">
        <f>IF(ValidationTable[[#This Row],[Validation_Result]]="Pass","Yes","No")</f>
        <v>Yes</v>
      </c>
    </row>
    <row r="159" spans="1:24">
      <c r="A159" s="11">
        <f>RawTable[[#This Row],[Record_ID]]</f>
        <v>158</v>
      </c>
      <c r="B159" s="11" t="str">
        <f>RawTable[[#This Row],[Payment_Type]]</f>
        <v>Payroll</v>
      </c>
      <c r="C159" s="11" t="str">
        <f>RawTable[[#This Row],[Entity_Type]]</f>
        <v>Employee</v>
      </c>
      <c r="D159" s="11" t="str">
        <f>RawTable[[#This Row],[Country]]</f>
        <v>USA</v>
      </c>
      <c r="E159" s="11" t="str">
        <f>RawTable[[#This Row],[Name]]</f>
        <v>Sara Smith</v>
      </c>
      <c r="F159" s="11" t="str">
        <f>RawTable[[#This Row],[Bank_Account]]</f>
        <v>JO-IBAN-00925875</v>
      </c>
      <c r="G159" s="11" t="str">
        <f>RawTable[[#This Row],[Month]]</f>
        <v>Mar-2026</v>
      </c>
      <c r="H159" s="11" t="str">
        <f>RawTable[[#This Row],[Currency]]</f>
        <v>USD</v>
      </c>
      <c r="I159" s="4">
        <f>RawTable[[#This Row],[Net_Amount]]</f>
        <v>7679.7</v>
      </c>
      <c r="J159" s="2" t="str">
        <f>RawTable[[#This Row],[VAT_Applicable]]</f>
        <v>No</v>
      </c>
      <c r="K159" s="4">
        <f>RawTable[[#This Row],[VAT_Rate]]</f>
        <v>0</v>
      </c>
      <c r="L159" s="4">
        <f>RawTable[[#This Row],[VAT_Amount]]</f>
        <v>0</v>
      </c>
      <c r="M159" s="4">
        <f>RawTable[[#This Row],[Gross_Amount]]</f>
        <v>7679.7</v>
      </c>
      <c r="N159" s="4">
        <f>RawTable[[#This Row],[Exchange_Rate]]</f>
        <v>0.77017999999999998</v>
      </c>
      <c r="O159" s="4">
        <f>RawTable[[#This Row],[Amount_CHF]]</f>
        <v>5914.75</v>
      </c>
      <c r="P15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5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59" s="11" t="str">
        <f>IF(ValidationTable[[#This Row],[Currency]]="","Fail","Pass")</f>
        <v>Pass</v>
      </c>
      <c r="S159" s="11" t="str">
        <f>IF(
ValidationTable[[#This Row],[Currency]]="CHF",
IF(ValidationTable[[#This Row],[Exchange_Rate]]&lt;&gt;1,"Fail","Pass"),
IF(ValidationTable[[#This Row],[Exchange_Rate]]&lt;=0,"Fail","Pass")
)</f>
        <v>Pass</v>
      </c>
      <c r="T15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59" s="11" t="str">
        <f>IF(LEN(TRIM(ValidationTable[[#This Row],[Bank_Account]]))=0,"Fail","Pass")</f>
        <v>Pass</v>
      </c>
      <c r="V159" s="11" t="str">
        <f>IF(
COUNTIF(ValidationTable[Record_ID],ValidationTable[[#This Row],[Record_ID]])&gt;1,
"Fail",
"Pass"
)</f>
        <v>Pass</v>
      </c>
      <c r="W159" s="11" t="str">
        <f>IF(
COUNTIF(ValidationTable[[#This Row],[RequiredField_Validation]]:ValidationTable[[#This Row],[Duplicate_Validation]],"Fail")&gt;0,
"Fail",
"Pass"
)</f>
        <v>Pass</v>
      </c>
      <c r="X159" s="11" t="str">
        <f>IF(ValidationTable[[#This Row],[Validation_Result]]="Pass","Yes","No")</f>
        <v>Yes</v>
      </c>
    </row>
    <row r="160" spans="1:24">
      <c r="A160" s="11">
        <f>RawTable[[#This Row],[Record_ID]]</f>
        <v>159</v>
      </c>
      <c r="B160" s="11" t="str">
        <f>RawTable[[#This Row],[Payment_Type]]</f>
        <v>Payroll</v>
      </c>
      <c r="C160" s="11" t="str">
        <f>RawTable[[#This Row],[Entity_Type]]</f>
        <v>Employee</v>
      </c>
      <c r="D160" s="11" t="str">
        <f>RawTable[[#This Row],[Country]]</f>
        <v>Jordan</v>
      </c>
      <c r="E160" s="11" t="str">
        <f>RawTable[[#This Row],[Name]]</f>
        <v>John Wilson</v>
      </c>
      <c r="F160" s="11" t="str">
        <f>RawTable[[#This Row],[Bank_Account]]</f>
        <v>US-RT-000071572-AC-0000329324</v>
      </c>
      <c r="G160" s="11" t="str">
        <f>RawTable[[#This Row],[Month]]</f>
        <v>Jan-2026</v>
      </c>
      <c r="H160" s="11" t="str">
        <f>RawTable[[#This Row],[Currency]]</f>
        <v>JOD</v>
      </c>
      <c r="I160" s="4">
        <f>RawTable[[#This Row],[Net_Amount]]</f>
        <v>1922.94</v>
      </c>
      <c r="J160" s="2" t="str">
        <f>RawTable[[#This Row],[VAT_Applicable]]</f>
        <v>No</v>
      </c>
      <c r="K160" s="4">
        <f>RawTable[[#This Row],[VAT_Rate]]</f>
        <v>0</v>
      </c>
      <c r="L160" s="4">
        <f>RawTable[[#This Row],[VAT_Amount]]</f>
        <v>0</v>
      </c>
      <c r="M160" s="4">
        <f>RawTable[[#This Row],[Gross_Amount]]</f>
        <v>1922.94</v>
      </c>
      <c r="N160" s="4">
        <f>RawTable[[#This Row],[Exchange_Rate]]</f>
        <v>1.08643</v>
      </c>
      <c r="O160" s="4">
        <f>RawTable[[#This Row],[Amount_CHF]]</f>
        <v>2089.14</v>
      </c>
      <c r="P16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6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60" s="11" t="str">
        <f>IF(ValidationTable[[#This Row],[Currency]]="","Fail","Pass")</f>
        <v>Pass</v>
      </c>
      <c r="S160" s="11" t="str">
        <f>IF(
ValidationTable[[#This Row],[Currency]]="CHF",
IF(ValidationTable[[#This Row],[Exchange_Rate]]&lt;&gt;1,"Fail","Pass"),
IF(ValidationTable[[#This Row],[Exchange_Rate]]&lt;=0,"Fail","Pass")
)</f>
        <v>Pass</v>
      </c>
      <c r="T16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60" s="11" t="str">
        <f>IF(LEN(TRIM(ValidationTable[[#This Row],[Bank_Account]]))=0,"Fail","Pass")</f>
        <v>Pass</v>
      </c>
      <c r="V160" s="11" t="str">
        <f>IF(
COUNTIF(ValidationTable[Record_ID],ValidationTable[[#This Row],[Record_ID]])&gt;1,
"Fail",
"Pass"
)</f>
        <v>Pass</v>
      </c>
      <c r="W160" s="11" t="str">
        <f>IF(
COUNTIF(ValidationTable[[#This Row],[RequiredField_Validation]]:ValidationTable[[#This Row],[Duplicate_Validation]],"Fail")&gt;0,
"Fail",
"Pass"
)</f>
        <v>Pass</v>
      </c>
      <c r="X160" s="11" t="str">
        <f>IF(ValidationTable[[#This Row],[Validation_Result]]="Pass","Yes","No")</f>
        <v>Yes</v>
      </c>
    </row>
    <row r="161" spans="1:24">
      <c r="A161" s="11">
        <f>RawTable[[#This Row],[Record_ID]]</f>
        <v>160</v>
      </c>
      <c r="B161" s="11" t="str">
        <f>RawTable[[#This Row],[Payment_Type]]</f>
        <v>Payroll</v>
      </c>
      <c r="C161" s="11" t="str">
        <f>RawTable[[#This Row],[Entity_Type]]</f>
        <v>Employee</v>
      </c>
      <c r="D161" s="11" t="str">
        <f>RawTable[[#This Row],[Country]]</f>
        <v>UAE</v>
      </c>
      <c r="E161" s="11" t="str">
        <f>RawTable[[#This Row],[Name]]</f>
        <v>Ahmed Johnson</v>
      </c>
      <c r="F161" s="11" t="str">
        <f>RawTable[[#This Row],[Bank_Account]]</f>
        <v>AE-IBAN-03313581</v>
      </c>
      <c r="G161" s="11" t="str">
        <f>RawTable[[#This Row],[Month]]</f>
        <v>Jan-2026</v>
      </c>
      <c r="H161" s="11" t="str">
        <f>RawTable[[#This Row],[Currency]]</f>
        <v>AED</v>
      </c>
      <c r="I161" s="4">
        <f>RawTable[[#This Row],[Net_Amount]]</f>
        <v>20418.55</v>
      </c>
      <c r="J161" s="2" t="str">
        <f>RawTable[[#This Row],[VAT_Applicable]]</f>
        <v>No</v>
      </c>
      <c r="K161" s="4">
        <f>RawTable[[#This Row],[VAT_Rate]]</f>
        <v>0</v>
      </c>
      <c r="L161" s="4">
        <f>RawTable[[#This Row],[VAT_Amount]]</f>
        <v>0</v>
      </c>
      <c r="M161" s="4">
        <f>RawTable[[#This Row],[Gross_Amount]]</f>
        <v>20418.55</v>
      </c>
      <c r="N161" s="4">
        <f>RawTable[[#This Row],[Exchange_Rate]]</f>
        <v>0.21065</v>
      </c>
      <c r="O161" s="4">
        <f>RawTable[[#This Row],[Amount_CHF]]</f>
        <v>4301.17</v>
      </c>
      <c r="P16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6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61" s="11" t="str">
        <f>IF(ValidationTable[[#This Row],[Currency]]="","Fail","Pass")</f>
        <v>Pass</v>
      </c>
      <c r="S161" s="11" t="str">
        <f>IF(
ValidationTable[[#This Row],[Currency]]="CHF",
IF(ValidationTable[[#This Row],[Exchange_Rate]]&lt;&gt;1,"Fail","Pass"),
IF(ValidationTable[[#This Row],[Exchange_Rate]]&lt;=0,"Fail","Pass")
)</f>
        <v>Pass</v>
      </c>
      <c r="T16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61" s="11" t="str">
        <f>IF(LEN(TRIM(ValidationTable[[#This Row],[Bank_Account]]))=0,"Fail","Pass")</f>
        <v>Pass</v>
      </c>
      <c r="V161" s="11" t="str">
        <f>IF(
COUNTIF(ValidationTable[Record_ID],ValidationTable[[#This Row],[Record_ID]])&gt;1,
"Fail",
"Pass"
)</f>
        <v>Pass</v>
      </c>
      <c r="W161" s="11" t="str">
        <f>IF(
COUNTIF(ValidationTable[[#This Row],[RequiredField_Validation]]:ValidationTable[[#This Row],[Duplicate_Validation]],"Fail")&gt;0,
"Fail",
"Pass"
)</f>
        <v>Pass</v>
      </c>
      <c r="X161" s="11" t="str">
        <f>IF(ValidationTable[[#This Row],[Validation_Result]]="Pass","Yes","No")</f>
        <v>Yes</v>
      </c>
    </row>
    <row r="162" spans="1:24">
      <c r="A162" s="11">
        <f>RawTable[[#This Row],[Record_ID]]</f>
        <v>161</v>
      </c>
      <c r="B162" s="11" t="str">
        <f>RawTable[[#This Row],[Payment_Type]]</f>
        <v>Payroll</v>
      </c>
      <c r="C162" s="11" t="str">
        <f>RawTable[[#This Row],[Entity_Type]]</f>
        <v>Employee</v>
      </c>
      <c r="D162" s="11" t="str">
        <f>RawTable[[#This Row],[Country]]</f>
        <v>Switzerland</v>
      </c>
      <c r="E162" s="11" t="str">
        <f>RawTable[[#This Row],[Name]]</f>
        <v>Julia Ali</v>
      </c>
      <c r="F162" s="11" t="str">
        <f>RawTable[[#This Row],[Bank_Account]]</f>
        <v>JO-IBAN-00469110</v>
      </c>
      <c r="G162" s="11" t="str">
        <f>RawTable[[#This Row],[Month]]</f>
        <v>Jan-2026</v>
      </c>
      <c r="H162" s="11" t="str">
        <f>RawTable[[#This Row],[Currency]]</f>
        <v>CHF</v>
      </c>
      <c r="I162" s="4">
        <f>RawTable[[#This Row],[Net_Amount]]</f>
        <v>6938.59</v>
      </c>
      <c r="J162" s="2" t="str">
        <f>RawTable[[#This Row],[VAT_Applicable]]</f>
        <v>No</v>
      </c>
      <c r="K162" s="4">
        <f>RawTable[[#This Row],[VAT_Rate]]</f>
        <v>0</v>
      </c>
      <c r="L162" s="4">
        <f>RawTable[[#This Row],[VAT_Amount]]</f>
        <v>0</v>
      </c>
      <c r="M162" s="4">
        <f>RawTable[[#This Row],[Gross_Amount]]</f>
        <v>6938.59</v>
      </c>
      <c r="N162" s="4">
        <f>RawTable[[#This Row],[Exchange_Rate]]</f>
        <v>1</v>
      </c>
      <c r="O162" s="4">
        <f>RawTable[[#This Row],[Amount_CHF]]</f>
        <v>6938.59</v>
      </c>
      <c r="P16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6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62" s="11" t="str">
        <f>IF(ValidationTable[[#This Row],[Currency]]="","Fail","Pass")</f>
        <v>Pass</v>
      </c>
      <c r="S162" s="11" t="str">
        <f>IF(
ValidationTable[[#This Row],[Currency]]="CHF",
IF(ValidationTable[[#This Row],[Exchange_Rate]]&lt;&gt;1,"Fail","Pass"),
IF(ValidationTable[[#This Row],[Exchange_Rate]]&lt;=0,"Fail","Pass")
)</f>
        <v>Pass</v>
      </c>
      <c r="T16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62" s="11" t="str">
        <f>IF(LEN(TRIM(ValidationTable[[#This Row],[Bank_Account]]))=0,"Fail","Pass")</f>
        <v>Pass</v>
      </c>
      <c r="V162" s="11" t="str">
        <f>IF(
COUNTIF(ValidationTable[Record_ID],ValidationTable[[#This Row],[Record_ID]])&gt;1,
"Fail",
"Pass"
)</f>
        <v>Pass</v>
      </c>
      <c r="W162" s="11" t="str">
        <f>IF(
COUNTIF(ValidationTable[[#This Row],[RequiredField_Validation]]:ValidationTable[[#This Row],[Duplicate_Validation]],"Fail")&gt;0,
"Fail",
"Pass"
)</f>
        <v>Pass</v>
      </c>
      <c r="X162" s="11" t="str">
        <f>IF(ValidationTable[[#This Row],[Validation_Result]]="Pass","Yes","No")</f>
        <v>Yes</v>
      </c>
    </row>
    <row r="163" spans="1:24">
      <c r="A163" s="11">
        <f>RawTable[[#This Row],[Record_ID]]</f>
        <v>162</v>
      </c>
      <c r="B163" s="11" t="str">
        <f>RawTable[[#This Row],[Payment_Type]]</f>
        <v>Payroll</v>
      </c>
      <c r="C163" s="11" t="str">
        <f>RawTable[[#This Row],[Entity_Type]]</f>
        <v>Employee</v>
      </c>
      <c r="D163" s="11" t="str">
        <f>RawTable[[#This Row],[Country]]</f>
        <v>USA</v>
      </c>
      <c r="E163" s="11" t="str">
        <f>RawTable[[#This Row],[Name]]</f>
        <v>Laura Müller</v>
      </c>
      <c r="F163" s="11" t="str">
        <f>RawTable[[#This Row],[Bank_Account]]</f>
        <v>US-RT-000095018-AC-0000437206</v>
      </c>
      <c r="G163" s="11" t="str">
        <f>RawTable[[#This Row],[Month]]</f>
        <v>Mar-2026</v>
      </c>
      <c r="H163" s="11" t="str">
        <f>RawTable[[#This Row],[Currency]]</f>
        <v>USD</v>
      </c>
      <c r="I163" s="4">
        <f>RawTable[[#This Row],[Net_Amount]]</f>
        <v>7132.3</v>
      </c>
      <c r="J163" s="2" t="str">
        <f>RawTable[[#This Row],[VAT_Applicable]]</f>
        <v>No</v>
      </c>
      <c r="K163" s="4">
        <f>RawTable[[#This Row],[VAT_Rate]]</f>
        <v>0</v>
      </c>
      <c r="L163" s="4">
        <f>RawTable[[#This Row],[VAT_Amount]]</f>
        <v>0</v>
      </c>
      <c r="M163" s="4">
        <f>RawTable[[#This Row],[Gross_Amount]]</f>
        <v>7132.3</v>
      </c>
      <c r="N163" s="4">
        <f>RawTable[[#This Row],[Exchange_Rate]]</f>
        <v>0.77017999999999998</v>
      </c>
      <c r="O163" s="4">
        <f>RawTable[[#This Row],[Amount_CHF]]</f>
        <v>5493.15</v>
      </c>
      <c r="P16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6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63" s="11" t="str">
        <f>IF(ValidationTable[[#This Row],[Currency]]="","Fail","Pass")</f>
        <v>Pass</v>
      </c>
      <c r="S163" s="11" t="str">
        <f>IF(
ValidationTable[[#This Row],[Currency]]="CHF",
IF(ValidationTable[[#This Row],[Exchange_Rate]]&lt;&gt;1,"Fail","Pass"),
IF(ValidationTable[[#This Row],[Exchange_Rate]]&lt;=0,"Fail","Pass")
)</f>
        <v>Pass</v>
      </c>
      <c r="T16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63" s="11" t="str">
        <f>IF(LEN(TRIM(ValidationTable[[#This Row],[Bank_Account]]))=0,"Fail","Pass")</f>
        <v>Pass</v>
      </c>
      <c r="V163" s="11" t="str">
        <f>IF(
COUNTIF(ValidationTable[Record_ID],ValidationTable[[#This Row],[Record_ID]])&gt;1,
"Fail",
"Pass"
)</f>
        <v>Pass</v>
      </c>
      <c r="W163" s="11" t="str">
        <f>IF(
COUNTIF(ValidationTable[[#This Row],[RequiredField_Validation]]:ValidationTable[[#This Row],[Duplicate_Validation]],"Fail")&gt;0,
"Fail",
"Pass"
)</f>
        <v>Pass</v>
      </c>
      <c r="X163" s="11" t="str">
        <f>IF(ValidationTable[[#This Row],[Validation_Result]]="Pass","Yes","No")</f>
        <v>Yes</v>
      </c>
    </row>
    <row r="164" spans="1:24">
      <c r="A164" s="11">
        <f>RawTable[[#This Row],[Record_ID]]</f>
        <v>163</v>
      </c>
      <c r="B164" s="11" t="str">
        <f>RawTable[[#This Row],[Payment_Type]]</f>
        <v>Payroll</v>
      </c>
      <c r="C164" s="11" t="str">
        <f>RawTable[[#This Row],[Entity_Type]]</f>
        <v>Employee</v>
      </c>
      <c r="D164" s="11" t="str">
        <f>RawTable[[#This Row],[Country]]</f>
        <v>UAE</v>
      </c>
      <c r="E164" s="11" t="str">
        <f>RawTable[[#This Row],[Name]]</f>
        <v>John Smith</v>
      </c>
      <c r="F164" s="11" t="str">
        <f>RawTable[[#This Row],[Bank_Account]]</f>
        <v>US-RT-000006170-AC-0000028390</v>
      </c>
      <c r="G164" s="11" t="str">
        <f>RawTable[[#This Row],[Month]]</f>
        <v>Feb-2026</v>
      </c>
      <c r="H164" s="11" t="str">
        <f>RawTable[[#This Row],[Currency]]</f>
        <v>AED</v>
      </c>
      <c r="I164" s="4">
        <f>RawTable[[#This Row],[Net_Amount]]</f>
        <v>22242</v>
      </c>
      <c r="J164" s="2" t="str">
        <f>RawTable[[#This Row],[VAT_Applicable]]</f>
        <v>No</v>
      </c>
      <c r="K164" s="4">
        <f>RawTable[[#This Row],[VAT_Rate]]</f>
        <v>0</v>
      </c>
      <c r="L164" s="4">
        <f>RawTable[[#This Row],[VAT_Amount]]</f>
        <v>0</v>
      </c>
      <c r="M164" s="4">
        <f>RawTable[[#This Row],[Gross_Amount]]</f>
        <v>22242</v>
      </c>
      <c r="N164" s="4">
        <f>RawTable[[#This Row],[Exchange_Rate]]</f>
        <v>0.21065</v>
      </c>
      <c r="O164" s="4">
        <f>RawTable[[#This Row],[Amount_CHF]]</f>
        <v>4685.28</v>
      </c>
      <c r="P16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6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64" s="11" t="str">
        <f>IF(ValidationTable[[#This Row],[Currency]]="","Fail","Pass")</f>
        <v>Pass</v>
      </c>
      <c r="S164" s="11" t="str">
        <f>IF(
ValidationTable[[#This Row],[Currency]]="CHF",
IF(ValidationTable[[#This Row],[Exchange_Rate]]&lt;&gt;1,"Fail","Pass"),
IF(ValidationTable[[#This Row],[Exchange_Rate]]&lt;=0,"Fail","Pass")
)</f>
        <v>Pass</v>
      </c>
      <c r="T16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64" s="11" t="str">
        <f>IF(LEN(TRIM(ValidationTable[[#This Row],[Bank_Account]]))=0,"Fail","Pass")</f>
        <v>Pass</v>
      </c>
      <c r="V164" s="11" t="str">
        <f>IF(
COUNTIF(ValidationTable[Record_ID],ValidationTable[[#This Row],[Record_ID]])&gt;1,
"Fail",
"Pass"
)</f>
        <v>Pass</v>
      </c>
      <c r="W164" s="11" t="str">
        <f>IF(
COUNTIF(ValidationTable[[#This Row],[RequiredField_Validation]]:ValidationTable[[#This Row],[Duplicate_Validation]],"Fail")&gt;0,
"Fail",
"Pass"
)</f>
        <v>Pass</v>
      </c>
      <c r="X164" s="11" t="str">
        <f>IF(ValidationTable[[#This Row],[Validation_Result]]="Pass","Yes","No")</f>
        <v>Yes</v>
      </c>
    </row>
    <row r="165" spans="1:24">
      <c r="A165" s="11">
        <f>RawTable[[#This Row],[Record_ID]]</f>
        <v>164</v>
      </c>
      <c r="B165" s="11" t="str">
        <f>RawTable[[#This Row],[Payment_Type]]</f>
        <v>Payroll</v>
      </c>
      <c r="C165" s="11" t="str">
        <f>RawTable[[#This Row],[Entity_Type]]</f>
        <v>Employee</v>
      </c>
      <c r="D165" s="11" t="str">
        <f>RawTable[[#This Row],[Country]]</f>
        <v>Jordan</v>
      </c>
      <c r="E165" s="11" t="str">
        <f>RawTable[[#This Row],[Name]]</f>
        <v>John Smith</v>
      </c>
      <c r="F165" s="11" t="str">
        <f>RawTable[[#This Row],[Bank_Account]]</f>
        <v>US-RT-000006170-AC-0000028390</v>
      </c>
      <c r="G165" s="11" t="str">
        <f>RawTable[[#This Row],[Month]]</f>
        <v>Mar-2026</v>
      </c>
      <c r="H165" s="11" t="str">
        <f>RawTable[[#This Row],[Currency]]</f>
        <v>JOD</v>
      </c>
      <c r="I165" s="4">
        <f>RawTable[[#This Row],[Net_Amount]]</f>
        <v>1819.8</v>
      </c>
      <c r="J165" s="2" t="str">
        <f>RawTable[[#This Row],[VAT_Applicable]]</f>
        <v>No</v>
      </c>
      <c r="K165" s="4">
        <f>RawTable[[#This Row],[VAT_Rate]]</f>
        <v>0</v>
      </c>
      <c r="L165" s="4">
        <f>RawTable[[#This Row],[VAT_Amount]]</f>
        <v>0</v>
      </c>
      <c r="M165" s="4">
        <f>RawTable[[#This Row],[Gross_Amount]]</f>
        <v>1819.8</v>
      </c>
      <c r="N165" s="4">
        <f>RawTable[[#This Row],[Exchange_Rate]]</f>
        <v>1.08643</v>
      </c>
      <c r="O165" s="4">
        <f>RawTable[[#This Row],[Amount_CHF]]</f>
        <v>1977.09</v>
      </c>
      <c r="P16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6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65" s="11" t="str">
        <f>IF(ValidationTable[[#This Row],[Currency]]="","Fail","Pass")</f>
        <v>Pass</v>
      </c>
      <c r="S165" s="11" t="str">
        <f>IF(
ValidationTable[[#This Row],[Currency]]="CHF",
IF(ValidationTable[[#This Row],[Exchange_Rate]]&lt;&gt;1,"Fail","Pass"),
IF(ValidationTable[[#This Row],[Exchange_Rate]]&lt;=0,"Fail","Pass")
)</f>
        <v>Pass</v>
      </c>
      <c r="T16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65" s="11" t="str">
        <f>IF(LEN(TRIM(ValidationTable[[#This Row],[Bank_Account]]))=0,"Fail","Pass")</f>
        <v>Pass</v>
      </c>
      <c r="V165" s="11" t="str">
        <f>IF(
COUNTIF(ValidationTable[Record_ID],ValidationTable[[#This Row],[Record_ID]])&gt;1,
"Fail",
"Pass"
)</f>
        <v>Pass</v>
      </c>
      <c r="W165" s="11" t="str">
        <f>IF(
COUNTIF(ValidationTable[[#This Row],[RequiredField_Validation]]:ValidationTable[[#This Row],[Duplicate_Validation]],"Fail")&gt;0,
"Fail",
"Pass"
)</f>
        <v>Pass</v>
      </c>
      <c r="X165" s="11" t="str">
        <f>IF(ValidationTable[[#This Row],[Validation_Result]]="Pass","Yes","No")</f>
        <v>Yes</v>
      </c>
    </row>
    <row r="166" spans="1:24">
      <c r="A166" s="11">
        <f>RawTable[[#This Row],[Record_ID]]</f>
        <v>165</v>
      </c>
      <c r="B166" s="11" t="str">
        <f>RawTable[[#This Row],[Payment_Type]]</f>
        <v>Payroll</v>
      </c>
      <c r="C166" s="11" t="str">
        <f>RawTable[[#This Row],[Entity_Type]]</f>
        <v>Employee</v>
      </c>
      <c r="D166" s="11" t="str">
        <f>RawTable[[#This Row],[Country]]</f>
        <v>USA</v>
      </c>
      <c r="E166" s="11" t="str">
        <f>RawTable[[#This Row],[Name]]</f>
        <v>Ahmed Smith</v>
      </c>
      <c r="F166" s="11" t="str">
        <f>RawTable[[#This Row],[Bank_Account]]</f>
        <v>JO-IBAN-00703665</v>
      </c>
      <c r="G166" s="11" t="str">
        <f>RawTable[[#This Row],[Month]]</f>
        <v>Jan-2026</v>
      </c>
      <c r="H166" s="11" t="str">
        <f>RawTable[[#This Row],[Currency]]</f>
        <v>USD</v>
      </c>
      <c r="I166" s="4">
        <f>RawTable[[#This Row],[Net_Amount]]</f>
        <v>6540.8</v>
      </c>
      <c r="J166" s="2" t="str">
        <f>RawTable[[#This Row],[VAT_Applicable]]</f>
        <v>No</v>
      </c>
      <c r="K166" s="4">
        <f>RawTable[[#This Row],[VAT_Rate]]</f>
        <v>0</v>
      </c>
      <c r="L166" s="4">
        <f>RawTable[[#This Row],[VAT_Amount]]</f>
        <v>0</v>
      </c>
      <c r="M166" s="4">
        <f>RawTable[[#This Row],[Gross_Amount]]</f>
        <v>6540.8</v>
      </c>
      <c r="N166" s="4">
        <f>RawTable[[#This Row],[Exchange_Rate]]</f>
        <v>0.77017999999999998</v>
      </c>
      <c r="O166" s="4">
        <f>RawTable[[#This Row],[Amount_CHF]]</f>
        <v>5037.59</v>
      </c>
      <c r="P16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6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66" s="11" t="str">
        <f>IF(ValidationTable[[#This Row],[Currency]]="","Fail","Pass")</f>
        <v>Pass</v>
      </c>
      <c r="S166" s="11" t="str">
        <f>IF(
ValidationTable[[#This Row],[Currency]]="CHF",
IF(ValidationTable[[#This Row],[Exchange_Rate]]&lt;&gt;1,"Fail","Pass"),
IF(ValidationTable[[#This Row],[Exchange_Rate]]&lt;=0,"Fail","Pass")
)</f>
        <v>Pass</v>
      </c>
      <c r="T16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66" s="11" t="str">
        <f>IF(LEN(TRIM(ValidationTable[[#This Row],[Bank_Account]]))=0,"Fail","Pass")</f>
        <v>Pass</v>
      </c>
      <c r="V166" s="11" t="str">
        <f>IF(
COUNTIF(ValidationTable[Record_ID],ValidationTable[[#This Row],[Record_ID]])&gt;1,
"Fail",
"Pass"
)</f>
        <v>Pass</v>
      </c>
      <c r="W166" s="11" t="str">
        <f>IF(
COUNTIF(ValidationTable[[#This Row],[RequiredField_Validation]]:ValidationTable[[#This Row],[Duplicate_Validation]],"Fail")&gt;0,
"Fail",
"Pass"
)</f>
        <v>Pass</v>
      </c>
      <c r="X166" s="11" t="str">
        <f>IF(ValidationTable[[#This Row],[Validation_Result]]="Pass","Yes","No")</f>
        <v>Yes</v>
      </c>
    </row>
    <row r="167" spans="1:24">
      <c r="A167" s="11">
        <f>RawTable[[#This Row],[Record_ID]]</f>
        <v>166</v>
      </c>
      <c r="B167" s="11" t="str">
        <f>RawTable[[#This Row],[Payment_Type]]</f>
        <v>Payroll</v>
      </c>
      <c r="C167" s="11" t="str">
        <f>RawTable[[#This Row],[Entity_Type]]</f>
        <v>Employee</v>
      </c>
      <c r="D167" s="11" t="str">
        <f>RawTable[[#This Row],[Country]]</f>
        <v>Jordan</v>
      </c>
      <c r="E167" s="11" t="str">
        <f>RawTable[[#This Row],[Name]]</f>
        <v>Omar Khan</v>
      </c>
      <c r="F167" s="11" t="str">
        <f>RawTable[[#This Row],[Bank_Account]]</f>
        <v>AE-IBAN-01738272</v>
      </c>
      <c r="G167" s="11" t="str">
        <f>RawTable[[#This Row],[Month]]</f>
        <v>Mar-2026</v>
      </c>
      <c r="H167" s="11" t="str">
        <f>RawTable[[#This Row],[Currency]]</f>
        <v>JOD</v>
      </c>
      <c r="I167" s="4">
        <f>RawTable[[#This Row],[Net_Amount]]</f>
        <v>1723.04</v>
      </c>
      <c r="J167" s="2" t="str">
        <f>RawTable[[#This Row],[VAT_Applicable]]</f>
        <v>No</v>
      </c>
      <c r="K167" s="4">
        <f>RawTable[[#This Row],[VAT_Rate]]</f>
        <v>0</v>
      </c>
      <c r="L167" s="4">
        <f>RawTable[[#This Row],[VAT_Amount]]</f>
        <v>0</v>
      </c>
      <c r="M167" s="4">
        <f>RawTable[[#This Row],[Gross_Amount]]</f>
        <v>1723.04</v>
      </c>
      <c r="N167" s="4">
        <f>RawTable[[#This Row],[Exchange_Rate]]</f>
        <v>1.08643</v>
      </c>
      <c r="O167" s="4">
        <f>RawTable[[#This Row],[Amount_CHF]]</f>
        <v>1871.96</v>
      </c>
      <c r="P16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6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67" s="11" t="str">
        <f>IF(ValidationTable[[#This Row],[Currency]]="","Fail","Pass")</f>
        <v>Pass</v>
      </c>
      <c r="S167" s="11" t="str">
        <f>IF(
ValidationTable[[#This Row],[Currency]]="CHF",
IF(ValidationTable[[#This Row],[Exchange_Rate]]&lt;&gt;1,"Fail","Pass"),
IF(ValidationTable[[#This Row],[Exchange_Rate]]&lt;=0,"Fail","Pass")
)</f>
        <v>Pass</v>
      </c>
      <c r="T16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67" s="11" t="str">
        <f>IF(LEN(TRIM(ValidationTable[[#This Row],[Bank_Account]]))=0,"Fail","Pass")</f>
        <v>Pass</v>
      </c>
      <c r="V167" s="11" t="str">
        <f>IF(
COUNTIF(ValidationTable[Record_ID],ValidationTable[[#This Row],[Record_ID]])&gt;1,
"Fail",
"Pass"
)</f>
        <v>Pass</v>
      </c>
      <c r="W167" s="11" t="str">
        <f>IF(
COUNTIF(ValidationTable[[#This Row],[RequiredField_Validation]]:ValidationTable[[#This Row],[Duplicate_Validation]],"Fail")&gt;0,
"Fail",
"Pass"
)</f>
        <v>Pass</v>
      </c>
      <c r="X167" s="11" t="str">
        <f>IF(ValidationTable[[#This Row],[Validation_Result]]="Pass","Yes","No")</f>
        <v>Yes</v>
      </c>
    </row>
    <row r="168" spans="1:24">
      <c r="A168" s="11">
        <f>RawTable[[#This Row],[Record_ID]]</f>
        <v>167</v>
      </c>
      <c r="B168" s="11" t="str">
        <f>RawTable[[#This Row],[Payment_Type]]</f>
        <v>Payroll</v>
      </c>
      <c r="C168" s="11" t="str">
        <f>RawTable[[#This Row],[Entity_Type]]</f>
        <v>Employee</v>
      </c>
      <c r="D168" s="11" t="str">
        <f>RawTable[[#This Row],[Country]]</f>
        <v>Switzerland</v>
      </c>
      <c r="E168" s="11" t="str">
        <f>RawTable[[#This Row],[Name]]</f>
        <v>Laura Haddad</v>
      </c>
      <c r="F168" s="11" t="str">
        <f>RawTable[[#This Row],[Bank_Account]]</f>
        <v>CH930000000001628880</v>
      </c>
      <c r="G168" s="11" t="str">
        <f>RawTable[[#This Row],[Month]]</f>
        <v>Mar-2026</v>
      </c>
      <c r="H168" s="11" t="str">
        <f>RawTable[[#This Row],[Currency]]</f>
        <v>CHF</v>
      </c>
      <c r="I168" s="4">
        <f>RawTable[[#This Row],[Net_Amount]]</f>
        <v>6373.18</v>
      </c>
      <c r="J168" s="2" t="str">
        <f>RawTable[[#This Row],[VAT_Applicable]]</f>
        <v>No</v>
      </c>
      <c r="K168" s="4">
        <f>RawTable[[#This Row],[VAT_Rate]]</f>
        <v>0</v>
      </c>
      <c r="L168" s="4">
        <f>RawTable[[#This Row],[VAT_Amount]]</f>
        <v>0</v>
      </c>
      <c r="M168" s="4">
        <f>RawTable[[#This Row],[Gross_Amount]]</f>
        <v>6373.18</v>
      </c>
      <c r="N168" s="4">
        <f>RawTable[[#This Row],[Exchange_Rate]]</f>
        <v>1</v>
      </c>
      <c r="O168" s="4">
        <f>RawTable[[#This Row],[Amount_CHF]]</f>
        <v>6373.18</v>
      </c>
      <c r="P16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6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68" s="11" t="str">
        <f>IF(ValidationTable[[#This Row],[Currency]]="","Fail","Pass")</f>
        <v>Pass</v>
      </c>
      <c r="S168" s="11" t="str">
        <f>IF(
ValidationTable[[#This Row],[Currency]]="CHF",
IF(ValidationTable[[#This Row],[Exchange_Rate]]&lt;&gt;1,"Fail","Pass"),
IF(ValidationTable[[#This Row],[Exchange_Rate]]&lt;=0,"Fail","Pass")
)</f>
        <v>Pass</v>
      </c>
      <c r="T16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68" s="11" t="str">
        <f>IF(LEN(TRIM(ValidationTable[[#This Row],[Bank_Account]]))=0,"Fail","Pass")</f>
        <v>Pass</v>
      </c>
      <c r="V168" s="11" t="str">
        <f>IF(
COUNTIF(ValidationTable[Record_ID],ValidationTable[[#This Row],[Record_ID]])&gt;1,
"Fail",
"Pass"
)</f>
        <v>Pass</v>
      </c>
      <c r="W168" s="11" t="str">
        <f>IF(
COUNTIF(ValidationTable[[#This Row],[RequiredField_Validation]]:ValidationTable[[#This Row],[Duplicate_Validation]],"Fail")&gt;0,
"Fail",
"Pass"
)</f>
        <v>Pass</v>
      </c>
      <c r="X168" s="11" t="str">
        <f>IF(ValidationTable[[#This Row],[Validation_Result]]="Pass","Yes","No")</f>
        <v>Yes</v>
      </c>
    </row>
    <row r="169" spans="1:24">
      <c r="A169" s="11">
        <f>RawTable[[#This Row],[Record_ID]]</f>
        <v>168</v>
      </c>
      <c r="B169" s="11" t="str">
        <f>RawTable[[#This Row],[Payment_Type]]</f>
        <v>Payroll</v>
      </c>
      <c r="C169" s="11" t="str">
        <f>RawTable[[#This Row],[Entity_Type]]</f>
        <v>Employee</v>
      </c>
      <c r="D169" s="11" t="str">
        <f>RawTable[[#This Row],[Country]]</f>
        <v>Switzerland</v>
      </c>
      <c r="E169" s="11" t="str">
        <f>RawTable[[#This Row],[Name]]</f>
        <v>Anna Schmidt</v>
      </c>
      <c r="F169" s="11" t="str">
        <f>RawTable[[#This Row],[Bank_Account]]</f>
        <v>DE890000000000190106</v>
      </c>
      <c r="G169" s="11" t="str">
        <f>RawTable[[#This Row],[Month]]</f>
        <v>Feb-2026</v>
      </c>
      <c r="H169" s="11" t="str">
        <f>RawTable[[#This Row],[Currency]]</f>
        <v>CHF</v>
      </c>
      <c r="I169" s="4">
        <f>RawTable[[#This Row],[Net_Amount]]</f>
        <v>6753.5</v>
      </c>
      <c r="J169" s="2" t="str">
        <f>RawTable[[#This Row],[VAT_Applicable]]</f>
        <v>No</v>
      </c>
      <c r="K169" s="4">
        <f>RawTable[[#This Row],[VAT_Rate]]</f>
        <v>0</v>
      </c>
      <c r="L169" s="4">
        <f>RawTable[[#This Row],[VAT_Amount]]</f>
        <v>0</v>
      </c>
      <c r="M169" s="4">
        <f>RawTable[[#This Row],[Gross_Amount]]</f>
        <v>6753.5</v>
      </c>
      <c r="N169" s="4">
        <f>RawTable[[#This Row],[Exchange_Rate]]</f>
        <v>1</v>
      </c>
      <c r="O169" s="4">
        <f>RawTable[[#This Row],[Amount_CHF]]</f>
        <v>6753.5</v>
      </c>
      <c r="P16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6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69" s="11" t="str">
        <f>IF(ValidationTable[[#This Row],[Currency]]="","Fail","Pass")</f>
        <v>Pass</v>
      </c>
      <c r="S169" s="11" t="str">
        <f>IF(
ValidationTable[[#This Row],[Currency]]="CHF",
IF(ValidationTable[[#This Row],[Exchange_Rate]]&lt;&gt;1,"Fail","Pass"),
IF(ValidationTable[[#This Row],[Exchange_Rate]]&lt;=0,"Fail","Pass")
)</f>
        <v>Pass</v>
      </c>
      <c r="T16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69" s="11" t="str">
        <f>IF(LEN(TRIM(ValidationTable[[#This Row],[Bank_Account]]))=0,"Fail","Pass")</f>
        <v>Pass</v>
      </c>
      <c r="V169" s="11" t="str">
        <f>IF(
COUNTIF(ValidationTable[Record_ID],ValidationTable[[#This Row],[Record_ID]])&gt;1,
"Fail",
"Pass"
)</f>
        <v>Pass</v>
      </c>
      <c r="W169" s="11" t="str">
        <f>IF(
COUNTIF(ValidationTable[[#This Row],[RequiredField_Validation]]:ValidationTable[[#This Row],[Duplicate_Validation]],"Fail")&gt;0,
"Fail",
"Pass"
)</f>
        <v>Pass</v>
      </c>
      <c r="X169" s="11" t="str">
        <f>IF(ValidationTable[[#This Row],[Validation_Result]]="Pass","Yes","No")</f>
        <v>Yes</v>
      </c>
    </row>
    <row r="170" spans="1:24">
      <c r="A170" s="11">
        <f>RawTable[[#This Row],[Record_ID]]</f>
        <v>169</v>
      </c>
      <c r="B170" s="11" t="str">
        <f>RawTable[[#This Row],[Payment_Type]]</f>
        <v>Payroll</v>
      </c>
      <c r="C170" s="11" t="str">
        <f>RawTable[[#This Row],[Entity_Type]]</f>
        <v>Employee</v>
      </c>
      <c r="D170" s="11" t="str">
        <f>RawTable[[#This Row],[Country]]</f>
        <v>UAE</v>
      </c>
      <c r="E170" s="11" t="str">
        <f>RawTable[[#This Row],[Name]]</f>
        <v>Omar Johnson</v>
      </c>
      <c r="F170" s="11" t="str">
        <f>RawTable[[#This Row],[Bank_Account]]</f>
        <v>DE890000000000366633</v>
      </c>
      <c r="G170" s="11" t="str">
        <f>RawTable[[#This Row],[Month]]</f>
        <v>Mar-2026</v>
      </c>
      <c r="H170" s="11" t="str">
        <f>RawTable[[#This Row],[Currency]]</f>
        <v>AED</v>
      </c>
      <c r="I170" s="4">
        <f>RawTable[[#This Row],[Net_Amount]]</f>
        <v>22149.599999999999</v>
      </c>
      <c r="J170" s="2" t="str">
        <f>RawTable[[#This Row],[VAT_Applicable]]</f>
        <v>No</v>
      </c>
      <c r="K170" s="4">
        <f>RawTable[[#This Row],[VAT_Rate]]</f>
        <v>0</v>
      </c>
      <c r="L170" s="4">
        <f>RawTable[[#This Row],[VAT_Amount]]</f>
        <v>0</v>
      </c>
      <c r="M170" s="4">
        <f>RawTable[[#This Row],[Gross_Amount]]</f>
        <v>22149.599999999999</v>
      </c>
      <c r="N170" s="4">
        <f>RawTable[[#This Row],[Exchange_Rate]]</f>
        <v>0.21065</v>
      </c>
      <c r="O170" s="4">
        <f>RawTable[[#This Row],[Amount_CHF]]</f>
        <v>4665.8100000000004</v>
      </c>
      <c r="P17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7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70" s="11" t="str">
        <f>IF(ValidationTable[[#This Row],[Currency]]="","Fail","Pass")</f>
        <v>Pass</v>
      </c>
      <c r="S170" s="11" t="str">
        <f>IF(
ValidationTable[[#This Row],[Currency]]="CHF",
IF(ValidationTable[[#This Row],[Exchange_Rate]]&lt;&gt;1,"Fail","Pass"),
IF(ValidationTable[[#This Row],[Exchange_Rate]]&lt;=0,"Fail","Pass")
)</f>
        <v>Pass</v>
      </c>
      <c r="T17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70" s="11" t="str">
        <f>IF(LEN(TRIM(ValidationTable[[#This Row],[Bank_Account]]))=0,"Fail","Pass")</f>
        <v>Pass</v>
      </c>
      <c r="V170" s="11" t="str">
        <f>IF(
COUNTIF(ValidationTable[Record_ID],ValidationTable[[#This Row],[Record_ID]])&gt;1,
"Fail",
"Pass"
)</f>
        <v>Pass</v>
      </c>
      <c r="W170" s="11" t="str">
        <f>IF(
COUNTIF(ValidationTable[[#This Row],[RequiredField_Validation]]:ValidationTable[[#This Row],[Duplicate_Validation]],"Fail")&gt;0,
"Fail",
"Pass"
)</f>
        <v>Pass</v>
      </c>
      <c r="X170" s="11" t="str">
        <f>IF(ValidationTable[[#This Row],[Validation_Result]]="Pass","Yes","No")</f>
        <v>Yes</v>
      </c>
    </row>
    <row r="171" spans="1:24">
      <c r="A171" s="11">
        <f>RawTable[[#This Row],[Record_ID]]</f>
        <v>170</v>
      </c>
      <c r="B171" s="11" t="str">
        <f>RawTable[[#This Row],[Payment_Type]]</f>
        <v>Payroll</v>
      </c>
      <c r="C171" s="11" t="str">
        <f>RawTable[[#This Row],[Entity_Type]]</f>
        <v>Employee</v>
      </c>
      <c r="D171" s="11" t="str">
        <f>RawTable[[#This Row],[Country]]</f>
        <v>Germany</v>
      </c>
      <c r="E171" s="11" t="str">
        <f>RawTable[[#This Row],[Name]]</f>
        <v>Anna Brown</v>
      </c>
      <c r="F171" s="11" t="str">
        <f>RawTable[[#This Row],[Bank_Account]]</f>
        <v>JO-IBAN-00790080</v>
      </c>
      <c r="G171" s="11" t="str">
        <f>RawTable[[#This Row],[Month]]</f>
        <v>Feb-2026</v>
      </c>
      <c r="H171" s="11" t="str">
        <f>RawTable[[#This Row],[Currency]]</f>
        <v>EUR</v>
      </c>
      <c r="I171" s="4">
        <f>RawTable[[#This Row],[Net_Amount]]</f>
        <v>5868.93</v>
      </c>
      <c r="J171" s="2" t="str">
        <f>RawTable[[#This Row],[VAT_Applicable]]</f>
        <v>No</v>
      </c>
      <c r="K171" s="4">
        <f>RawTable[[#This Row],[VAT_Rate]]</f>
        <v>0</v>
      </c>
      <c r="L171" s="4">
        <f>RawTable[[#This Row],[VAT_Amount]]</f>
        <v>0</v>
      </c>
      <c r="M171" s="4">
        <f>RawTable[[#This Row],[Gross_Amount]]</f>
        <v>5868.93</v>
      </c>
      <c r="N171" s="4">
        <f>RawTable[[#This Row],[Exchange_Rate]]</f>
        <v>0.90888000000000002</v>
      </c>
      <c r="O171" s="4">
        <f>RawTable[[#This Row],[Amount_CHF]]</f>
        <v>5334.15</v>
      </c>
      <c r="P17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7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71" s="11" t="str">
        <f>IF(ValidationTable[[#This Row],[Currency]]="","Fail","Pass")</f>
        <v>Pass</v>
      </c>
      <c r="S171" s="11" t="str">
        <f>IF(
ValidationTable[[#This Row],[Currency]]="CHF",
IF(ValidationTable[[#This Row],[Exchange_Rate]]&lt;&gt;1,"Fail","Pass"),
IF(ValidationTable[[#This Row],[Exchange_Rate]]&lt;=0,"Fail","Pass")
)</f>
        <v>Pass</v>
      </c>
      <c r="T17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71" s="11" t="str">
        <f>IF(LEN(TRIM(ValidationTable[[#This Row],[Bank_Account]]))=0,"Fail","Pass")</f>
        <v>Pass</v>
      </c>
      <c r="V171" s="11" t="str">
        <f>IF(
COUNTIF(ValidationTable[Record_ID],ValidationTable[[#This Row],[Record_ID]])&gt;1,
"Fail",
"Pass"
)</f>
        <v>Pass</v>
      </c>
      <c r="W171" s="11" t="str">
        <f>IF(
COUNTIF(ValidationTable[[#This Row],[RequiredField_Validation]]:ValidationTable[[#This Row],[Duplicate_Validation]],"Fail")&gt;0,
"Fail",
"Pass"
)</f>
        <v>Pass</v>
      </c>
      <c r="X171" s="11" t="str">
        <f>IF(ValidationTable[[#This Row],[Validation_Result]]="Pass","Yes","No")</f>
        <v>Yes</v>
      </c>
    </row>
    <row r="172" spans="1:24">
      <c r="A172" s="11">
        <f>RawTable[[#This Row],[Record_ID]]</f>
        <v>171</v>
      </c>
      <c r="B172" s="11" t="str">
        <f>RawTable[[#This Row],[Payment_Type]]</f>
        <v>Payroll</v>
      </c>
      <c r="C172" s="11" t="str">
        <f>RawTable[[#This Row],[Entity_Type]]</f>
        <v>Employee</v>
      </c>
      <c r="D172" s="11" t="str">
        <f>RawTable[[#This Row],[Country]]</f>
        <v>Switzerland</v>
      </c>
      <c r="E172" s="11" t="str">
        <f>RawTable[[#This Row],[Name]]</f>
        <v>Ahmed Taylor</v>
      </c>
      <c r="F172" s="11" t="str">
        <f>RawTable[[#This Row],[Bank_Account]]</f>
        <v>CH930000000001209320</v>
      </c>
      <c r="G172" s="11" t="str">
        <f>RawTable[[#This Row],[Month]]</f>
        <v>Feb-2026</v>
      </c>
      <c r="H172" s="11" t="str">
        <f>RawTable[[#This Row],[Currency]]</f>
        <v>CHF</v>
      </c>
      <c r="I172" s="4">
        <f>RawTable[[#This Row],[Net_Amount]]</f>
        <v>6917.48</v>
      </c>
      <c r="J172" s="2" t="str">
        <f>RawTable[[#This Row],[VAT_Applicable]]</f>
        <v>No</v>
      </c>
      <c r="K172" s="4">
        <f>RawTable[[#This Row],[VAT_Rate]]</f>
        <v>0</v>
      </c>
      <c r="L172" s="4">
        <f>RawTable[[#This Row],[VAT_Amount]]</f>
        <v>0</v>
      </c>
      <c r="M172" s="4">
        <f>RawTable[[#This Row],[Gross_Amount]]</f>
        <v>6917.48</v>
      </c>
      <c r="N172" s="4">
        <f>RawTable[[#This Row],[Exchange_Rate]]</f>
        <v>1</v>
      </c>
      <c r="O172" s="4">
        <f>RawTable[[#This Row],[Amount_CHF]]</f>
        <v>6917.48</v>
      </c>
      <c r="P17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7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72" s="11" t="str">
        <f>IF(ValidationTable[[#This Row],[Currency]]="","Fail","Pass")</f>
        <v>Pass</v>
      </c>
      <c r="S172" s="11" t="str">
        <f>IF(
ValidationTable[[#This Row],[Currency]]="CHF",
IF(ValidationTable[[#This Row],[Exchange_Rate]]&lt;&gt;1,"Fail","Pass"),
IF(ValidationTable[[#This Row],[Exchange_Rate]]&lt;=0,"Fail","Pass")
)</f>
        <v>Pass</v>
      </c>
      <c r="T17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72" s="11" t="str">
        <f>IF(LEN(TRIM(ValidationTable[[#This Row],[Bank_Account]]))=0,"Fail","Pass")</f>
        <v>Pass</v>
      </c>
      <c r="V172" s="11" t="str">
        <f>IF(
COUNTIF(ValidationTable[Record_ID],ValidationTable[[#This Row],[Record_ID]])&gt;1,
"Fail",
"Pass"
)</f>
        <v>Pass</v>
      </c>
      <c r="W172" s="11" t="str">
        <f>IF(
COUNTIF(ValidationTable[[#This Row],[RequiredField_Validation]]:ValidationTable[[#This Row],[Duplicate_Validation]],"Fail")&gt;0,
"Fail",
"Pass"
)</f>
        <v>Pass</v>
      </c>
      <c r="X172" s="11" t="str">
        <f>IF(ValidationTable[[#This Row],[Validation_Result]]="Pass","Yes","No")</f>
        <v>Yes</v>
      </c>
    </row>
    <row r="173" spans="1:24">
      <c r="A173" s="11">
        <f>RawTable[[#This Row],[Record_ID]]</f>
        <v>172</v>
      </c>
      <c r="B173" s="11" t="str">
        <f>RawTable[[#This Row],[Payment_Type]]</f>
        <v>Payroll</v>
      </c>
      <c r="C173" s="11" t="str">
        <f>RawTable[[#This Row],[Entity_Type]]</f>
        <v>Employee</v>
      </c>
      <c r="D173" s="11" t="str">
        <f>RawTable[[#This Row],[Country]]</f>
        <v>Germany</v>
      </c>
      <c r="E173" s="11" t="str">
        <f>RawTable[[#This Row],[Name]]</f>
        <v>Laura Haddad</v>
      </c>
      <c r="F173" s="11" t="str">
        <f>RawTable[[#This Row],[Bank_Account]]</f>
        <v>CH930000000001628880</v>
      </c>
      <c r="G173" s="11" t="str">
        <f>RawTable[[#This Row],[Month]]</f>
        <v>Mar-2026</v>
      </c>
      <c r="H173" s="11" t="str">
        <f>RawTable[[#This Row],[Currency]]</f>
        <v>EUR</v>
      </c>
      <c r="I173" s="4">
        <f>RawTable[[#This Row],[Net_Amount]]</f>
        <v>5796</v>
      </c>
      <c r="J173" s="2" t="str">
        <f>RawTable[[#This Row],[VAT_Applicable]]</f>
        <v>No</v>
      </c>
      <c r="K173" s="4">
        <f>RawTable[[#This Row],[VAT_Rate]]</f>
        <v>0</v>
      </c>
      <c r="L173" s="4">
        <f>RawTable[[#This Row],[VAT_Amount]]</f>
        <v>0</v>
      </c>
      <c r="M173" s="4">
        <f>RawTable[[#This Row],[Gross_Amount]]</f>
        <v>5796</v>
      </c>
      <c r="N173" s="4">
        <f>RawTable[[#This Row],[Exchange_Rate]]</f>
        <v>0.90888000000000002</v>
      </c>
      <c r="O173" s="4">
        <f>RawTable[[#This Row],[Amount_CHF]]</f>
        <v>5267.87</v>
      </c>
      <c r="P17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7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73" s="11" t="str">
        <f>IF(ValidationTable[[#This Row],[Currency]]="","Fail","Pass")</f>
        <v>Pass</v>
      </c>
      <c r="S173" s="11" t="str">
        <f>IF(
ValidationTable[[#This Row],[Currency]]="CHF",
IF(ValidationTable[[#This Row],[Exchange_Rate]]&lt;&gt;1,"Fail","Pass"),
IF(ValidationTable[[#This Row],[Exchange_Rate]]&lt;=0,"Fail","Pass")
)</f>
        <v>Pass</v>
      </c>
      <c r="T17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73" s="11" t="str">
        <f>IF(LEN(TRIM(ValidationTable[[#This Row],[Bank_Account]]))=0,"Fail","Pass")</f>
        <v>Pass</v>
      </c>
      <c r="V173" s="11" t="str">
        <f>IF(
COUNTIF(ValidationTable[Record_ID],ValidationTable[[#This Row],[Record_ID]])&gt;1,
"Fail",
"Pass"
)</f>
        <v>Pass</v>
      </c>
      <c r="W173" s="11" t="str">
        <f>IF(
COUNTIF(ValidationTable[[#This Row],[RequiredField_Validation]]:ValidationTable[[#This Row],[Duplicate_Validation]],"Fail")&gt;0,
"Fail",
"Pass"
)</f>
        <v>Pass</v>
      </c>
      <c r="X173" s="11" t="str">
        <f>IF(ValidationTable[[#This Row],[Validation_Result]]="Pass","Yes","No")</f>
        <v>Yes</v>
      </c>
    </row>
    <row r="174" spans="1:24">
      <c r="A174" s="11">
        <f>RawTable[[#This Row],[Record_ID]]</f>
        <v>173</v>
      </c>
      <c r="B174" s="11" t="str">
        <f>RawTable[[#This Row],[Payment_Type]]</f>
        <v>Payroll</v>
      </c>
      <c r="C174" s="11" t="str">
        <f>RawTable[[#This Row],[Entity_Type]]</f>
        <v>Employee</v>
      </c>
      <c r="D174" s="11" t="str">
        <f>RawTable[[#This Row],[Country]]</f>
        <v>UAE</v>
      </c>
      <c r="E174" s="11" t="str">
        <f>RawTable[[#This Row],[Name]]</f>
        <v>Ahmed Smith</v>
      </c>
      <c r="F174" s="11" t="str">
        <f>RawTable[[#This Row],[Bank_Account]]</f>
        <v>JO-IBAN-00703665</v>
      </c>
      <c r="G174" s="11" t="str">
        <f>RawTable[[#This Row],[Month]]</f>
        <v>Mar-2026</v>
      </c>
      <c r="H174" s="11" t="str">
        <f>RawTable[[#This Row],[Currency]]</f>
        <v>AED</v>
      </c>
      <c r="I174" s="4">
        <f>RawTable[[#This Row],[Net_Amount]]</f>
        <v>20556.8</v>
      </c>
      <c r="J174" s="2" t="str">
        <f>RawTable[[#This Row],[VAT_Applicable]]</f>
        <v>No</v>
      </c>
      <c r="K174" s="4">
        <f>RawTable[[#This Row],[VAT_Rate]]</f>
        <v>0</v>
      </c>
      <c r="L174" s="4">
        <f>RawTable[[#This Row],[VAT_Amount]]</f>
        <v>0</v>
      </c>
      <c r="M174" s="4">
        <f>RawTable[[#This Row],[Gross_Amount]]</f>
        <v>20556.8</v>
      </c>
      <c r="N174" s="4">
        <f>RawTable[[#This Row],[Exchange_Rate]]</f>
        <v>0.21065</v>
      </c>
      <c r="O174" s="4">
        <f>RawTable[[#This Row],[Amount_CHF]]</f>
        <v>4330.29</v>
      </c>
      <c r="P17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7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74" s="11" t="str">
        <f>IF(ValidationTable[[#This Row],[Currency]]="","Fail","Pass")</f>
        <v>Pass</v>
      </c>
      <c r="S174" s="11" t="str">
        <f>IF(
ValidationTable[[#This Row],[Currency]]="CHF",
IF(ValidationTable[[#This Row],[Exchange_Rate]]&lt;&gt;1,"Fail","Pass"),
IF(ValidationTable[[#This Row],[Exchange_Rate]]&lt;=0,"Fail","Pass")
)</f>
        <v>Pass</v>
      </c>
      <c r="T17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74" s="11" t="str">
        <f>IF(LEN(TRIM(ValidationTable[[#This Row],[Bank_Account]]))=0,"Fail","Pass")</f>
        <v>Pass</v>
      </c>
      <c r="V174" s="11" t="str">
        <f>IF(
COUNTIF(ValidationTable[Record_ID],ValidationTable[[#This Row],[Record_ID]])&gt;1,
"Fail",
"Pass"
)</f>
        <v>Pass</v>
      </c>
      <c r="W174" s="11" t="str">
        <f>IF(
COUNTIF(ValidationTable[[#This Row],[RequiredField_Validation]]:ValidationTable[[#This Row],[Duplicate_Validation]],"Fail")&gt;0,
"Fail",
"Pass"
)</f>
        <v>Pass</v>
      </c>
      <c r="X174" s="11" t="str">
        <f>IF(ValidationTable[[#This Row],[Validation_Result]]="Pass","Yes","No")</f>
        <v>Yes</v>
      </c>
    </row>
    <row r="175" spans="1:24">
      <c r="A175" s="11">
        <f>RawTable[[#This Row],[Record_ID]]</f>
        <v>174</v>
      </c>
      <c r="B175" s="11" t="str">
        <f>RawTable[[#This Row],[Payment_Type]]</f>
        <v>Payroll</v>
      </c>
      <c r="C175" s="11" t="str">
        <f>RawTable[[#This Row],[Entity_Type]]</f>
        <v>Employee</v>
      </c>
      <c r="D175" s="11" t="str">
        <f>RawTable[[#This Row],[Country]]</f>
        <v>Germany</v>
      </c>
      <c r="E175" s="11" t="str">
        <f>RawTable[[#This Row],[Name]]</f>
        <v>John Wilson</v>
      </c>
      <c r="F175" s="11" t="str">
        <f>RawTable[[#This Row],[Bank_Account]]</f>
        <v>US-RT-000071572-AC-0000329324</v>
      </c>
      <c r="G175" s="11" t="str">
        <f>RawTable[[#This Row],[Month]]</f>
        <v>Mar-2026</v>
      </c>
      <c r="H175" s="11" t="str">
        <f>RawTable[[#This Row],[Currency]]</f>
        <v>EUR</v>
      </c>
      <c r="I175" s="4">
        <f>RawTable[[#This Row],[Net_Amount]]</f>
        <v>6603.54</v>
      </c>
      <c r="J175" s="2" t="str">
        <f>RawTable[[#This Row],[VAT_Applicable]]</f>
        <v>No</v>
      </c>
      <c r="K175" s="4">
        <f>RawTable[[#This Row],[VAT_Rate]]</f>
        <v>0</v>
      </c>
      <c r="L175" s="4">
        <f>RawTable[[#This Row],[VAT_Amount]]</f>
        <v>0</v>
      </c>
      <c r="M175" s="4">
        <f>RawTable[[#This Row],[Gross_Amount]]</f>
        <v>6603.54</v>
      </c>
      <c r="N175" s="4">
        <f>RawTable[[#This Row],[Exchange_Rate]]</f>
        <v>0.90888000000000002</v>
      </c>
      <c r="O175" s="4">
        <f>RawTable[[#This Row],[Amount_CHF]]</f>
        <v>6001.83</v>
      </c>
      <c r="P17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7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75" s="11" t="str">
        <f>IF(ValidationTable[[#This Row],[Currency]]="","Fail","Pass")</f>
        <v>Pass</v>
      </c>
      <c r="S175" s="11" t="str">
        <f>IF(
ValidationTable[[#This Row],[Currency]]="CHF",
IF(ValidationTable[[#This Row],[Exchange_Rate]]&lt;&gt;1,"Fail","Pass"),
IF(ValidationTable[[#This Row],[Exchange_Rate]]&lt;=0,"Fail","Pass")
)</f>
        <v>Pass</v>
      </c>
      <c r="T17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75" s="11" t="str">
        <f>IF(LEN(TRIM(ValidationTable[[#This Row],[Bank_Account]]))=0,"Fail","Pass")</f>
        <v>Pass</v>
      </c>
      <c r="V175" s="11" t="str">
        <f>IF(
COUNTIF(ValidationTable[Record_ID],ValidationTable[[#This Row],[Record_ID]])&gt;1,
"Fail",
"Pass"
)</f>
        <v>Pass</v>
      </c>
      <c r="W175" s="11" t="str">
        <f>IF(
COUNTIF(ValidationTable[[#This Row],[RequiredField_Validation]]:ValidationTable[[#This Row],[Duplicate_Validation]],"Fail")&gt;0,
"Fail",
"Pass"
)</f>
        <v>Pass</v>
      </c>
      <c r="X175" s="11" t="str">
        <f>IF(ValidationTable[[#This Row],[Validation_Result]]="Pass","Yes","No")</f>
        <v>Yes</v>
      </c>
    </row>
    <row r="176" spans="1:24">
      <c r="A176" s="11">
        <f>RawTable[[#This Row],[Record_ID]]</f>
        <v>175</v>
      </c>
      <c r="B176" s="11" t="str">
        <f>RawTable[[#This Row],[Payment_Type]]</f>
        <v>Payroll</v>
      </c>
      <c r="C176" s="11" t="str">
        <f>RawTable[[#This Row],[Entity_Type]]</f>
        <v>Employee</v>
      </c>
      <c r="D176" s="11" t="str">
        <f>RawTable[[#This Row],[Country]]</f>
        <v>Jordan</v>
      </c>
      <c r="E176" s="11" t="str">
        <f>RawTable[[#This Row],[Name]]</f>
        <v>David Müller</v>
      </c>
      <c r="F176" s="11" t="str">
        <f>RawTable[[#This Row],[Bank_Account]]</f>
        <v>JO-IBAN-00444420</v>
      </c>
      <c r="G176" s="11" t="str">
        <f>RawTable[[#This Row],[Month]]</f>
        <v>Mar-2026</v>
      </c>
      <c r="H176" s="11" t="str">
        <f>RawTable[[#This Row],[Currency]]</f>
        <v>JOD</v>
      </c>
      <c r="I176" s="4">
        <f>RawTable[[#This Row],[Net_Amount]]</f>
        <v>1958.54</v>
      </c>
      <c r="J176" s="2" t="str">
        <f>RawTable[[#This Row],[VAT_Applicable]]</f>
        <v>No</v>
      </c>
      <c r="K176" s="4">
        <f>RawTable[[#This Row],[VAT_Rate]]</f>
        <v>0</v>
      </c>
      <c r="L176" s="4">
        <f>RawTable[[#This Row],[VAT_Amount]]</f>
        <v>0</v>
      </c>
      <c r="M176" s="4">
        <f>RawTable[[#This Row],[Gross_Amount]]</f>
        <v>1958.54</v>
      </c>
      <c r="N176" s="4">
        <f>RawTable[[#This Row],[Exchange_Rate]]</f>
        <v>1.08643</v>
      </c>
      <c r="O176" s="4">
        <f>RawTable[[#This Row],[Amount_CHF]]</f>
        <v>2127.8200000000002</v>
      </c>
      <c r="P17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7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76" s="11" t="str">
        <f>IF(ValidationTable[[#This Row],[Currency]]="","Fail","Pass")</f>
        <v>Pass</v>
      </c>
      <c r="S176" s="11" t="str">
        <f>IF(
ValidationTable[[#This Row],[Currency]]="CHF",
IF(ValidationTable[[#This Row],[Exchange_Rate]]&lt;&gt;1,"Fail","Pass"),
IF(ValidationTable[[#This Row],[Exchange_Rate]]&lt;=0,"Fail","Pass")
)</f>
        <v>Pass</v>
      </c>
      <c r="T17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76" s="11" t="str">
        <f>IF(LEN(TRIM(ValidationTable[[#This Row],[Bank_Account]]))=0,"Fail","Pass")</f>
        <v>Pass</v>
      </c>
      <c r="V176" s="11" t="str">
        <f>IF(
COUNTIF(ValidationTable[Record_ID],ValidationTable[[#This Row],[Record_ID]])&gt;1,
"Fail",
"Pass"
)</f>
        <v>Pass</v>
      </c>
      <c r="W176" s="11" t="str">
        <f>IF(
COUNTIF(ValidationTable[[#This Row],[RequiredField_Validation]]:ValidationTable[[#This Row],[Duplicate_Validation]],"Fail")&gt;0,
"Fail",
"Pass"
)</f>
        <v>Pass</v>
      </c>
      <c r="X176" s="11" t="str">
        <f>IF(ValidationTable[[#This Row],[Validation_Result]]="Pass","Yes","No")</f>
        <v>Yes</v>
      </c>
    </row>
    <row r="177" spans="1:24">
      <c r="A177" s="11">
        <f>RawTable[[#This Row],[Record_ID]]</f>
        <v>176</v>
      </c>
      <c r="B177" s="11" t="str">
        <f>RawTable[[#This Row],[Payment_Type]]</f>
        <v>Payroll</v>
      </c>
      <c r="C177" s="11" t="str">
        <f>RawTable[[#This Row],[Entity_Type]]</f>
        <v>Employee</v>
      </c>
      <c r="D177" s="11" t="str">
        <f>RawTable[[#This Row],[Country]]</f>
        <v>USA</v>
      </c>
      <c r="E177" s="11" t="str">
        <f>RawTable[[#This Row],[Name]]</f>
        <v>Michael Smith</v>
      </c>
      <c r="F177" s="11" t="str">
        <f>RawTable[[#This Row],[Bank_Account]]</f>
        <v>JO-IBAN-00382695</v>
      </c>
      <c r="G177" s="11" t="str">
        <f>RawTable[[#This Row],[Month]]</f>
        <v>Mar-2026</v>
      </c>
      <c r="H177" s="11" t="str">
        <f>RawTable[[#This Row],[Currency]]</f>
        <v>USD</v>
      </c>
      <c r="I177" s="4">
        <f>RawTable[[#This Row],[Net_Amount]]</f>
        <v>6399.4</v>
      </c>
      <c r="J177" s="2" t="str">
        <f>RawTable[[#This Row],[VAT_Applicable]]</f>
        <v>No</v>
      </c>
      <c r="K177" s="4">
        <f>RawTable[[#This Row],[VAT_Rate]]</f>
        <v>0</v>
      </c>
      <c r="L177" s="4">
        <f>RawTable[[#This Row],[VAT_Amount]]</f>
        <v>0</v>
      </c>
      <c r="M177" s="4">
        <f>RawTable[[#This Row],[Gross_Amount]]</f>
        <v>6399.4</v>
      </c>
      <c r="N177" s="4">
        <f>RawTable[[#This Row],[Exchange_Rate]]</f>
        <v>0.77017999999999998</v>
      </c>
      <c r="O177" s="4">
        <f>RawTable[[#This Row],[Amount_CHF]]</f>
        <v>4928.6899999999996</v>
      </c>
      <c r="P17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7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77" s="11" t="str">
        <f>IF(ValidationTable[[#This Row],[Currency]]="","Fail","Pass")</f>
        <v>Pass</v>
      </c>
      <c r="S177" s="11" t="str">
        <f>IF(
ValidationTable[[#This Row],[Currency]]="CHF",
IF(ValidationTable[[#This Row],[Exchange_Rate]]&lt;&gt;1,"Fail","Pass"),
IF(ValidationTable[[#This Row],[Exchange_Rate]]&lt;=0,"Fail","Pass")
)</f>
        <v>Pass</v>
      </c>
      <c r="T17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77" s="11" t="str">
        <f>IF(LEN(TRIM(ValidationTable[[#This Row],[Bank_Account]]))=0,"Fail","Pass")</f>
        <v>Pass</v>
      </c>
      <c r="V177" s="11" t="str">
        <f>IF(
COUNTIF(ValidationTable[Record_ID],ValidationTable[[#This Row],[Record_ID]])&gt;1,
"Fail",
"Pass"
)</f>
        <v>Pass</v>
      </c>
      <c r="W177" s="11" t="str">
        <f>IF(
COUNTIF(ValidationTable[[#This Row],[RequiredField_Validation]]:ValidationTable[[#This Row],[Duplicate_Validation]],"Fail")&gt;0,
"Fail",
"Pass"
)</f>
        <v>Pass</v>
      </c>
      <c r="X177" s="11" t="str">
        <f>IF(ValidationTable[[#This Row],[Validation_Result]]="Pass","Yes","No")</f>
        <v>Yes</v>
      </c>
    </row>
    <row r="178" spans="1:24">
      <c r="A178" s="11">
        <f>RawTable[[#This Row],[Record_ID]]</f>
        <v>177</v>
      </c>
      <c r="B178" s="11" t="str">
        <f>RawTable[[#This Row],[Payment_Type]]</f>
        <v>Payroll</v>
      </c>
      <c r="C178" s="11" t="str">
        <f>RawTable[[#This Row],[Entity_Type]]</f>
        <v>Employee</v>
      </c>
      <c r="D178" s="11" t="str">
        <f>RawTable[[#This Row],[Country]]</f>
        <v>Jordan</v>
      </c>
      <c r="E178" s="11" t="str">
        <f>RawTable[[#This Row],[Name]]</f>
        <v>Ahmed Khan</v>
      </c>
      <c r="F178" s="11" t="str">
        <f>RawTable[[#This Row],[Bank_Account]]</f>
        <v>DE890000000000298738</v>
      </c>
      <c r="G178" s="11" t="str">
        <f>RawTable[[#This Row],[Month]]</f>
        <v>Feb-2026</v>
      </c>
      <c r="H178" s="11" t="str">
        <f>RawTable[[#This Row],[Currency]]</f>
        <v>JOD</v>
      </c>
      <c r="I178" s="4">
        <f>RawTable[[#This Row],[Net_Amount]]</f>
        <v>1865.88</v>
      </c>
      <c r="J178" s="2" t="str">
        <f>RawTable[[#This Row],[VAT_Applicable]]</f>
        <v>No</v>
      </c>
      <c r="K178" s="4">
        <f>RawTable[[#This Row],[VAT_Rate]]</f>
        <v>0</v>
      </c>
      <c r="L178" s="4">
        <f>RawTable[[#This Row],[VAT_Amount]]</f>
        <v>0</v>
      </c>
      <c r="M178" s="4">
        <f>RawTable[[#This Row],[Gross_Amount]]</f>
        <v>1865.88</v>
      </c>
      <c r="N178" s="4">
        <f>RawTable[[#This Row],[Exchange_Rate]]</f>
        <v>1.08643</v>
      </c>
      <c r="O178" s="4">
        <f>RawTable[[#This Row],[Amount_CHF]]</f>
        <v>2027.15</v>
      </c>
      <c r="P17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7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78" s="11" t="str">
        <f>IF(ValidationTable[[#This Row],[Currency]]="","Fail","Pass")</f>
        <v>Pass</v>
      </c>
      <c r="S178" s="11" t="str">
        <f>IF(
ValidationTable[[#This Row],[Currency]]="CHF",
IF(ValidationTable[[#This Row],[Exchange_Rate]]&lt;&gt;1,"Fail","Pass"),
IF(ValidationTable[[#This Row],[Exchange_Rate]]&lt;=0,"Fail","Pass")
)</f>
        <v>Pass</v>
      </c>
      <c r="T17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78" s="11" t="str">
        <f>IF(LEN(TRIM(ValidationTable[[#This Row],[Bank_Account]]))=0,"Fail","Pass")</f>
        <v>Pass</v>
      </c>
      <c r="V178" s="11" t="str">
        <f>IF(
COUNTIF(ValidationTable[Record_ID],ValidationTable[[#This Row],[Record_ID]])&gt;1,
"Fail",
"Pass"
)</f>
        <v>Pass</v>
      </c>
      <c r="W178" s="11" t="str">
        <f>IF(
COUNTIF(ValidationTable[[#This Row],[RequiredField_Validation]]:ValidationTable[[#This Row],[Duplicate_Validation]],"Fail")&gt;0,
"Fail",
"Pass"
)</f>
        <v>Pass</v>
      </c>
      <c r="X178" s="11" t="str">
        <f>IF(ValidationTable[[#This Row],[Validation_Result]]="Pass","Yes","No")</f>
        <v>Yes</v>
      </c>
    </row>
    <row r="179" spans="1:24">
      <c r="A179" s="11">
        <f>RawTable[[#This Row],[Record_ID]]</f>
        <v>178</v>
      </c>
      <c r="B179" s="11" t="str">
        <f>RawTable[[#This Row],[Payment_Type]]</f>
        <v>Payroll</v>
      </c>
      <c r="C179" s="11" t="str">
        <f>RawTable[[#This Row],[Entity_Type]]</f>
        <v>Employee</v>
      </c>
      <c r="D179" s="11" t="str">
        <f>RawTable[[#This Row],[Country]]</f>
        <v>Germany</v>
      </c>
      <c r="E179" s="11" t="str">
        <f>RawTable[[#This Row],[Name]]</f>
        <v>David Brown</v>
      </c>
      <c r="F179" s="11" t="str">
        <f>RawTable[[#This Row],[Bank_Account]]</f>
        <v>JO-IBAN-00641940</v>
      </c>
      <c r="G179" s="11" t="str">
        <f>RawTable[[#This Row],[Month]]</f>
        <v>Feb-2026</v>
      </c>
      <c r="H179" s="11" t="str">
        <f>RawTable[[#This Row],[Currency]]</f>
        <v>EUR</v>
      </c>
      <c r="I179" s="4">
        <f>RawTable[[#This Row],[Net_Amount]]</f>
        <v>5673</v>
      </c>
      <c r="J179" s="2" t="str">
        <f>RawTable[[#This Row],[VAT_Applicable]]</f>
        <v>No</v>
      </c>
      <c r="K179" s="4">
        <f>RawTable[[#This Row],[VAT_Rate]]</f>
        <v>0</v>
      </c>
      <c r="L179" s="4">
        <f>RawTable[[#This Row],[VAT_Amount]]</f>
        <v>0</v>
      </c>
      <c r="M179" s="4">
        <f>RawTable[[#This Row],[Gross_Amount]]</f>
        <v>5673</v>
      </c>
      <c r="N179" s="4">
        <f>RawTable[[#This Row],[Exchange_Rate]]</f>
        <v>0.90888000000000002</v>
      </c>
      <c r="O179" s="4">
        <f>RawTable[[#This Row],[Amount_CHF]]</f>
        <v>5156.08</v>
      </c>
      <c r="P17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7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79" s="11" t="str">
        <f>IF(ValidationTable[[#This Row],[Currency]]="","Fail","Pass")</f>
        <v>Pass</v>
      </c>
      <c r="S179" s="11" t="str">
        <f>IF(
ValidationTable[[#This Row],[Currency]]="CHF",
IF(ValidationTable[[#This Row],[Exchange_Rate]]&lt;&gt;1,"Fail","Pass"),
IF(ValidationTable[[#This Row],[Exchange_Rate]]&lt;=0,"Fail","Pass")
)</f>
        <v>Pass</v>
      </c>
      <c r="T17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79" s="11" t="str">
        <f>IF(LEN(TRIM(ValidationTable[[#This Row],[Bank_Account]]))=0,"Fail","Pass")</f>
        <v>Pass</v>
      </c>
      <c r="V179" s="11" t="str">
        <f>IF(
COUNTIF(ValidationTable[Record_ID],ValidationTable[[#This Row],[Record_ID]])&gt;1,
"Fail",
"Pass"
)</f>
        <v>Pass</v>
      </c>
      <c r="W179" s="11" t="str">
        <f>IF(
COUNTIF(ValidationTable[[#This Row],[RequiredField_Validation]]:ValidationTable[[#This Row],[Duplicate_Validation]],"Fail")&gt;0,
"Fail",
"Pass"
)</f>
        <v>Pass</v>
      </c>
      <c r="X179" s="11" t="str">
        <f>IF(ValidationTable[[#This Row],[Validation_Result]]="Pass","Yes","No")</f>
        <v>Yes</v>
      </c>
    </row>
    <row r="180" spans="1:24">
      <c r="A180" s="11">
        <f>RawTable[[#This Row],[Record_ID]]</f>
        <v>179</v>
      </c>
      <c r="B180" s="11" t="str">
        <f>RawTable[[#This Row],[Payment_Type]]</f>
        <v>Payroll</v>
      </c>
      <c r="C180" s="11" t="str">
        <f>RawTable[[#This Row],[Entity_Type]]</f>
        <v>Employee</v>
      </c>
      <c r="D180" s="11" t="str">
        <f>RawTable[[#This Row],[Country]]</f>
        <v>Germany</v>
      </c>
      <c r="E180" s="11" t="str">
        <f>RawTable[[#This Row],[Name]]</f>
        <v>Anna Müller</v>
      </c>
      <c r="F180" s="11" t="str">
        <f>RawTable[[#This Row],[Bank_Account]]</f>
        <v>AE-IBAN-02009877</v>
      </c>
      <c r="G180" s="11" t="str">
        <f>RawTable[[#This Row],[Month]]</f>
        <v>Mar-2026</v>
      </c>
      <c r="H180" s="11" t="str">
        <f>RawTable[[#This Row],[Currency]]</f>
        <v>EUR</v>
      </c>
      <c r="I180" s="4">
        <f>RawTable[[#This Row],[Net_Amount]]</f>
        <v>5763</v>
      </c>
      <c r="J180" s="2" t="str">
        <f>RawTable[[#This Row],[VAT_Applicable]]</f>
        <v>No</v>
      </c>
      <c r="K180" s="4">
        <f>RawTable[[#This Row],[VAT_Rate]]</f>
        <v>0</v>
      </c>
      <c r="L180" s="4">
        <f>RawTable[[#This Row],[VAT_Amount]]</f>
        <v>0</v>
      </c>
      <c r="M180" s="4">
        <f>RawTable[[#This Row],[Gross_Amount]]</f>
        <v>5763</v>
      </c>
      <c r="N180" s="4">
        <f>RawTable[[#This Row],[Exchange_Rate]]</f>
        <v>0.90888000000000002</v>
      </c>
      <c r="O180" s="4">
        <f>RawTable[[#This Row],[Amount_CHF]]</f>
        <v>5237.88</v>
      </c>
      <c r="P18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8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80" s="11" t="str">
        <f>IF(ValidationTable[[#This Row],[Currency]]="","Fail","Pass")</f>
        <v>Pass</v>
      </c>
      <c r="S180" s="11" t="str">
        <f>IF(
ValidationTable[[#This Row],[Currency]]="CHF",
IF(ValidationTable[[#This Row],[Exchange_Rate]]&lt;&gt;1,"Fail","Pass"),
IF(ValidationTable[[#This Row],[Exchange_Rate]]&lt;=0,"Fail","Pass")
)</f>
        <v>Pass</v>
      </c>
      <c r="T18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80" s="11" t="str">
        <f>IF(LEN(TRIM(ValidationTable[[#This Row],[Bank_Account]]))=0,"Fail","Pass")</f>
        <v>Pass</v>
      </c>
      <c r="V180" s="11" t="str">
        <f>IF(
COUNTIF(ValidationTable[Record_ID],ValidationTable[[#This Row],[Record_ID]])&gt;1,
"Fail",
"Pass"
)</f>
        <v>Pass</v>
      </c>
      <c r="W180" s="11" t="str">
        <f>IF(
COUNTIF(ValidationTable[[#This Row],[RequiredField_Validation]]:ValidationTable[[#This Row],[Duplicate_Validation]],"Fail")&gt;0,
"Fail",
"Pass"
)</f>
        <v>Pass</v>
      </c>
      <c r="X180" s="11" t="str">
        <f>IF(ValidationTable[[#This Row],[Validation_Result]]="Pass","Yes","No")</f>
        <v>Yes</v>
      </c>
    </row>
    <row r="181" spans="1:24">
      <c r="A181" s="11">
        <f>RawTable[[#This Row],[Record_ID]]</f>
        <v>180</v>
      </c>
      <c r="B181" s="11" t="str">
        <f>RawTable[[#This Row],[Payment_Type]]</f>
        <v>Payroll</v>
      </c>
      <c r="C181" s="11" t="str">
        <f>RawTable[[#This Row],[Entity_Type]]</f>
        <v>Employee</v>
      </c>
      <c r="D181" s="11" t="str">
        <f>RawTable[[#This Row],[Country]]</f>
        <v>Germany</v>
      </c>
      <c r="E181" s="11" t="str">
        <f>RawTable[[#This Row],[Name]]</f>
        <v>Julia Haddad</v>
      </c>
      <c r="F181" s="11" t="str">
        <f>RawTable[[#This Row],[Bank_Account]]</f>
        <v>CH930000000000863800</v>
      </c>
      <c r="G181" s="11" t="str">
        <f>RawTable[[#This Row],[Month]]</f>
        <v>Jan-2026</v>
      </c>
      <c r="H181" s="11" t="str">
        <f>RawTable[[#This Row],[Currency]]</f>
        <v>EUR</v>
      </c>
      <c r="I181" s="4">
        <f>RawTable[[#This Row],[Net_Amount]]</f>
        <v>6328.2</v>
      </c>
      <c r="J181" s="2" t="str">
        <f>RawTable[[#This Row],[VAT_Applicable]]</f>
        <v>No</v>
      </c>
      <c r="K181" s="4">
        <f>RawTable[[#This Row],[VAT_Rate]]</f>
        <v>0</v>
      </c>
      <c r="L181" s="4">
        <f>RawTable[[#This Row],[VAT_Amount]]</f>
        <v>0</v>
      </c>
      <c r="M181" s="4">
        <f>RawTable[[#This Row],[Gross_Amount]]</f>
        <v>6328.2</v>
      </c>
      <c r="N181" s="4">
        <f>RawTable[[#This Row],[Exchange_Rate]]</f>
        <v>0.90888000000000002</v>
      </c>
      <c r="O181" s="4">
        <f>RawTable[[#This Row],[Amount_CHF]]</f>
        <v>5751.57</v>
      </c>
      <c r="P18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8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81" s="11" t="str">
        <f>IF(ValidationTable[[#This Row],[Currency]]="","Fail","Pass")</f>
        <v>Pass</v>
      </c>
      <c r="S181" s="11" t="str">
        <f>IF(
ValidationTable[[#This Row],[Currency]]="CHF",
IF(ValidationTable[[#This Row],[Exchange_Rate]]&lt;&gt;1,"Fail","Pass"),
IF(ValidationTable[[#This Row],[Exchange_Rate]]&lt;=0,"Fail","Pass")
)</f>
        <v>Pass</v>
      </c>
      <c r="T18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81" s="11" t="str">
        <f>IF(LEN(TRIM(ValidationTable[[#This Row],[Bank_Account]]))=0,"Fail","Pass")</f>
        <v>Pass</v>
      </c>
      <c r="V181" s="11" t="str">
        <f>IF(
COUNTIF(ValidationTable[Record_ID],ValidationTable[[#This Row],[Record_ID]])&gt;1,
"Fail",
"Pass"
)</f>
        <v>Pass</v>
      </c>
      <c r="W181" s="11" t="str">
        <f>IF(
COUNTIF(ValidationTable[[#This Row],[RequiredField_Validation]]:ValidationTable[[#This Row],[Duplicate_Validation]],"Fail")&gt;0,
"Fail",
"Pass"
)</f>
        <v>Pass</v>
      </c>
      <c r="X181" s="11" t="str">
        <f>IF(ValidationTable[[#This Row],[Validation_Result]]="Pass","Yes","No")</f>
        <v>Yes</v>
      </c>
    </row>
    <row r="182" spans="1:24" hidden="1">
      <c r="A182" s="11">
        <f>RawTable[[#This Row],[Record_ID]]</f>
        <v>181</v>
      </c>
      <c r="B182" s="11" t="str">
        <f>RawTable[[#This Row],[Payment_Type]]</f>
        <v>Payroll</v>
      </c>
      <c r="C182" s="11" t="str">
        <f>RawTable[[#This Row],[Entity_Type]]</f>
        <v>Employee</v>
      </c>
      <c r="E182" s="11" t="str">
        <f>RawTable[[#This Row],[Name]]</f>
        <v>Lina Wilson</v>
      </c>
      <c r="F182" s="11" t="str">
        <f>RawTable[[#This Row],[Bank_Account]]</f>
        <v>US-RT-000012340-AC-0000056780</v>
      </c>
      <c r="G182" s="11" t="str">
        <f>RawTable[[#This Row],[Month]]</f>
        <v>Jan-2026</v>
      </c>
      <c r="H182" s="11" t="str">
        <f>RawTable[[#This Row],[Currency]]</f>
        <v>USD</v>
      </c>
      <c r="I182" s="4">
        <f>RawTable[[#This Row],[Net_Amount]]</f>
        <v>7571.8</v>
      </c>
      <c r="J182" s="2" t="str">
        <f>RawTable[[#This Row],[VAT_Applicable]]</f>
        <v>No</v>
      </c>
      <c r="K182" s="4">
        <f>RawTable[[#This Row],[VAT_Rate]]</f>
        <v>0</v>
      </c>
      <c r="L182" s="4">
        <f>RawTable[[#This Row],[VAT_Amount]]</f>
        <v>0</v>
      </c>
      <c r="M182" s="4">
        <f>RawTable[[#This Row],[Gross_Amount]]</f>
        <v>7571.8</v>
      </c>
      <c r="N182" s="4">
        <f>RawTable[[#This Row],[Exchange_Rate]]</f>
        <v>0.77017999999999998</v>
      </c>
      <c r="O182" s="4">
        <f>RawTable[[#This Row],[Amount_CHF]]</f>
        <v>5831.65</v>
      </c>
      <c r="P18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Fail</v>
      </c>
      <c r="Q18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82" s="11" t="str">
        <f>IF(ValidationTable[[#This Row],[Currency]]="","Fail","Pass")</f>
        <v>Pass</v>
      </c>
      <c r="S182" s="11" t="str">
        <f>IF(
ValidationTable[[#This Row],[Currency]]="CHF",
IF(ValidationTable[[#This Row],[Exchange_Rate]]&lt;&gt;1,"Fail","Pass"),
IF(ValidationTable[[#This Row],[Exchange_Rate]]&lt;=0,"Fail","Pass")
)</f>
        <v>Pass</v>
      </c>
      <c r="T18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82" s="11" t="str">
        <f>IF(LEN(TRIM(ValidationTable[[#This Row],[Bank_Account]]))=0,"Fail","Pass")</f>
        <v>Pass</v>
      </c>
      <c r="V182" s="11" t="str">
        <f>IF(
COUNTIF(ValidationTable[Record_ID],ValidationTable[[#This Row],[Record_ID]])&gt;1,
"Fail",
"Pass"
)</f>
        <v>Pass</v>
      </c>
      <c r="W182" s="11" t="str">
        <f>IF(
COUNTIF(ValidationTable[[#This Row],[RequiredField_Validation]]:ValidationTable[[#This Row],[Duplicate_Validation]],"Fail")&gt;0,
"Fail",
"Pass"
)</f>
        <v>Fail</v>
      </c>
      <c r="X182" s="11" t="str">
        <f>IF(ValidationTable[[#This Row],[Validation_Result]]="Pass","Yes","No")</f>
        <v>No</v>
      </c>
    </row>
    <row r="183" spans="1:24" hidden="1">
      <c r="A183" s="11">
        <f>RawTable[[#This Row],[Record_ID]]</f>
        <v>182</v>
      </c>
      <c r="B183" s="11" t="str">
        <f>RawTable[[#This Row],[Payment_Type]]</f>
        <v>Payroll</v>
      </c>
      <c r="C183" s="11" t="str">
        <f>RawTable[[#This Row],[Entity_Type]]</f>
        <v>Employee</v>
      </c>
      <c r="E183" s="11" t="str">
        <f>RawTable[[#This Row],[Name]]</f>
        <v>Julia Smith</v>
      </c>
      <c r="F183" s="11" t="str">
        <f>RawTable[[#This Row],[Bank_Account]]</f>
        <v>CH930000000000320840</v>
      </c>
      <c r="G183" s="11" t="str">
        <f>RawTable[[#This Row],[Month]]</f>
        <v>Feb-2026</v>
      </c>
      <c r="H183" s="11" t="str">
        <f>RawTable[[#This Row],[Currency]]</f>
        <v>AED</v>
      </c>
      <c r="I183" s="4">
        <f>RawTable[[#This Row],[Net_Amount]]</f>
        <v>21542.400000000001</v>
      </c>
      <c r="J183" s="2" t="str">
        <f>RawTable[[#This Row],[VAT_Applicable]]</f>
        <v>No</v>
      </c>
      <c r="K183" s="4">
        <f>RawTable[[#This Row],[VAT_Rate]]</f>
        <v>0</v>
      </c>
      <c r="L183" s="4">
        <f>RawTable[[#This Row],[VAT_Amount]]</f>
        <v>0</v>
      </c>
      <c r="M183" s="4">
        <f>RawTable[[#This Row],[Gross_Amount]]</f>
        <v>21542.400000000001</v>
      </c>
      <c r="N183" s="4">
        <f>RawTable[[#This Row],[Exchange_Rate]]</f>
        <v>0.21065</v>
      </c>
      <c r="O183" s="4">
        <f>RawTable[[#This Row],[Amount_CHF]]</f>
        <v>4537.91</v>
      </c>
      <c r="P18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Fail</v>
      </c>
      <c r="Q18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83" s="11" t="str">
        <f>IF(ValidationTable[[#This Row],[Currency]]="","Fail","Pass")</f>
        <v>Pass</v>
      </c>
      <c r="S183" s="11" t="str">
        <f>IF(
ValidationTable[[#This Row],[Currency]]="CHF",
IF(ValidationTable[[#This Row],[Exchange_Rate]]&lt;&gt;1,"Fail","Pass"),
IF(ValidationTable[[#This Row],[Exchange_Rate]]&lt;=0,"Fail","Pass")
)</f>
        <v>Pass</v>
      </c>
      <c r="T18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83" s="11" t="str">
        <f>IF(LEN(TRIM(ValidationTable[[#This Row],[Bank_Account]]))=0,"Fail","Pass")</f>
        <v>Pass</v>
      </c>
      <c r="V183" s="11" t="str">
        <f>IF(
COUNTIF(ValidationTable[Record_ID],ValidationTable[[#This Row],[Record_ID]])&gt;1,
"Fail",
"Pass"
)</f>
        <v>Pass</v>
      </c>
      <c r="W183" s="11" t="str">
        <f>IF(
COUNTIF(ValidationTable[[#This Row],[RequiredField_Validation]]:ValidationTable[[#This Row],[Duplicate_Validation]],"Fail")&gt;0,
"Fail",
"Pass"
)</f>
        <v>Fail</v>
      </c>
      <c r="X183" s="11" t="str">
        <f>IF(ValidationTable[[#This Row],[Validation_Result]]="Pass","Yes","No")</f>
        <v>No</v>
      </c>
    </row>
    <row r="184" spans="1:24">
      <c r="A184" s="11">
        <f>RawTable[[#This Row],[Record_ID]]</f>
        <v>183</v>
      </c>
      <c r="B184" s="11" t="str">
        <f>RawTable[[#This Row],[Payment_Type]]</f>
        <v>Payroll</v>
      </c>
      <c r="C184" s="11" t="str">
        <f>RawTable[[#This Row],[Entity_Type]]</f>
        <v>Employee</v>
      </c>
      <c r="D184" s="11" t="str">
        <f>RawTable[[#This Row],[Country]]</f>
        <v>USA</v>
      </c>
      <c r="E184" s="11" t="str">
        <f>RawTable[[#This Row],[Name]]</f>
        <v>Ahmed Müller</v>
      </c>
      <c r="F184" s="11" t="str">
        <f>RawTable[[#This Row],[Bank_Account]]</f>
        <v>US-RT-000096252-AC-0000442884</v>
      </c>
      <c r="G184" s="11" t="str">
        <f>RawTable[[#This Row],[Month]]</f>
        <v>Jan-2026</v>
      </c>
      <c r="H184" s="11" t="str">
        <f>RawTable[[#This Row],[Currency]]</f>
        <v>USD</v>
      </c>
      <c r="I184" s="4">
        <f>RawTable[[#This Row],[Net_Amount]]</f>
        <v>6514.9</v>
      </c>
      <c r="J184" s="2" t="str">
        <f>RawTable[[#This Row],[VAT_Applicable]]</f>
        <v>No</v>
      </c>
      <c r="K184" s="4">
        <f>RawTable[[#This Row],[VAT_Rate]]</f>
        <v>0</v>
      </c>
      <c r="L184" s="4">
        <f>RawTable[[#This Row],[VAT_Amount]]</f>
        <v>0</v>
      </c>
      <c r="M184" s="4">
        <f>RawTable[[#This Row],[Gross_Amount]]</f>
        <v>6514.9</v>
      </c>
      <c r="N184" s="4">
        <f>RawTable[[#This Row],[Exchange_Rate]]</f>
        <v>0.77017999999999998</v>
      </c>
      <c r="O184" s="4">
        <f>RawTable[[#This Row],[Amount_CHF]]</f>
        <v>5017.6499999999996</v>
      </c>
      <c r="P18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8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84" s="11" t="str">
        <f>IF(ValidationTable[[#This Row],[Currency]]="","Fail","Pass")</f>
        <v>Pass</v>
      </c>
      <c r="S184" s="11" t="str">
        <f>IF(
ValidationTable[[#This Row],[Currency]]="CHF",
IF(ValidationTable[[#This Row],[Exchange_Rate]]&lt;&gt;1,"Fail","Pass"),
IF(ValidationTable[[#This Row],[Exchange_Rate]]&lt;=0,"Fail","Pass")
)</f>
        <v>Pass</v>
      </c>
      <c r="T18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84" s="11" t="str">
        <f>IF(LEN(TRIM(ValidationTable[[#This Row],[Bank_Account]]))=0,"Fail","Pass")</f>
        <v>Pass</v>
      </c>
      <c r="V184" s="11" t="str">
        <f>IF(
COUNTIF(ValidationTable[Record_ID],ValidationTable[[#This Row],[Record_ID]])&gt;1,
"Fail",
"Pass"
)</f>
        <v>Pass</v>
      </c>
      <c r="W184" s="11" t="str">
        <f>IF(
COUNTIF(ValidationTable[[#This Row],[RequiredField_Validation]]:ValidationTable[[#This Row],[Duplicate_Validation]],"Fail")&gt;0,
"Fail",
"Pass"
)</f>
        <v>Pass</v>
      </c>
      <c r="X184" s="11" t="str">
        <f>IF(ValidationTable[[#This Row],[Validation_Result]]="Pass","Yes","No")</f>
        <v>Yes</v>
      </c>
    </row>
    <row r="185" spans="1:24">
      <c r="A185" s="11">
        <f>RawTable[[#This Row],[Record_ID]]</f>
        <v>184</v>
      </c>
      <c r="B185" s="11" t="str">
        <f>RawTable[[#This Row],[Payment_Type]]</f>
        <v>Payroll</v>
      </c>
      <c r="C185" s="11" t="str">
        <f>RawTable[[#This Row],[Entity_Type]]</f>
        <v>Employee</v>
      </c>
      <c r="D185" s="11" t="str">
        <f>RawTable[[#This Row],[Country]]</f>
        <v>USA</v>
      </c>
      <c r="E185" s="11" t="str">
        <f>RawTable[[#This Row],[Name]]</f>
        <v>Omar Khan</v>
      </c>
      <c r="F185" s="11" t="str">
        <f>RawTable[[#This Row],[Bank_Account]]</f>
        <v>AE-IBAN-01738272</v>
      </c>
      <c r="G185" s="11" t="str">
        <f>RawTable[[#This Row],[Month]]</f>
        <v>Jan-2026</v>
      </c>
      <c r="H185" s="11" t="str">
        <f>RawTable[[#This Row],[Currency]]</f>
        <v>USD</v>
      </c>
      <c r="I185" s="4">
        <f>RawTable[[#This Row],[Net_Amount]]</f>
        <v>6601.7</v>
      </c>
      <c r="J185" s="2" t="str">
        <f>RawTable[[#This Row],[VAT_Applicable]]</f>
        <v>No</v>
      </c>
      <c r="K185" s="4">
        <f>RawTable[[#This Row],[VAT_Rate]]</f>
        <v>0</v>
      </c>
      <c r="L185" s="4">
        <f>RawTable[[#This Row],[VAT_Amount]]</f>
        <v>0</v>
      </c>
      <c r="M185" s="4">
        <f>RawTable[[#This Row],[Gross_Amount]]</f>
        <v>6601.7</v>
      </c>
      <c r="N185" s="4">
        <f>RawTable[[#This Row],[Exchange_Rate]]</f>
        <v>0.77017999999999998</v>
      </c>
      <c r="O185" s="4">
        <f>RawTable[[#This Row],[Amount_CHF]]</f>
        <v>5084.5</v>
      </c>
      <c r="P18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8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85" s="11" t="str">
        <f>IF(ValidationTable[[#This Row],[Currency]]="","Fail","Pass")</f>
        <v>Pass</v>
      </c>
      <c r="S185" s="11" t="str">
        <f>IF(
ValidationTable[[#This Row],[Currency]]="CHF",
IF(ValidationTable[[#This Row],[Exchange_Rate]]&lt;&gt;1,"Fail","Pass"),
IF(ValidationTable[[#This Row],[Exchange_Rate]]&lt;=0,"Fail","Pass")
)</f>
        <v>Pass</v>
      </c>
      <c r="T18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85" s="11" t="str">
        <f>IF(LEN(TRIM(ValidationTable[[#This Row],[Bank_Account]]))=0,"Fail","Pass")</f>
        <v>Pass</v>
      </c>
      <c r="V185" s="11" t="str">
        <f>IF(
COUNTIF(ValidationTable[Record_ID],ValidationTable[[#This Row],[Record_ID]])&gt;1,
"Fail",
"Pass"
)</f>
        <v>Pass</v>
      </c>
      <c r="W185" s="11" t="str">
        <f>IF(
COUNTIF(ValidationTable[[#This Row],[RequiredField_Validation]]:ValidationTable[[#This Row],[Duplicate_Validation]],"Fail")&gt;0,
"Fail",
"Pass"
)</f>
        <v>Pass</v>
      </c>
      <c r="X185" s="11" t="str">
        <f>IF(ValidationTable[[#This Row],[Validation_Result]]="Pass","Yes","No")</f>
        <v>Yes</v>
      </c>
    </row>
    <row r="186" spans="1:24">
      <c r="A186" s="11">
        <f>RawTable[[#This Row],[Record_ID]]</f>
        <v>185</v>
      </c>
      <c r="B186" s="11" t="str">
        <f>RawTable[[#This Row],[Payment_Type]]</f>
        <v>Payroll</v>
      </c>
      <c r="C186" s="11" t="str">
        <f>RawTable[[#This Row],[Entity_Type]]</f>
        <v>Employee</v>
      </c>
      <c r="D186" s="11" t="str">
        <f>RawTable[[#This Row],[Country]]</f>
        <v>Switzerland</v>
      </c>
      <c r="E186" s="11" t="str">
        <f>RawTable[[#This Row],[Name]]</f>
        <v>David Haddad</v>
      </c>
      <c r="F186" s="11" t="str">
        <f>RawTable[[#This Row],[Bank_Account]]</f>
        <v>DE890000000000095053</v>
      </c>
      <c r="G186" s="11" t="str">
        <f>RawTable[[#This Row],[Month]]</f>
        <v>Jan-2026</v>
      </c>
      <c r="H186" s="11" t="str">
        <f>RawTable[[#This Row],[Currency]]</f>
        <v>CHF</v>
      </c>
      <c r="I186" s="4">
        <f>RawTable[[#This Row],[Net_Amount]]</f>
        <v>6350.09</v>
      </c>
      <c r="J186" s="2" t="str">
        <f>RawTable[[#This Row],[VAT_Applicable]]</f>
        <v>No</v>
      </c>
      <c r="K186" s="4">
        <f>RawTable[[#This Row],[VAT_Rate]]</f>
        <v>0</v>
      </c>
      <c r="L186" s="4">
        <f>RawTable[[#This Row],[VAT_Amount]]</f>
        <v>0</v>
      </c>
      <c r="M186" s="4">
        <f>RawTable[[#This Row],[Gross_Amount]]</f>
        <v>6350.09</v>
      </c>
      <c r="N186" s="4">
        <f>RawTable[[#This Row],[Exchange_Rate]]</f>
        <v>1</v>
      </c>
      <c r="O186" s="4">
        <f>RawTable[[#This Row],[Amount_CHF]]</f>
        <v>6350.09</v>
      </c>
      <c r="P18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8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86" s="11" t="str">
        <f>IF(ValidationTable[[#This Row],[Currency]]="","Fail","Pass")</f>
        <v>Pass</v>
      </c>
      <c r="S186" s="11" t="str">
        <f>IF(
ValidationTable[[#This Row],[Currency]]="CHF",
IF(ValidationTable[[#This Row],[Exchange_Rate]]&lt;&gt;1,"Fail","Pass"),
IF(ValidationTable[[#This Row],[Exchange_Rate]]&lt;=0,"Fail","Pass")
)</f>
        <v>Pass</v>
      </c>
      <c r="T18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86" s="11" t="str">
        <f>IF(LEN(TRIM(ValidationTable[[#This Row],[Bank_Account]]))=0,"Fail","Pass")</f>
        <v>Pass</v>
      </c>
      <c r="V186" s="11" t="str">
        <f>IF(
COUNTIF(ValidationTable[Record_ID],ValidationTable[[#This Row],[Record_ID]])&gt;1,
"Fail",
"Pass"
)</f>
        <v>Pass</v>
      </c>
      <c r="W186" s="11" t="str">
        <f>IF(
COUNTIF(ValidationTable[[#This Row],[RequiredField_Validation]]:ValidationTable[[#This Row],[Duplicate_Validation]],"Fail")&gt;0,
"Fail",
"Pass"
)</f>
        <v>Pass</v>
      </c>
      <c r="X186" s="11" t="str">
        <f>IF(ValidationTable[[#This Row],[Validation_Result]]="Pass","Yes","No")</f>
        <v>Yes</v>
      </c>
    </row>
    <row r="187" spans="1:24">
      <c r="A187" s="11">
        <f>RawTable[[#This Row],[Record_ID]]</f>
        <v>186</v>
      </c>
      <c r="B187" s="11" t="str">
        <f>RawTable[[#This Row],[Payment_Type]]</f>
        <v>Payroll</v>
      </c>
      <c r="C187" s="11" t="str">
        <f>RawTable[[#This Row],[Entity_Type]]</f>
        <v>Employee</v>
      </c>
      <c r="D187" s="11" t="str">
        <f>RawTable[[#This Row],[Country]]</f>
        <v>UAE</v>
      </c>
      <c r="E187" s="11" t="str">
        <f>RawTable[[#This Row],[Name]]</f>
        <v>Lina Johnson</v>
      </c>
      <c r="F187" s="11" t="str">
        <f>RawTable[[#This Row],[Bank_Account]]</f>
        <v>CH930000000000740400</v>
      </c>
      <c r="G187" s="11" t="str">
        <f>RawTable[[#This Row],[Month]]</f>
        <v>Feb-2026</v>
      </c>
      <c r="H187" s="11" t="str">
        <f>RawTable[[#This Row],[Currency]]</f>
        <v>AED</v>
      </c>
      <c r="I187" s="4">
        <f>RawTable[[#This Row],[Net_Amount]]</f>
        <v>22653.4</v>
      </c>
      <c r="J187" s="2" t="str">
        <f>RawTable[[#This Row],[VAT_Applicable]]</f>
        <v>No</v>
      </c>
      <c r="K187" s="4">
        <f>RawTable[[#This Row],[VAT_Rate]]</f>
        <v>0</v>
      </c>
      <c r="L187" s="4">
        <f>RawTable[[#This Row],[VAT_Amount]]</f>
        <v>0</v>
      </c>
      <c r="M187" s="4">
        <f>RawTable[[#This Row],[Gross_Amount]]</f>
        <v>22653.4</v>
      </c>
      <c r="N187" s="4">
        <f>RawTable[[#This Row],[Exchange_Rate]]</f>
        <v>0.21065</v>
      </c>
      <c r="O187" s="4">
        <f>RawTable[[#This Row],[Amount_CHF]]</f>
        <v>4771.9399999999996</v>
      </c>
      <c r="P18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8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87" s="11" t="str">
        <f>IF(ValidationTable[[#This Row],[Currency]]="","Fail","Pass")</f>
        <v>Pass</v>
      </c>
      <c r="S187" s="11" t="str">
        <f>IF(
ValidationTable[[#This Row],[Currency]]="CHF",
IF(ValidationTable[[#This Row],[Exchange_Rate]]&lt;&gt;1,"Fail","Pass"),
IF(ValidationTable[[#This Row],[Exchange_Rate]]&lt;=0,"Fail","Pass")
)</f>
        <v>Pass</v>
      </c>
      <c r="T18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87" s="11" t="str">
        <f>IF(LEN(TRIM(ValidationTable[[#This Row],[Bank_Account]]))=0,"Fail","Pass")</f>
        <v>Pass</v>
      </c>
      <c r="V187" s="11" t="str">
        <f>IF(
COUNTIF(ValidationTable[Record_ID],ValidationTable[[#This Row],[Record_ID]])&gt;1,
"Fail",
"Pass"
)</f>
        <v>Pass</v>
      </c>
      <c r="W187" s="11" t="str">
        <f>IF(
COUNTIF(ValidationTable[[#This Row],[RequiredField_Validation]]:ValidationTable[[#This Row],[Duplicate_Validation]],"Fail")&gt;0,
"Fail",
"Pass"
)</f>
        <v>Pass</v>
      </c>
      <c r="X187" s="11" t="str">
        <f>IF(ValidationTable[[#This Row],[Validation_Result]]="Pass","Yes","No")</f>
        <v>Yes</v>
      </c>
    </row>
    <row r="188" spans="1:24">
      <c r="A188" s="11">
        <f>RawTable[[#This Row],[Record_ID]]</f>
        <v>187</v>
      </c>
      <c r="B188" s="11" t="str">
        <f>RawTable[[#This Row],[Payment_Type]]</f>
        <v>Payroll</v>
      </c>
      <c r="C188" s="11" t="str">
        <f>RawTable[[#This Row],[Entity_Type]]</f>
        <v>Employee</v>
      </c>
      <c r="D188" s="11" t="str">
        <f>RawTable[[#This Row],[Country]]</f>
        <v>UAE</v>
      </c>
      <c r="E188" s="11" t="str">
        <f>RawTable[[#This Row],[Name]]</f>
        <v>Laura Taylor</v>
      </c>
      <c r="F188" s="11" t="str">
        <f>RawTable[[#This Row],[Bank_Account]]</f>
        <v>DE890000000000977688</v>
      </c>
      <c r="G188" s="11" t="str">
        <f>RawTable[[#This Row],[Month]]</f>
        <v>Jan-2026</v>
      </c>
      <c r="H188" s="11" t="str">
        <f>RawTable[[#This Row],[Currency]]</f>
        <v>AED</v>
      </c>
      <c r="I188" s="4">
        <f>RawTable[[#This Row],[Net_Amount]]</f>
        <v>21454.400000000001</v>
      </c>
      <c r="J188" s="2" t="str">
        <f>RawTable[[#This Row],[VAT_Applicable]]</f>
        <v>No</v>
      </c>
      <c r="K188" s="4">
        <f>RawTable[[#This Row],[VAT_Rate]]</f>
        <v>0</v>
      </c>
      <c r="L188" s="4">
        <f>RawTable[[#This Row],[VAT_Amount]]</f>
        <v>0</v>
      </c>
      <c r="M188" s="4">
        <f>RawTable[[#This Row],[Gross_Amount]]</f>
        <v>21454.400000000001</v>
      </c>
      <c r="N188" s="4">
        <f>RawTable[[#This Row],[Exchange_Rate]]</f>
        <v>0.21065</v>
      </c>
      <c r="O188" s="4">
        <f>RawTable[[#This Row],[Amount_CHF]]</f>
        <v>4519.37</v>
      </c>
      <c r="P18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8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88" s="11" t="str">
        <f>IF(ValidationTable[[#This Row],[Currency]]="","Fail","Pass")</f>
        <v>Pass</v>
      </c>
      <c r="S188" s="11" t="str">
        <f>IF(
ValidationTable[[#This Row],[Currency]]="CHF",
IF(ValidationTable[[#This Row],[Exchange_Rate]]&lt;&gt;1,"Fail","Pass"),
IF(ValidationTable[[#This Row],[Exchange_Rate]]&lt;=0,"Fail","Pass")
)</f>
        <v>Pass</v>
      </c>
      <c r="T18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88" s="11" t="str">
        <f>IF(LEN(TRIM(ValidationTable[[#This Row],[Bank_Account]]))=0,"Fail","Pass")</f>
        <v>Pass</v>
      </c>
      <c r="V188" s="11" t="str">
        <f>IF(
COUNTIF(ValidationTable[Record_ID],ValidationTable[[#This Row],[Record_ID]])&gt;1,
"Fail",
"Pass"
)</f>
        <v>Pass</v>
      </c>
      <c r="W188" s="11" t="str">
        <f>IF(
COUNTIF(ValidationTable[[#This Row],[RequiredField_Validation]]:ValidationTable[[#This Row],[Duplicate_Validation]],"Fail")&gt;0,
"Fail",
"Pass"
)</f>
        <v>Pass</v>
      </c>
      <c r="X188" s="11" t="str">
        <f>IF(ValidationTable[[#This Row],[Validation_Result]]="Pass","Yes","No")</f>
        <v>Yes</v>
      </c>
    </row>
    <row r="189" spans="1:24">
      <c r="A189" s="11">
        <f>RawTable[[#This Row],[Record_ID]]</f>
        <v>188</v>
      </c>
      <c r="B189" s="11" t="str">
        <f>RawTable[[#This Row],[Payment_Type]]</f>
        <v>Payroll</v>
      </c>
      <c r="C189" s="11" t="str">
        <f>RawTable[[#This Row],[Entity_Type]]</f>
        <v>Employee</v>
      </c>
      <c r="D189" s="11" t="str">
        <f>RawTable[[#This Row],[Country]]</f>
        <v>Jordan</v>
      </c>
      <c r="E189" s="11" t="str">
        <f>RawTable[[#This Row],[Name]]</f>
        <v>Sara Brown</v>
      </c>
      <c r="F189" s="11" t="str">
        <f>RawTable[[#This Row],[Bank_Account]]</f>
        <v>DE890000000000950530</v>
      </c>
      <c r="G189" s="11" t="str">
        <f>RawTable[[#This Row],[Month]]</f>
        <v>Feb-2026</v>
      </c>
      <c r="H189" s="11" t="str">
        <f>RawTable[[#This Row],[Currency]]</f>
        <v>JOD</v>
      </c>
      <c r="I189" s="4">
        <f>RawTable[[#This Row],[Net_Amount]]</f>
        <v>1738.8</v>
      </c>
      <c r="J189" s="2" t="str">
        <f>RawTable[[#This Row],[VAT_Applicable]]</f>
        <v>No</v>
      </c>
      <c r="K189" s="4">
        <f>RawTable[[#This Row],[VAT_Rate]]</f>
        <v>0</v>
      </c>
      <c r="L189" s="4">
        <f>RawTable[[#This Row],[VAT_Amount]]</f>
        <v>0</v>
      </c>
      <c r="M189" s="4">
        <f>RawTable[[#This Row],[Gross_Amount]]</f>
        <v>1738.8</v>
      </c>
      <c r="N189" s="4">
        <f>RawTable[[#This Row],[Exchange_Rate]]</f>
        <v>1.08643</v>
      </c>
      <c r="O189" s="4">
        <f>RawTable[[#This Row],[Amount_CHF]]</f>
        <v>1889.08</v>
      </c>
      <c r="P18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8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89" s="11" t="str">
        <f>IF(ValidationTable[[#This Row],[Currency]]="","Fail","Pass")</f>
        <v>Pass</v>
      </c>
      <c r="S189" s="11" t="str">
        <f>IF(
ValidationTable[[#This Row],[Currency]]="CHF",
IF(ValidationTable[[#This Row],[Exchange_Rate]]&lt;&gt;1,"Fail","Pass"),
IF(ValidationTable[[#This Row],[Exchange_Rate]]&lt;=0,"Fail","Pass")
)</f>
        <v>Pass</v>
      </c>
      <c r="T18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89" s="11" t="str">
        <f>IF(LEN(TRIM(ValidationTable[[#This Row],[Bank_Account]]))=0,"Fail","Pass")</f>
        <v>Pass</v>
      </c>
      <c r="V189" s="11" t="str">
        <f>IF(
COUNTIF(ValidationTable[Record_ID],ValidationTable[[#This Row],[Record_ID]])&gt;1,
"Fail",
"Pass"
)</f>
        <v>Pass</v>
      </c>
      <c r="W189" s="11" t="str">
        <f>IF(
COUNTIF(ValidationTable[[#This Row],[RequiredField_Validation]]:ValidationTable[[#This Row],[Duplicate_Validation]],"Fail")&gt;0,
"Fail",
"Pass"
)</f>
        <v>Pass</v>
      </c>
      <c r="X189" s="11" t="str">
        <f>IF(ValidationTable[[#This Row],[Validation_Result]]="Pass","Yes","No")</f>
        <v>Yes</v>
      </c>
    </row>
    <row r="190" spans="1:24">
      <c r="A190" s="11">
        <f>RawTable[[#This Row],[Record_ID]]</f>
        <v>189</v>
      </c>
      <c r="B190" s="11" t="str">
        <f>RawTable[[#This Row],[Payment_Type]]</f>
        <v>Payroll</v>
      </c>
      <c r="C190" s="11" t="str">
        <f>RawTable[[#This Row],[Entity_Type]]</f>
        <v>Employee</v>
      </c>
      <c r="D190" s="11" t="str">
        <f>RawTable[[#This Row],[Country]]</f>
        <v>Switzerland</v>
      </c>
      <c r="E190" s="11" t="str">
        <f>RawTable[[#This Row],[Name]]</f>
        <v>Omar Khan</v>
      </c>
      <c r="F190" s="11" t="str">
        <f>RawTable[[#This Row],[Bank_Account]]</f>
        <v>AE-IBAN-01738272</v>
      </c>
      <c r="G190" s="11" t="str">
        <f>RawTable[[#This Row],[Month]]</f>
        <v>Feb-2026</v>
      </c>
      <c r="H190" s="11" t="str">
        <f>RawTable[[#This Row],[Currency]]</f>
        <v>CHF</v>
      </c>
      <c r="I190" s="4">
        <f>RawTable[[#This Row],[Net_Amount]]</f>
        <v>6222.1</v>
      </c>
      <c r="J190" s="2" t="str">
        <f>RawTable[[#This Row],[VAT_Applicable]]</f>
        <v>No</v>
      </c>
      <c r="K190" s="4">
        <f>RawTable[[#This Row],[VAT_Rate]]</f>
        <v>0</v>
      </c>
      <c r="L190" s="4">
        <f>RawTable[[#This Row],[VAT_Amount]]</f>
        <v>0</v>
      </c>
      <c r="M190" s="4">
        <f>RawTable[[#This Row],[Gross_Amount]]</f>
        <v>6222.1</v>
      </c>
      <c r="N190" s="4">
        <f>RawTable[[#This Row],[Exchange_Rate]]</f>
        <v>1</v>
      </c>
      <c r="O190" s="4">
        <f>RawTable[[#This Row],[Amount_CHF]]</f>
        <v>6222.1</v>
      </c>
      <c r="P19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9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90" s="11" t="str">
        <f>IF(ValidationTable[[#This Row],[Currency]]="","Fail","Pass")</f>
        <v>Pass</v>
      </c>
      <c r="S190" s="11" t="str">
        <f>IF(
ValidationTable[[#This Row],[Currency]]="CHF",
IF(ValidationTable[[#This Row],[Exchange_Rate]]&lt;&gt;1,"Fail","Pass"),
IF(ValidationTable[[#This Row],[Exchange_Rate]]&lt;=0,"Fail","Pass")
)</f>
        <v>Pass</v>
      </c>
      <c r="T19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90" s="11" t="str">
        <f>IF(LEN(TRIM(ValidationTable[[#This Row],[Bank_Account]]))=0,"Fail","Pass")</f>
        <v>Pass</v>
      </c>
      <c r="V190" s="11" t="str">
        <f>IF(
COUNTIF(ValidationTable[Record_ID],ValidationTable[[#This Row],[Record_ID]])&gt;1,
"Fail",
"Pass"
)</f>
        <v>Pass</v>
      </c>
      <c r="W190" s="11" t="str">
        <f>IF(
COUNTIF(ValidationTable[[#This Row],[RequiredField_Validation]]:ValidationTable[[#This Row],[Duplicate_Validation]],"Fail")&gt;0,
"Fail",
"Pass"
)</f>
        <v>Pass</v>
      </c>
      <c r="X190" s="11" t="str">
        <f>IF(ValidationTable[[#This Row],[Validation_Result]]="Pass","Yes","No")</f>
        <v>Yes</v>
      </c>
    </row>
    <row r="191" spans="1:24">
      <c r="A191" s="11">
        <f>RawTable[[#This Row],[Record_ID]]</f>
        <v>190</v>
      </c>
      <c r="B191" s="11" t="str">
        <f>RawTable[[#This Row],[Payment_Type]]</f>
        <v>Payroll</v>
      </c>
      <c r="C191" s="11" t="str">
        <f>RawTable[[#This Row],[Entity_Type]]</f>
        <v>Employee</v>
      </c>
      <c r="D191" s="11" t="str">
        <f>RawTable[[#This Row],[Country]]</f>
        <v>UAE</v>
      </c>
      <c r="E191" s="11" t="str">
        <f>RawTable[[#This Row],[Name]]</f>
        <v>John Müller</v>
      </c>
      <c r="F191" s="11" t="str">
        <f>RawTable[[#This Row],[Bank_Account]]</f>
        <v>CH930000000001382080</v>
      </c>
      <c r="G191" s="11" t="str">
        <f>RawTable[[#This Row],[Month]]</f>
        <v>Jan-2026</v>
      </c>
      <c r="H191" s="11" t="str">
        <f>RawTable[[#This Row],[Currency]]</f>
        <v>AED</v>
      </c>
      <c r="I191" s="4">
        <f>RawTable[[#This Row],[Net_Amount]]</f>
        <v>21276.2</v>
      </c>
      <c r="J191" s="2" t="str">
        <f>RawTable[[#This Row],[VAT_Applicable]]</f>
        <v>No</v>
      </c>
      <c r="K191" s="4">
        <f>RawTable[[#This Row],[VAT_Rate]]</f>
        <v>0</v>
      </c>
      <c r="L191" s="4">
        <f>RawTable[[#This Row],[VAT_Amount]]</f>
        <v>0</v>
      </c>
      <c r="M191" s="4">
        <f>RawTable[[#This Row],[Gross_Amount]]</f>
        <v>21276.2</v>
      </c>
      <c r="N191" s="4">
        <f>RawTable[[#This Row],[Exchange_Rate]]</f>
        <v>0.21065</v>
      </c>
      <c r="O191" s="4">
        <f>RawTable[[#This Row],[Amount_CHF]]</f>
        <v>4481.83</v>
      </c>
      <c r="P19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9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91" s="11" t="str">
        <f>IF(ValidationTable[[#This Row],[Currency]]="","Fail","Pass")</f>
        <v>Pass</v>
      </c>
      <c r="S191" s="11" t="str">
        <f>IF(
ValidationTable[[#This Row],[Currency]]="CHF",
IF(ValidationTable[[#This Row],[Exchange_Rate]]&lt;&gt;1,"Fail","Pass"),
IF(ValidationTable[[#This Row],[Exchange_Rate]]&lt;=0,"Fail","Pass")
)</f>
        <v>Pass</v>
      </c>
      <c r="T19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91" s="11" t="str">
        <f>IF(LEN(TRIM(ValidationTable[[#This Row],[Bank_Account]]))=0,"Fail","Pass")</f>
        <v>Pass</v>
      </c>
      <c r="V191" s="11" t="str">
        <f>IF(
COUNTIF(ValidationTable[Record_ID],ValidationTable[[#This Row],[Record_ID]])&gt;1,
"Fail",
"Pass"
)</f>
        <v>Pass</v>
      </c>
      <c r="W191" s="11" t="str">
        <f>IF(
COUNTIF(ValidationTable[[#This Row],[RequiredField_Validation]]:ValidationTable[[#This Row],[Duplicate_Validation]],"Fail")&gt;0,
"Fail",
"Pass"
)</f>
        <v>Pass</v>
      </c>
      <c r="X191" s="11" t="str">
        <f>IF(ValidationTable[[#This Row],[Validation_Result]]="Pass","Yes","No")</f>
        <v>Yes</v>
      </c>
    </row>
    <row r="192" spans="1:24">
      <c r="A192" s="11">
        <f>RawTable[[#This Row],[Record_ID]]</f>
        <v>191</v>
      </c>
      <c r="B192" s="11" t="str">
        <f>RawTable[[#This Row],[Payment_Type]]</f>
        <v>Payroll</v>
      </c>
      <c r="C192" s="11" t="str">
        <f>RawTable[[#This Row],[Entity_Type]]</f>
        <v>Employee</v>
      </c>
      <c r="D192" s="11" t="str">
        <f>RawTable[[#This Row],[Country]]</f>
        <v>UAE</v>
      </c>
      <c r="E192" s="11" t="str">
        <f>RawTable[[#This Row],[Name]]</f>
        <v>Laura Brown</v>
      </c>
      <c r="F192" s="11" t="str">
        <f>RawTable[[#This Row],[Bank_Account]]</f>
        <v>DE890000000000339475</v>
      </c>
      <c r="G192" s="11" t="str">
        <f>RawTable[[#This Row],[Month]]</f>
        <v>Feb-2026</v>
      </c>
      <c r="H192" s="11" t="str">
        <f>RawTable[[#This Row],[Currency]]</f>
        <v>AED</v>
      </c>
      <c r="I192" s="4">
        <f>RawTable[[#This Row],[Net_Amount]]</f>
        <v>22399.22</v>
      </c>
      <c r="J192" s="2" t="str">
        <f>RawTable[[#This Row],[VAT_Applicable]]</f>
        <v>No</v>
      </c>
      <c r="K192" s="4">
        <f>RawTable[[#This Row],[VAT_Rate]]</f>
        <v>0</v>
      </c>
      <c r="L192" s="4">
        <f>RawTable[[#This Row],[VAT_Amount]]</f>
        <v>0</v>
      </c>
      <c r="M192" s="4">
        <f>RawTable[[#This Row],[Gross_Amount]]</f>
        <v>22399.22</v>
      </c>
      <c r="N192" s="4">
        <f>RawTable[[#This Row],[Exchange_Rate]]</f>
        <v>0.21065</v>
      </c>
      <c r="O192" s="4">
        <f>RawTable[[#This Row],[Amount_CHF]]</f>
        <v>4718.3999999999996</v>
      </c>
      <c r="P19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9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92" s="11" t="str">
        <f>IF(ValidationTable[[#This Row],[Currency]]="","Fail","Pass")</f>
        <v>Pass</v>
      </c>
      <c r="S192" s="11" t="str">
        <f>IF(
ValidationTable[[#This Row],[Currency]]="CHF",
IF(ValidationTable[[#This Row],[Exchange_Rate]]&lt;&gt;1,"Fail","Pass"),
IF(ValidationTable[[#This Row],[Exchange_Rate]]&lt;=0,"Fail","Pass")
)</f>
        <v>Pass</v>
      </c>
      <c r="T19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92" s="11" t="str">
        <f>IF(LEN(TRIM(ValidationTable[[#This Row],[Bank_Account]]))=0,"Fail","Pass")</f>
        <v>Pass</v>
      </c>
      <c r="V192" s="11" t="str">
        <f>IF(
COUNTIF(ValidationTable[Record_ID],ValidationTable[[#This Row],[Record_ID]])&gt;1,
"Fail",
"Pass"
)</f>
        <v>Pass</v>
      </c>
      <c r="W192" s="11" t="str">
        <f>IF(
COUNTIF(ValidationTable[[#This Row],[RequiredField_Validation]]:ValidationTable[[#This Row],[Duplicate_Validation]],"Fail")&gt;0,
"Fail",
"Pass"
)</f>
        <v>Pass</v>
      </c>
      <c r="X192" s="11" t="str">
        <f>IF(ValidationTable[[#This Row],[Validation_Result]]="Pass","Yes","No")</f>
        <v>Yes</v>
      </c>
    </row>
    <row r="193" spans="1:24">
      <c r="A193" s="11">
        <f>RawTable[[#This Row],[Record_ID]]</f>
        <v>192</v>
      </c>
      <c r="B193" s="11" t="str">
        <f>RawTable[[#This Row],[Payment_Type]]</f>
        <v>Payroll</v>
      </c>
      <c r="C193" s="11" t="str">
        <f>RawTable[[#This Row],[Entity_Type]]</f>
        <v>Employee</v>
      </c>
      <c r="D193" s="11" t="str">
        <f>RawTable[[#This Row],[Country]]</f>
        <v>Germany</v>
      </c>
      <c r="E193" s="11" t="str">
        <f>RawTable[[#This Row],[Name]]</f>
        <v>Julia Taylor</v>
      </c>
      <c r="F193" s="11" t="str">
        <f>RawTable[[#This Row],[Bank_Account]]</f>
        <v>DE890000000001072741</v>
      </c>
      <c r="G193" s="11" t="str">
        <f>RawTable[[#This Row],[Month]]</f>
        <v>Jan-2026</v>
      </c>
      <c r="H193" s="11" t="str">
        <f>RawTable[[#This Row],[Currency]]</f>
        <v>EUR</v>
      </c>
      <c r="I193" s="4">
        <f>RawTable[[#This Row],[Net_Amount]]</f>
        <v>5848.8</v>
      </c>
      <c r="J193" s="2" t="str">
        <f>RawTable[[#This Row],[VAT_Applicable]]</f>
        <v>No</v>
      </c>
      <c r="K193" s="4">
        <f>RawTable[[#This Row],[VAT_Rate]]</f>
        <v>0</v>
      </c>
      <c r="L193" s="4">
        <f>RawTable[[#This Row],[VAT_Amount]]</f>
        <v>0</v>
      </c>
      <c r="M193" s="4">
        <f>RawTable[[#This Row],[Gross_Amount]]</f>
        <v>5848.8</v>
      </c>
      <c r="N193" s="4">
        <f>RawTable[[#This Row],[Exchange_Rate]]</f>
        <v>0.90888000000000002</v>
      </c>
      <c r="O193" s="4">
        <f>RawTable[[#This Row],[Amount_CHF]]</f>
        <v>5315.86</v>
      </c>
      <c r="P19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9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93" s="11" t="str">
        <f>IF(ValidationTable[[#This Row],[Currency]]="","Fail","Pass")</f>
        <v>Pass</v>
      </c>
      <c r="S193" s="11" t="str">
        <f>IF(
ValidationTable[[#This Row],[Currency]]="CHF",
IF(ValidationTable[[#This Row],[Exchange_Rate]]&lt;&gt;1,"Fail","Pass"),
IF(ValidationTable[[#This Row],[Exchange_Rate]]&lt;=0,"Fail","Pass")
)</f>
        <v>Pass</v>
      </c>
      <c r="T19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93" s="11" t="str">
        <f>IF(LEN(TRIM(ValidationTable[[#This Row],[Bank_Account]]))=0,"Fail","Pass")</f>
        <v>Pass</v>
      </c>
      <c r="V193" s="11" t="str">
        <f>IF(
COUNTIF(ValidationTable[Record_ID],ValidationTable[[#This Row],[Record_ID]])&gt;1,
"Fail",
"Pass"
)</f>
        <v>Pass</v>
      </c>
      <c r="W193" s="11" t="str">
        <f>IF(
COUNTIF(ValidationTable[[#This Row],[RequiredField_Validation]]:ValidationTable[[#This Row],[Duplicate_Validation]],"Fail")&gt;0,
"Fail",
"Pass"
)</f>
        <v>Pass</v>
      </c>
      <c r="X193" s="11" t="str">
        <f>IF(ValidationTable[[#This Row],[Validation_Result]]="Pass","Yes","No")</f>
        <v>Yes</v>
      </c>
    </row>
    <row r="194" spans="1:24">
      <c r="A194" s="11">
        <f>RawTable[[#This Row],[Record_ID]]</f>
        <v>193</v>
      </c>
      <c r="B194" s="11" t="str">
        <f>RawTable[[#This Row],[Payment_Type]]</f>
        <v>Payroll</v>
      </c>
      <c r="C194" s="11" t="str">
        <f>RawTable[[#This Row],[Entity_Type]]</f>
        <v>Employee</v>
      </c>
      <c r="D194" s="11" t="str">
        <f>RawTable[[#This Row],[Country]]</f>
        <v>Germany</v>
      </c>
      <c r="E194" s="11" t="str">
        <f>RawTable[[#This Row],[Name]]</f>
        <v>Julia Johnson</v>
      </c>
      <c r="F194" s="11" t="str">
        <f>RawTable[[#This Row],[Bank_Account]]</f>
        <v>CH930000000000715720</v>
      </c>
      <c r="G194" s="11" t="str">
        <f>RawTable[[#This Row],[Month]]</f>
        <v>Jan-2026</v>
      </c>
      <c r="H194" s="11" t="str">
        <f>RawTable[[#This Row],[Currency]]</f>
        <v>EUR</v>
      </c>
      <c r="I194" s="4">
        <f>RawTable[[#This Row],[Net_Amount]]</f>
        <v>6558</v>
      </c>
      <c r="J194" s="2" t="str">
        <f>RawTable[[#This Row],[VAT_Applicable]]</f>
        <v>No</v>
      </c>
      <c r="K194" s="4">
        <f>RawTable[[#This Row],[VAT_Rate]]</f>
        <v>0</v>
      </c>
      <c r="L194" s="4">
        <f>RawTable[[#This Row],[VAT_Amount]]</f>
        <v>0</v>
      </c>
      <c r="M194" s="4">
        <f>RawTable[[#This Row],[Gross_Amount]]</f>
        <v>6558</v>
      </c>
      <c r="N194" s="4">
        <f>RawTable[[#This Row],[Exchange_Rate]]</f>
        <v>0.90888000000000002</v>
      </c>
      <c r="O194" s="4">
        <f>RawTable[[#This Row],[Amount_CHF]]</f>
        <v>5960.44</v>
      </c>
      <c r="P19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9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94" s="11" t="str">
        <f>IF(ValidationTable[[#This Row],[Currency]]="","Fail","Pass")</f>
        <v>Pass</v>
      </c>
      <c r="S194" s="11" t="str">
        <f>IF(
ValidationTable[[#This Row],[Currency]]="CHF",
IF(ValidationTable[[#This Row],[Exchange_Rate]]&lt;&gt;1,"Fail","Pass"),
IF(ValidationTable[[#This Row],[Exchange_Rate]]&lt;=0,"Fail","Pass")
)</f>
        <v>Pass</v>
      </c>
      <c r="T19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94" s="11" t="str">
        <f>IF(LEN(TRIM(ValidationTable[[#This Row],[Bank_Account]]))=0,"Fail","Pass")</f>
        <v>Pass</v>
      </c>
      <c r="V194" s="11" t="str">
        <f>IF(
COUNTIF(ValidationTable[Record_ID],ValidationTable[[#This Row],[Record_ID]])&gt;1,
"Fail",
"Pass"
)</f>
        <v>Pass</v>
      </c>
      <c r="W194" s="11" t="str">
        <f>IF(
COUNTIF(ValidationTable[[#This Row],[RequiredField_Validation]]:ValidationTable[[#This Row],[Duplicate_Validation]],"Fail")&gt;0,
"Fail",
"Pass"
)</f>
        <v>Pass</v>
      </c>
      <c r="X194" s="11" t="str">
        <f>IF(ValidationTable[[#This Row],[Validation_Result]]="Pass","Yes","No")</f>
        <v>Yes</v>
      </c>
    </row>
    <row r="195" spans="1:24">
      <c r="A195" s="11">
        <f>RawTable[[#This Row],[Record_ID]]</f>
        <v>194</v>
      </c>
      <c r="B195" s="11" t="str">
        <f>RawTable[[#This Row],[Payment_Type]]</f>
        <v>Payroll</v>
      </c>
      <c r="C195" s="11" t="str">
        <f>RawTable[[#This Row],[Entity_Type]]</f>
        <v>Employee</v>
      </c>
      <c r="D195" s="11" t="str">
        <f>RawTable[[#This Row],[Country]]</f>
        <v>USA</v>
      </c>
      <c r="E195" s="11" t="str">
        <f>RawTable[[#This Row],[Name]]</f>
        <v>Anna Ali</v>
      </c>
      <c r="F195" s="11" t="str">
        <f>RawTable[[#This Row],[Bank_Account]]</f>
        <v>JO-IBAN-00827115</v>
      </c>
      <c r="G195" s="11" t="str">
        <f>RawTable[[#This Row],[Month]]</f>
        <v>Feb-2026</v>
      </c>
      <c r="H195" s="11" t="str">
        <f>RawTable[[#This Row],[Currency]]</f>
        <v>USD</v>
      </c>
      <c r="I195" s="4">
        <f>RawTable[[#This Row],[Net_Amount]]</f>
        <v>6846.7</v>
      </c>
      <c r="J195" s="2" t="str">
        <f>RawTable[[#This Row],[VAT_Applicable]]</f>
        <v>No</v>
      </c>
      <c r="K195" s="4">
        <f>RawTable[[#This Row],[VAT_Rate]]</f>
        <v>0</v>
      </c>
      <c r="L195" s="4">
        <f>RawTable[[#This Row],[VAT_Amount]]</f>
        <v>0</v>
      </c>
      <c r="M195" s="4">
        <f>RawTable[[#This Row],[Gross_Amount]]</f>
        <v>6846.7</v>
      </c>
      <c r="N195" s="4">
        <f>RawTable[[#This Row],[Exchange_Rate]]</f>
        <v>0.77017999999999998</v>
      </c>
      <c r="O195" s="4">
        <f>RawTable[[#This Row],[Amount_CHF]]</f>
        <v>5273.19</v>
      </c>
      <c r="P19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9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95" s="11" t="str">
        <f>IF(ValidationTable[[#This Row],[Currency]]="","Fail","Pass")</f>
        <v>Pass</v>
      </c>
      <c r="S195" s="11" t="str">
        <f>IF(
ValidationTable[[#This Row],[Currency]]="CHF",
IF(ValidationTable[[#This Row],[Exchange_Rate]]&lt;&gt;1,"Fail","Pass"),
IF(ValidationTable[[#This Row],[Exchange_Rate]]&lt;=0,"Fail","Pass")
)</f>
        <v>Pass</v>
      </c>
      <c r="T19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95" s="11" t="str">
        <f>IF(LEN(TRIM(ValidationTable[[#This Row],[Bank_Account]]))=0,"Fail","Pass")</f>
        <v>Pass</v>
      </c>
      <c r="V195" s="11" t="str">
        <f>IF(
COUNTIF(ValidationTable[Record_ID],ValidationTable[[#This Row],[Record_ID]])&gt;1,
"Fail",
"Pass"
)</f>
        <v>Pass</v>
      </c>
      <c r="W195" s="11" t="str">
        <f>IF(
COUNTIF(ValidationTable[[#This Row],[RequiredField_Validation]]:ValidationTable[[#This Row],[Duplicate_Validation]],"Fail")&gt;0,
"Fail",
"Pass"
)</f>
        <v>Pass</v>
      </c>
      <c r="X195" s="11" t="str">
        <f>IF(ValidationTable[[#This Row],[Validation_Result]]="Pass","Yes","No")</f>
        <v>Yes</v>
      </c>
    </row>
    <row r="196" spans="1:24">
      <c r="A196" s="11">
        <f>RawTable[[#This Row],[Record_ID]]</f>
        <v>195</v>
      </c>
      <c r="B196" s="11" t="str">
        <f>RawTable[[#This Row],[Payment_Type]]</f>
        <v>Payroll</v>
      </c>
      <c r="C196" s="11" t="str">
        <f>RawTable[[#This Row],[Entity_Type]]</f>
        <v>Employee</v>
      </c>
      <c r="D196" s="11" t="str">
        <f>RawTable[[#This Row],[Country]]</f>
        <v>USA</v>
      </c>
      <c r="E196" s="11" t="str">
        <f>RawTable[[#This Row],[Name]]</f>
        <v>John Müller</v>
      </c>
      <c r="F196" s="11" t="str">
        <f>RawTable[[#This Row],[Bank_Account]]</f>
        <v>CH930000000001382080</v>
      </c>
      <c r="G196" s="11" t="str">
        <f>RawTable[[#This Row],[Month]]</f>
        <v>Mar-2026</v>
      </c>
      <c r="H196" s="11" t="str">
        <f>RawTable[[#This Row],[Currency]]</f>
        <v>USD</v>
      </c>
      <c r="I196" s="4">
        <f>RawTable[[#This Row],[Net_Amount]]</f>
        <v>6974.32</v>
      </c>
      <c r="J196" s="2" t="str">
        <f>RawTable[[#This Row],[VAT_Applicable]]</f>
        <v>No</v>
      </c>
      <c r="K196" s="4">
        <f>RawTable[[#This Row],[VAT_Rate]]</f>
        <v>0</v>
      </c>
      <c r="L196" s="4">
        <f>RawTable[[#This Row],[VAT_Amount]]</f>
        <v>0</v>
      </c>
      <c r="M196" s="4">
        <f>RawTable[[#This Row],[Gross_Amount]]</f>
        <v>6974.32</v>
      </c>
      <c r="N196" s="4">
        <f>RawTable[[#This Row],[Exchange_Rate]]</f>
        <v>0.77017999999999998</v>
      </c>
      <c r="O196" s="4">
        <f>RawTable[[#This Row],[Amount_CHF]]</f>
        <v>5371.48</v>
      </c>
      <c r="P19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9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96" s="11" t="str">
        <f>IF(ValidationTable[[#This Row],[Currency]]="","Fail","Pass")</f>
        <v>Pass</v>
      </c>
      <c r="S196" s="11" t="str">
        <f>IF(
ValidationTable[[#This Row],[Currency]]="CHF",
IF(ValidationTable[[#This Row],[Exchange_Rate]]&lt;&gt;1,"Fail","Pass"),
IF(ValidationTable[[#This Row],[Exchange_Rate]]&lt;=0,"Fail","Pass")
)</f>
        <v>Pass</v>
      </c>
      <c r="T19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96" s="11" t="str">
        <f>IF(LEN(TRIM(ValidationTable[[#This Row],[Bank_Account]]))=0,"Fail","Pass")</f>
        <v>Pass</v>
      </c>
      <c r="V196" s="11" t="str">
        <f>IF(
COUNTIF(ValidationTable[Record_ID],ValidationTable[[#This Row],[Record_ID]])&gt;1,
"Fail",
"Pass"
)</f>
        <v>Pass</v>
      </c>
      <c r="W196" s="11" t="str">
        <f>IF(
COUNTIF(ValidationTable[[#This Row],[RequiredField_Validation]]:ValidationTable[[#This Row],[Duplicate_Validation]],"Fail")&gt;0,
"Fail",
"Pass"
)</f>
        <v>Pass</v>
      </c>
      <c r="X196" s="11" t="str">
        <f>IF(ValidationTable[[#This Row],[Validation_Result]]="Pass","Yes","No")</f>
        <v>Yes</v>
      </c>
    </row>
    <row r="197" spans="1:24">
      <c r="A197" s="11">
        <f>RawTable[[#This Row],[Record_ID]]</f>
        <v>196</v>
      </c>
      <c r="B197" s="11" t="str">
        <f>RawTable[[#This Row],[Payment_Type]]</f>
        <v>Payroll</v>
      </c>
      <c r="C197" s="11" t="str">
        <f>RawTable[[#This Row],[Entity_Type]]</f>
        <v>Employee</v>
      </c>
      <c r="D197" s="11" t="str">
        <f>RawTable[[#This Row],[Country]]</f>
        <v>Jordan</v>
      </c>
      <c r="E197" s="11" t="str">
        <f>RawTable[[#This Row],[Name]]</f>
        <v>Julia Müller</v>
      </c>
      <c r="F197" s="11" t="str">
        <f>RawTable[[#This Row],[Bank_Account]]</f>
        <v>JO-IBAN-00987600</v>
      </c>
      <c r="G197" s="11" t="str">
        <f>RawTable[[#This Row],[Month]]</f>
        <v>Jan-2026</v>
      </c>
      <c r="H197" s="11" t="str">
        <f>RawTable[[#This Row],[Currency]]</f>
        <v>JOD</v>
      </c>
      <c r="I197" s="4">
        <f>RawTable[[#This Row],[Net_Amount]]</f>
        <v>1875.06</v>
      </c>
      <c r="J197" s="2" t="str">
        <f>RawTable[[#This Row],[VAT_Applicable]]</f>
        <v>No</v>
      </c>
      <c r="K197" s="4">
        <f>RawTable[[#This Row],[VAT_Rate]]</f>
        <v>0</v>
      </c>
      <c r="L197" s="4">
        <f>RawTable[[#This Row],[VAT_Amount]]</f>
        <v>0</v>
      </c>
      <c r="M197" s="4">
        <f>RawTable[[#This Row],[Gross_Amount]]</f>
        <v>1875.06</v>
      </c>
      <c r="N197" s="4">
        <f>RawTable[[#This Row],[Exchange_Rate]]</f>
        <v>1.08643</v>
      </c>
      <c r="O197" s="4">
        <f>RawTable[[#This Row],[Amount_CHF]]</f>
        <v>2037.12</v>
      </c>
      <c r="P19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9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97" s="11" t="str">
        <f>IF(ValidationTable[[#This Row],[Currency]]="","Fail","Pass")</f>
        <v>Pass</v>
      </c>
      <c r="S197" s="11" t="str">
        <f>IF(
ValidationTable[[#This Row],[Currency]]="CHF",
IF(ValidationTable[[#This Row],[Exchange_Rate]]&lt;&gt;1,"Fail","Pass"),
IF(ValidationTable[[#This Row],[Exchange_Rate]]&lt;=0,"Fail","Pass")
)</f>
        <v>Pass</v>
      </c>
      <c r="T19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97" s="11" t="str">
        <f>IF(LEN(TRIM(ValidationTable[[#This Row],[Bank_Account]]))=0,"Fail","Pass")</f>
        <v>Pass</v>
      </c>
      <c r="V197" s="11" t="str">
        <f>IF(
COUNTIF(ValidationTable[Record_ID],ValidationTable[[#This Row],[Record_ID]])&gt;1,
"Fail",
"Pass"
)</f>
        <v>Pass</v>
      </c>
      <c r="W197" s="11" t="str">
        <f>IF(
COUNTIF(ValidationTable[[#This Row],[RequiredField_Validation]]:ValidationTable[[#This Row],[Duplicate_Validation]],"Fail")&gt;0,
"Fail",
"Pass"
)</f>
        <v>Pass</v>
      </c>
      <c r="X197" s="11" t="str">
        <f>IF(ValidationTable[[#This Row],[Validation_Result]]="Pass","Yes","No")</f>
        <v>Yes</v>
      </c>
    </row>
    <row r="198" spans="1:24">
      <c r="A198" s="11">
        <f>RawTable[[#This Row],[Record_ID]]</f>
        <v>197</v>
      </c>
      <c r="B198" s="11" t="str">
        <f>RawTable[[#This Row],[Payment_Type]]</f>
        <v>Payroll</v>
      </c>
      <c r="C198" s="11" t="str">
        <f>RawTable[[#This Row],[Entity_Type]]</f>
        <v>Employee</v>
      </c>
      <c r="D198" s="11" t="str">
        <f>RawTable[[#This Row],[Country]]</f>
        <v>UAE</v>
      </c>
      <c r="E198" s="11" t="str">
        <f>RawTable[[#This Row],[Name]]</f>
        <v>Anna Haddad</v>
      </c>
      <c r="F198" s="11" t="str">
        <f>RawTable[[#This Row],[Bank_Account]]</f>
        <v>AE-IBAN-04400001</v>
      </c>
      <c r="G198" s="11" t="str">
        <f>RawTable[[#This Row],[Month]]</f>
        <v>Jan-2026</v>
      </c>
      <c r="H198" s="11" t="str">
        <f>RawTable[[#This Row],[Currency]]</f>
        <v>AED</v>
      </c>
      <c r="I198" s="4">
        <f>RawTable[[#This Row],[Net_Amount]]</f>
        <v>22763.4</v>
      </c>
      <c r="J198" s="2" t="str">
        <f>RawTable[[#This Row],[VAT_Applicable]]</f>
        <v>No</v>
      </c>
      <c r="K198" s="4">
        <f>RawTable[[#This Row],[VAT_Rate]]</f>
        <v>0</v>
      </c>
      <c r="L198" s="4">
        <f>RawTable[[#This Row],[VAT_Amount]]</f>
        <v>0</v>
      </c>
      <c r="M198" s="4">
        <f>RawTable[[#This Row],[Gross_Amount]]</f>
        <v>22763.4</v>
      </c>
      <c r="N198" s="4">
        <f>RawTable[[#This Row],[Exchange_Rate]]</f>
        <v>0.21065</v>
      </c>
      <c r="O198" s="4">
        <f>RawTable[[#This Row],[Amount_CHF]]</f>
        <v>4795.1099999999997</v>
      </c>
      <c r="P19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9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98" s="11" t="str">
        <f>IF(ValidationTable[[#This Row],[Currency]]="","Fail","Pass")</f>
        <v>Pass</v>
      </c>
      <c r="S198" s="11" t="str">
        <f>IF(
ValidationTable[[#This Row],[Currency]]="CHF",
IF(ValidationTable[[#This Row],[Exchange_Rate]]&lt;&gt;1,"Fail","Pass"),
IF(ValidationTable[[#This Row],[Exchange_Rate]]&lt;=0,"Fail","Pass")
)</f>
        <v>Pass</v>
      </c>
      <c r="T19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98" s="11" t="str">
        <f>IF(LEN(TRIM(ValidationTable[[#This Row],[Bank_Account]]))=0,"Fail","Pass")</f>
        <v>Pass</v>
      </c>
      <c r="V198" s="11" t="str">
        <f>IF(
COUNTIF(ValidationTable[Record_ID],ValidationTable[[#This Row],[Record_ID]])&gt;1,
"Fail",
"Pass"
)</f>
        <v>Pass</v>
      </c>
      <c r="W198" s="11" t="str">
        <f>IF(
COUNTIF(ValidationTable[[#This Row],[RequiredField_Validation]]:ValidationTable[[#This Row],[Duplicate_Validation]],"Fail")&gt;0,
"Fail",
"Pass"
)</f>
        <v>Pass</v>
      </c>
      <c r="X198" s="11" t="str">
        <f>IF(ValidationTable[[#This Row],[Validation_Result]]="Pass","Yes","No")</f>
        <v>Yes</v>
      </c>
    </row>
    <row r="199" spans="1:24" hidden="1">
      <c r="A199" s="11">
        <f>RawTable[[#This Row],[Record_ID]]</f>
        <v>198</v>
      </c>
      <c r="B199" s="11" t="str">
        <f>RawTable[[#This Row],[Payment_Type]]</f>
        <v>Payroll</v>
      </c>
      <c r="C199" s="11" t="str">
        <f>RawTable[[#This Row],[Entity_Type]]</f>
        <v>Employee</v>
      </c>
      <c r="D199" s="11" t="str">
        <f>RawTable[[#This Row],[Country]]</f>
        <v>Germany</v>
      </c>
      <c r="E199" s="11" t="str">
        <f>RawTable[[#This Row],[Name]]</f>
        <v>Laura Brown</v>
      </c>
      <c r="G199" s="11" t="str">
        <f>RawTable[[#This Row],[Month]]</f>
        <v>Mar-2026</v>
      </c>
      <c r="H199" s="11" t="str">
        <f>RawTable[[#This Row],[Currency]]</f>
        <v>EUR</v>
      </c>
      <c r="I199" s="4">
        <f>RawTable[[#This Row],[Net_Amount]]</f>
        <v>6108.88</v>
      </c>
      <c r="J199" s="2" t="str">
        <f>RawTable[[#This Row],[VAT_Applicable]]</f>
        <v>No</v>
      </c>
      <c r="K199" s="4">
        <f>RawTable[[#This Row],[VAT_Rate]]</f>
        <v>0</v>
      </c>
      <c r="L199" s="4">
        <f>RawTable[[#This Row],[VAT_Amount]]</f>
        <v>0</v>
      </c>
      <c r="M199" s="4">
        <f>RawTable[[#This Row],[Gross_Amount]]</f>
        <v>6108.88</v>
      </c>
      <c r="N199" s="4">
        <f>RawTable[[#This Row],[Exchange_Rate]]</f>
        <v>0.90888000000000002</v>
      </c>
      <c r="O199" s="4">
        <f>RawTable[[#This Row],[Amount_CHF]]</f>
        <v>5552.24</v>
      </c>
      <c r="P19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19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199" s="11" t="str">
        <f>IF(ValidationTable[[#This Row],[Currency]]="","Fail","Pass")</f>
        <v>Pass</v>
      </c>
      <c r="S199" s="11" t="str">
        <f>IF(
ValidationTable[[#This Row],[Currency]]="CHF",
IF(ValidationTable[[#This Row],[Exchange_Rate]]&lt;&gt;1,"Fail","Pass"),
IF(ValidationTable[[#This Row],[Exchange_Rate]]&lt;=0,"Fail","Pass")
)</f>
        <v>Pass</v>
      </c>
      <c r="T19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199" s="11" t="str">
        <f>IF(LEN(TRIM(ValidationTable[[#This Row],[Bank_Account]]))=0,"Fail","Pass")</f>
        <v>Fail</v>
      </c>
      <c r="V199" s="11" t="str">
        <f>IF(
COUNTIF(ValidationTable[Record_ID],ValidationTable[[#This Row],[Record_ID]])&gt;1,
"Fail",
"Pass"
)</f>
        <v>Pass</v>
      </c>
      <c r="W199" s="11" t="str">
        <f>IF(
COUNTIF(ValidationTable[[#This Row],[RequiredField_Validation]]:ValidationTable[[#This Row],[Duplicate_Validation]],"Fail")&gt;0,
"Fail",
"Pass"
)</f>
        <v>Fail</v>
      </c>
      <c r="X199" s="11" t="str">
        <f>IF(ValidationTable[[#This Row],[Validation_Result]]="Pass","Yes","No")</f>
        <v>No</v>
      </c>
    </row>
    <row r="200" spans="1:24">
      <c r="A200" s="11">
        <f>RawTable[[#This Row],[Record_ID]]</f>
        <v>199</v>
      </c>
      <c r="B200" s="11" t="str">
        <f>RawTable[[#This Row],[Payment_Type]]</f>
        <v>Payroll</v>
      </c>
      <c r="C200" s="11" t="str">
        <f>RawTable[[#This Row],[Entity_Type]]</f>
        <v>Employee</v>
      </c>
      <c r="D200" s="11" t="str">
        <f>RawTable[[#This Row],[Country]]</f>
        <v>Switzerland</v>
      </c>
      <c r="E200" s="11" t="str">
        <f>RawTable[[#This Row],[Name]]</f>
        <v>Ahmed Haddad</v>
      </c>
      <c r="F200" s="11" t="str">
        <f>RawTable[[#This Row],[Bank_Account]]</f>
        <v>JO-IBAN-00209865</v>
      </c>
      <c r="G200" s="11" t="str">
        <f>RawTable[[#This Row],[Month]]</f>
        <v>Mar-2026</v>
      </c>
      <c r="H200" s="11" t="str">
        <f>RawTable[[#This Row],[Currency]]</f>
        <v>CHF</v>
      </c>
      <c r="I200" s="4">
        <f>RawTable[[#This Row],[Net_Amount]]</f>
        <v>6766.5</v>
      </c>
      <c r="J200" s="2" t="str">
        <f>RawTable[[#This Row],[VAT_Applicable]]</f>
        <v>No</v>
      </c>
      <c r="K200" s="4">
        <f>RawTable[[#This Row],[VAT_Rate]]</f>
        <v>0</v>
      </c>
      <c r="L200" s="4">
        <f>RawTable[[#This Row],[VAT_Amount]]</f>
        <v>0</v>
      </c>
      <c r="M200" s="4">
        <f>RawTable[[#This Row],[Gross_Amount]]</f>
        <v>6766.5</v>
      </c>
      <c r="N200" s="4">
        <f>RawTable[[#This Row],[Exchange_Rate]]</f>
        <v>1</v>
      </c>
      <c r="O200" s="4">
        <f>RawTable[[#This Row],[Amount_CHF]]</f>
        <v>6766.5</v>
      </c>
      <c r="P20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0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00" s="11" t="str">
        <f>IF(ValidationTable[[#This Row],[Currency]]="","Fail","Pass")</f>
        <v>Pass</v>
      </c>
      <c r="S200" s="11" t="str">
        <f>IF(
ValidationTable[[#This Row],[Currency]]="CHF",
IF(ValidationTable[[#This Row],[Exchange_Rate]]&lt;&gt;1,"Fail","Pass"),
IF(ValidationTable[[#This Row],[Exchange_Rate]]&lt;=0,"Fail","Pass")
)</f>
        <v>Pass</v>
      </c>
      <c r="T20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00" s="11" t="str">
        <f>IF(LEN(TRIM(ValidationTable[[#This Row],[Bank_Account]]))=0,"Fail","Pass")</f>
        <v>Pass</v>
      </c>
      <c r="V200" s="11" t="str">
        <f>IF(
COUNTIF(ValidationTable[Record_ID],ValidationTable[[#This Row],[Record_ID]])&gt;1,
"Fail",
"Pass"
)</f>
        <v>Pass</v>
      </c>
      <c r="W200" s="11" t="str">
        <f>IF(
COUNTIF(ValidationTable[[#This Row],[RequiredField_Validation]]:ValidationTable[[#This Row],[Duplicate_Validation]],"Fail")&gt;0,
"Fail",
"Pass"
)</f>
        <v>Pass</v>
      </c>
      <c r="X200" s="11" t="str">
        <f>IF(ValidationTable[[#This Row],[Validation_Result]]="Pass","Yes","No")</f>
        <v>Yes</v>
      </c>
    </row>
    <row r="201" spans="1:24" hidden="1">
      <c r="A201" s="11">
        <f>RawTable[[#This Row],[Record_ID]]</f>
        <v>200</v>
      </c>
      <c r="B201" s="11" t="str">
        <f>RawTable[[#This Row],[Payment_Type]]</f>
        <v>Payroll</v>
      </c>
      <c r="C201" s="11" t="str">
        <f>RawTable[[#This Row],[Entity_Type]]</f>
        <v>Employee</v>
      </c>
      <c r="D201" s="11" t="str">
        <f>RawTable[[#This Row],[Country]]</f>
        <v>Jordan</v>
      </c>
      <c r="E201" s="11" t="str">
        <f>RawTable[[#This Row],[Name]]</f>
        <v>Omar Khan</v>
      </c>
      <c r="G201" s="11" t="str">
        <f>RawTable[[#This Row],[Month]]</f>
        <v>Jan-2026</v>
      </c>
      <c r="H201" s="11" t="str">
        <f>RawTable[[#This Row],[Currency]]</f>
        <v>JOD</v>
      </c>
      <c r="I201" s="4">
        <f>RawTable[[#This Row],[Net_Amount]]</f>
        <v>1748.89</v>
      </c>
      <c r="J201" s="2" t="str">
        <f>RawTable[[#This Row],[VAT_Applicable]]</f>
        <v>No</v>
      </c>
      <c r="K201" s="4">
        <f>RawTable[[#This Row],[VAT_Rate]]</f>
        <v>0</v>
      </c>
      <c r="L201" s="4">
        <f>RawTable[[#This Row],[VAT_Amount]]</f>
        <v>0</v>
      </c>
      <c r="M201" s="4">
        <f>RawTable[[#This Row],[Gross_Amount]]</f>
        <v>1748.89</v>
      </c>
      <c r="N201" s="4">
        <f>RawTable[[#This Row],[Exchange_Rate]]</f>
        <v>1.08643</v>
      </c>
      <c r="O201" s="4">
        <f>RawTable[[#This Row],[Amount_CHF]]</f>
        <v>1900.05</v>
      </c>
      <c r="P20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0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01" s="11" t="str">
        <f>IF(ValidationTable[[#This Row],[Currency]]="","Fail","Pass")</f>
        <v>Pass</v>
      </c>
      <c r="S201" s="11" t="str">
        <f>IF(
ValidationTable[[#This Row],[Currency]]="CHF",
IF(ValidationTable[[#This Row],[Exchange_Rate]]&lt;&gt;1,"Fail","Pass"),
IF(ValidationTable[[#This Row],[Exchange_Rate]]&lt;=0,"Fail","Pass")
)</f>
        <v>Pass</v>
      </c>
      <c r="T20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01" s="11" t="str">
        <f>IF(LEN(TRIM(ValidationTable[[#This Row],[Bank_Account]]))=0,"Fail","Pass")</f>
        <v>Fail</v>
      </c>
      <c r="V201" s="11" t="str">
        <f>IF(
COUNTIF(ValidationTable[Record_ID],ValidationTable[[#This Row],[Record_ID]])&gt;1,
"Fail",
"Pass"
)</f>
        <v>Pass</v>
      </c>
      <c r="W201" s="11" t="str">
        <f>IF(
COUNTIF(ValidationTable[[#This Row],[RequiredField_Validation]]:ValidationTable[[#This Row],[Duplicate_Validation]],"Fail")&gt;0,
"Fail",
"Pass"
)</f>
        <v>Fail</v>
      </c>
      <c r="X201" s="11" t="str">
        <f>IF(ValidationTable[[#This Row],[Validation_Result]]="Pass","Yes","No")</f>
        <v>No</v>
      </c>
    </row>
    <row r="202" spans="1:24">
      <c r="A202" s="11">
        <f>RawTable[[#This Row],[Record_ID]]</f>
        <v>201</v>
      </c>
      <c r="B202" s="11" t="str">
        <f>RawTable[[#This Row],[Payment_Type]]</f>
        <v>Contractor_Fee</v>
      </c>
      <c r="C202" s="11" t="str">
        <f>RawTable[[#This Row],[Entity_Type]]</f>
        <v>Contractor</v>
      </c>
      <c r="D202" s="11" t="str">
        <f>RawTable[[#This Row],[Country]]</f>
        <v>USA</v>
      </c>
      <c r="E202" s="11" t="str">
        <f>RawTable[[#This Row],[Name]]</f>
        <v>Sara Schmidt</v>
      </c>
      <c r="F202" s="11" t="str">
        <f>RawTable[[#This Row],[Bank_Account]]</f>
        <v>US-RT-000065402-AC-0000300934</v>
      </c>
      <c r="G202" s="11" t="str">
        <f>RawTable[[#This Row],[Month]]</f>
        <v>Feb-2026</v>
      </c>
      <c r="H202" s="11" t="str">
        <f>RawTable[[#This Row],[Currency]]</f>
        <v>USD</v>
      </c>
      <c r="I202" s="4">
        <f>RawTable[[#This Row],[Net_Amount]]</f>
        <v>5830.16</v>
      </c>
      <c r="J202" s="2" t="str">
        <f>RawTable[[#This Row],[VAT_Applicable]]</f>
        <v>No</v>
      </c>
      <c r="K202" s="4">
        <f>RawTable[[#This Row],[VAT_Rate]]</f>
        <v>0</v>
      </c>
      <c r="L202" s="4">
        <f>RawTable[[#This Row],[VAT_Amount]]</f>
        <v>0</v>
      </c>
      <c r="M202" s="4">
        <f>RawTable[[#This Row],[Gross_Amount]]</f>
        <v>5830.16</v>
      </c>
      <c r="N202" s="4">
        <f>RawTable[[#This Row],[Exchange_Rate]]</f>
        <v>0.77017999999999998</v>
      </c>
      <c r="O202" s="4">
        <f>RawTable[[#This Row],[Amount_CHF]]</f>
        <v>4490.2700000000004</v>
      </c>
      <c r="P20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0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02" s="11" t="str">
        <f>IF(ValidationTable[[#This Row],[Currency]]="","Fail","Pass")</f>
        <v>Pass</v>
      </c>
      <c r="S202" s="11" t="str">
        <f>IF(
ValidationTable[[#This Row],[Currency]]="CHF",
IF(ValidationTable[[#This Row],[Exchange_Rate]]&lt;&gt;1,"Fail","Pass"),
IF(ValidationTable[[#This Row],[Exchange_Rate]]&lt;=0,"Fail","Pass")
)</f>
        <v>Pass</v>
      </c>
      <c r="T20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02" s="11" t="str">
        <f>IF(LEN(TRIM(ValidationTable[[#This Row],[Bank_Account]]))=0,"Fail","Pass")</f>
        <v>Pass</v>
      </c>
      <c r="V202" s="11" t="str">
        <f>IF(
COUNTIF(ValidationTable[Record_ID],ValidationTable[[#This Row],[Record_ID]])&gt;1,
"Fail",
"Pass"
)</f>
        <v>Pass</v>
      </c>
      <c r="W202" s="11" t="str">
        <f>IF(
COUNTIF(ValidationTable[[#This Row],[RequiredField_Validation]]:ValidationTable[[#This Row],[Duplicate_Validation]],"Fail")&gt;0,
"Fail",
"Pass"
)</f>
        <v>Pass</v>
      </c>
      <c r="X202" s="11" t="str">
        <f>IF(ValidationTable[[#This Row],[Validation_Result]]="Pass","Yes","No")</f>
        <v>Yes</v>
      </c>
    </row>
    <row r="203" spans="1:24">
      <c r="A203" s="11">
        <f>RawTable[[#This Row],[Record_ID]]</f>
        <v>202</v>
      </c>
      <c r="B203" s="11" t="str">
        <f>RawTable[[#This Row],[Payment_Type]]</f>
        <v>Contractor_Fee</v>
      </c>
      <c r="C203" s="11" t="str">
        <f>RawTable[[#This Row],[Entity_Type]]</f>
        <v>Contractor</v>
      </c>
      <c r="D203" s="11" t="str">
        <f>RawTable[[#This Row],[Country]]</f>
        <v>Switzerland</v>
      </c>
      <c r="E203" s="11" t="str">
        <f>RawTable[[#This Row],[Name]]</f>
        <v>Anna Smith</v>
      </c>
      <c r="F203" s="11" t="str">
        <f>RawTable[[#This Row],[Bank_Account]]</f>
        <v>CH930000000002023760</v>
      </c>
      <c r="G203" s="11" t="str">
        <f>RawTable[[#This Row],[Month]]</f>
        <v>Jan-2026</v>
      </c>
      <c r="H203" s="11" t="str">
        <f>RawTable[[#This Row],[Currency]]</f>
        <v>CHF</v>
      </c>
      <c r="I203" s="4">
        <f>RawTable[[#This Row],[Net_Amount]]</f>
        <v>5281.12</v>
      </c>
      <c r="J203" s="2" t="str">
        <f>RawTable[[#This Row],[VAT_Applicable]]</f>
        <v>No</v>
      </c>
      <c r="K203" s="4">
        <f>RawTable[[#This Row],[VAT_Rate]]</f>
        <v>0</v>
      </c>
      <c r="L203" s="4">
        <f>RawTable[[#This Row],[VAT_Amount]]</f>
        <v>0</v>
      </c>
      <c r="M203" s="4">
        <f>RawTable[[#This Row],[Gross_Amount]]</f>
        <v>5281.12</v>
      </c>
      <c r="N203" s="4">
        <f>RawTable[[#This Row],[Exchange_Rate]]</f>
        <v>1</v>
      </c>
      <c r="O203" s="4">
        <f>RawTable[[#This Row],[Amount_CHF]]</f>
        <v>5281.12</v>
      </c>
      <c r="P20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0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03" s="11" t="str">
        <f>IF(ValidationTable[[#This Row],[Currency]]="","Fail","Pass")</f>
        <v>Pass</v>
      </c>
      <c r="S203" s="11" t="str">
        <f>IF(
ValidationTable[[#This Row],[Currency]]="CHF",
IF(ValidationTable[[#This Row],[Exchange_Rate]]&lt;&gt;1,"Fail","Pass"),
IF(ValidationTable[[#This Row],[Exchange_Rate]]&lt;=0,"Fail","Pass")
)</f>
        <v>Pass</v>
      </c>
      <c r="T20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03" s="11" t="str">
        <f>IF(LEN(TRIM(ValidationTable[[#This Row],[Bank_Account]]))=0,"Fail","Pass")</f>
        <v>Pass</v>
      </c>
      <c r="V203" s="11" t="str">
        <f>IF(
COUNTIF(ValidationTable[Record_ID],ValidationTable[[#This Row],[Record_ID]])&gt;1,
"Fail",
"Pass"
)</f>
        <v>Pass</v>
      </c>
      <c r="W203" s="11" t="str">
        <f>IF(
COUNTIF(ValidationTable[[#This Row],[RequiredField_Validation]]:ValidationTable[[#This Row],[Duplicate_Validation]],"Fail")&gt;0,
"Fail",
"Pass"
)</f>
        <v>Pass</v>
      </c>
      <c r="X203" s="11" t="str">
        <f>IF(ValidationTable[[#This Row],[Validation_Result]]="Pass","Yes","No")</f>
        <v>Yes</v>
      </c>
    </row>
    <row r="204" spans="1:24">
      <c r="A204" s="11">
        <f>RawTable[[#This Row],[Record_ID]]</f>
        <v>203</v>
      </c>
      <c r="B204" s="11" t="str">
        <f>RawTable[[#This Row],[Payment_Type]]</f>
        <v>Contractor_Fee</v>
      </c>
      <c r="C204" s="11" t="str">
        <f>RawTable[[#This Row],[Entity_Type]]</f>
        <v>Contractor</v>
      </c>
      <c r="D204" s="11" t="str">
        <f>RawTable[[#This Row],[Country]]</f>
        <v>USA</v>
      </c>
      <c r="E204" s="11" t="str">
        <f>RawTable[[#This Row],[Name]]</f>
        <v>Sara Taylor</v>
      </c>
      <c r="F204" s="11" t="str">
        <f>RawTable[[#This Row],[Bank_Account]]</f>
        <v>JO-IBAN-00777735</v>
      </c>
      <c r="G204" s="11" t="str">
        <f>RawTable[[#This Row],[Month]]</f>
        <v>Mar-2026</v>
      </c>
      <c r="H204" s="11" t="str">
        <f>RawTable[[#This Row],[Currency]]</f>
        <v>USD</v>
      </c>
      <c r="I204" s="4">
        <f>RawTable[[#This Row],[Net_Amount]]</f>
        <v>5892.32</v>
      </c>
      <c r="J204" s="2" t="str">
        <f>RawTable[[#This Row],[VAT_Applicable]]</f>
        <v>No</v>
      </c>
      <c r="K204" s="4">
        <f>RawTable[[#This Row],[VAT_Rate]]</f>
        <v>0</v>
      </c>
      <c r="L204" s="4">
        <f>RawTable[[#This Row],[VAT_Amount]]</f>
        <v>0</v>
      </c>
      <c r="M204" s="4">
        <f>RawTable[[#This Row],[Gross_Amount]]</f>
        <v>5892.32</v>
      </c>
      <c r="N204" s="4">
        <f>RawTable[[#This Row],[Exchange_Rate]]</f>
        <v>0.77017999999999998</v>
      </c>
      <c r="O204" s="4">
        <f>RawTable[[#This Row],[Amount_CHF]]</f>
        <v>4538.1499999999996</v>
      </c>
      <c r="P20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0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04" s="11" t="str">
        <f>IF(ValidationTable[[#This Row],[Currency]]="","Fail","Pass")</f>
        <v>Pass</v>
      </c>
      <c r="S204" s="11" t="str">
        <f>IF(
ValidationTable[[#This Row],[Currency]]="CHF",
IF(ValidationTable[[#This Row],[Exchange_Rate]]&lt;&gt;1,"Fail","Pass"),
IF(ValidationTable[[#This Row],[Exchange_Rate]]&lt;=0,"Fail","Pass")
)</f>
        <v>Pass</v>
      </c>
      <c r="T20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04" s="11" t="str">
        <f>IF(LEN(TRIM(ValidationTable[[#This Row],[Bank_Account]]))=0,"Fail","Pass")</f>
        <v>Pass</v>
      </c>
      <c r="V204" s="11" t="str">
        <f>IF(
COUNTIF(ValidationTable[Record_ID],ValidationTable[[#This Row],[Record_ID]])&gt;1,
"Fail",
"Pass"
)</f>
        <v>Pass</v>
      </c>
      <c r="W204" s="11" t="str">
        <f>IF(
COUNTIF(ValidationTable[[#This Row],[RequiredField_Validation]]:ValidationTable[[#This Row],[Duplicate_Validation]],"Fail")&gt;0,
"Fail",
"Pass"
)</f>
        <v>Pass</v>
      </c>
      <c r="X204" s="11" t="str">
        <f>IF(ValidationTable[[#This Row],[Validation_Result]]="Pass","Yes","No")</f>
        <v>Yes</v>
      </c>
    </row>
    <row r="205" spans="1:24">
      <c r="A205" s="11">
        <f>RawTable[[#This Row],[Record_ID]]</f>
        <v>204</v>
      </c>
      <c r="B205" s="11" t="str">
        <f>RawTable[[#This Row],[Payment_Type]]</f>
        <v>Contractor_Fee</v>
      </c>
      <c r="C205" s="11" t="str">
        <f>RawTable[[#This Row],[Entity_Type]]</f>
        <v>Contractor</v>
      </c>
      <c r="D205" s="11" t="str">
        <f>RawTable[[#This Row],[Country]]</f>
        <v>Switzerland</v>
      </c>
      <c r="E205" s="11" t="str">
        <f>RawTable[[#This Row],[Name]]</f>
        <v>David Haddad</v>
      </c>
      <c r="F205" s="11" t="str">
        <f>RawTable[[#This Row],[Bank_Account]]</f>
        <v>DE890000000000095053</v>
      </c>
      <c r="G205" s="11" t="str">
        <f>RawTable[[#This Row],[Month]]</f>
        <v>Mar-2026</v>
      </c>
      <c r="H205" s="11" t="str">
        <f>RawTable[[#This Row],[Currency]]</f>
        <v>CHF</v>
      </c>
      <c r="I205" s="4">
        <f>RawTable[[#This Row],[Net_Amount]]</f>
        <v>5005</v>
      </c>
      <c r="J205" s="2" t="str">
        <f>RawTable[[#This Row],[VAT_Applicable]]</f>
        <v>No</v>
      </c>
      <c r="K205" s="4">
        <f>RawTable[[#This Row],[VAT_Rate]]</f>
        <v>0</v>
      </c>
      <c r="L205" s="4">
        <f>RawTable[[#This Row],[VAT_Amount]]</f>
        <v>0</v>
      </c>
      <c r="M205" s="4">
        <f>RawTable[[#This Row],[Gross_Amount]]</f>
        <v>5005</v>
      </c>
      <c r="N205" s="4">
        <f>RawTable[[#This Row],[Exchange_Rate]]</f>
        <v>1</v>
      </c>
      <c r="O205" s="4">
        <f>RawTable[[#This Row],[Amount_CHF]]</f>
        <v>5005</v>
      </c>
      <c r="P20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0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05" s="11" t="str">
        <f>IF(ValidationTable[[#This Row],[Currency]]="","Fail","Pass")</f>
        <v>Pass</v>
      </c>
      <c r="S205" s="11" t="str">
        <f>IF(
ValidationTable[[#This Row],[Currency]]="CHF",
IF(ValidationTable[[#This Row],[Exchange_Rate]]&lt;&gt;1,"Fail","Pass"),
IF(ValidationTable[[#This Row],[Exchange_Rate]]&lt;=0,"Fail","Pass")
)</f>
        <v>Pass</v>
      </c>
      <c r="T20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05" s="11" t="str">
        <f>IF(LEN(TRIM(ValidationTable[[#This Row],[Bank_Account]]))=0,"Fail","Pass")</f>
        <v>Pass</v>
      </c>
      <c r="V205" s="11" t="str">
        <f>IF(
COUNTIF(ValidationTable[Record_ID],ValidationTable[[#This Row],[Record_ID]])&gt;1,
"Fail",
"Pass"
)</f>
        <v>Pass</v>
      </c>
      <c r="W205" s="11" t="str">
        <f>IF(
COUNTIF(ValidationTable[[#This Row],[RequiredField_Validation]]:ValidationTable[[#This Row],[Duplicate_Validation]],"Fail")&gt;0,
"Fail",
"Pass"
)</f>
        <v>Pass</v>
      </c>
      <c r="X205" s="11" t="str">
        <f>IF(ValidationTable[[#This Row],[Validation_Result]]="Pass","Yes","No")</f>
        <v>Yes</v>
      </c>
    </row>
    <row r="206" spans="1:24">
      <c r="A206" s="11">
        <f>RawTable[[#This Row],[Record_ID]]</f>
        <v>205</v>
      </c>
      <c r="B206" s="11" t="str">
        <f>RawTable[[#This Row],[Payment_Type]]</f>
        <v>Contractor_Fee</v>
      </c>
      <c r="C206" s="11" t="str">
        <f>RawTable[[#This Row],[Entity_Type]]</f>
        <v>Contractor</v>
      </c>
      <c r="D206" s="11" t="str">
        <f>RawTable[[#This Row],[Country]]</f>
        <v>Jordan</v>
      </c>
      <c r="E206" s="11" t="str">
        <f>RawTable[[#This Row],[Name]]</f>
        <v>John Ali</v>
      </c>
      <c r="F206" s="11" t="str">
        <f>RawTable[[#This Row],[Bank_Account]]</f>
        <v>DE890000000000312317</v>
      </c>
      <c r="G206" s="11" t="str">
        <f>RawTable[[#This Row],[Month]]</f>
        <v>Feb-2026</v>
      </c>
      <c r="H206" s="11" t="str">
        <f>RawTable[[#This Row],[Currency]]</f>
        <v>JOD</v>
      </c>
      <c r="I206" s="4">
        <f>RawTable[[#This Row],[Net_Amount]]</f>
        <v>1382.26</v>
      </c>
      <c r="J206" s="2" t="str">
        <f>RawTable[[#This Row],[VAT_Applicable]]</f>
        <v>No</v>
      </c>
      <c r="K206" s="4">
        <f>RawTable[[#This Row],[VAT_Rate]]</f>
        <v>0</v>
      </c>
      <c r="L206" s="4">
        <f>RawTable[[#This Row],[VAT_Amount]]</f>
        <v>0</v>
      </c>
      <c r="M206" s="4">
        <f>RawTable[[#This Row],[Gross_Amount]]</f>
        <v>1382.26</v>
      </c>
      <c r="N206" s="4">
        <f>RawTable[[#This Row],[Exchange_Rate]]</f>
        <v>1.08643</v>
      </c>
      <c r="O206" s="4">
        <f>RawTable[[#This Row],[Amount_CHF]]</f>
        <v>1501.73</v>
      </c>
      <c r="P20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0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06" s="11" t="str">
        <f>IF(ValidationTable[[#This Row],[Currency]]="","Fail","Pass")</f>
        <v>Pass</v>
      </c>
      <c r="S206" s="11" t="str">
        <f>IF(
ValidationTable[[#This Row],[Currency]]="CHF",
IF(ValidationTable[[#This Row],[Exchange_Rate]]&lt;&gt;1,"Fail","Pass"),
IF(ValidationTable[[#This Row],[Exchange_Rate]]&lt;=0,"Fail","Pass")
)</f>
        <v>Pass</v>
      </c>
      <c r="T20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06" s="11" t="str">
        <f>IF(LEN(TRIM(ValidationTable[[#This Row],[Bank_Account]]))=0,"Fail","Pass")</f>
        <v>Pass</v>
      </c>
      <c r="V206" s="11" t="str">
        <f>IF(
COUNTIF(ValidationTable[Record_ID],ValidationTable[[#This Row],[Record_ID]])&gt;1,
"Fail",
"Pass"
)</f>
        <v>Pass</v>
      </c>
      <c r="W206" s="11" t="str">
        <f>IF(
COUNTIF(ValidationTable[[#This Row],[RequiredField_Validation]]:ValidationTable[[#This Row],[Duplicate_Validation]],"Fail")&gt;0,
"Fail",
"Pass"
)</f>
        <v>Pass</v>
      </c>
      <c r="X206" s="11" t="str">
        <f>IF(ValidationTable[[#This Row],[Validation_Result]]="Pass","Yes","No")</f>
        <v>Yes</v>
      </c>
    </row>
    <row r="207" spans="1:24">
      <c r="A207" s="11">
        <f>RawTable[[#This Row],[Record_ID]]</f>
        <v>206</v>
      </c>
      <c r="B207" s="11" t="str">
        <f>RawTable[[#This Row],[Payment_Type]]</f>
        <v>Contractor_Fee</v>
      </c>
      <c r="C207" s="11" t="str">
        <f>RawTable[[#This Row],[Entity_Type]]</f>
        <v>Contractor</v>
      </c>
      <c r="D207" s="11" t="str">
        <f>RawTable[[#This Row],[Country]]</f>
        <v>USA</v>
      </c>
      <c r="E207" s="11" t="str">
        <f>RawTable[[#This Row],[Name]]</f>
        <v>Ahmed Brown</v>
      </c>
      <c r="F207" s="11" t="str">
        <f>RawTable[[#This Row],[Bank_Account]]</f>
        <v>US-RT-000102422-AC-0000471274</v>
      </c>
      <c r="G207" s="11" t="str">
        <f>RawTable[[#This Row],[Month]]</f>
        <v>Mar-2026</v>
      </c>
      <c r="H207" s="11" t="str">
        <f>RawTable[[#This Row],[Currency]]</f>
        <v>USD</v>
      </c>
      <c r="I207" s="4">
        <f>RawTable[[#This Row],[Net_Amount]]</f>
        <v>5708.64</v>
      </c>
      <c r="J207" s="2" t="str">
        <f>RawTable[[#This Row],[VAT_Applicable]]</f>
        <v>No</v>
      </c>
      <c r="K207" s="4">
        <f>RawTable[[#This Row],[VAT_Rate]]</f>
        <v>0</v>
      </c>
      <c r="L207" s="4">
        <f>RawTable[[#This Row],[VAT_Amount]]</f>
        <v>0</v>
      </c>
      <c r="M207" s="4">
        <f>RawTable[[#This Row],[Gross_Amount]]</f>
        <v>5708.64</v>
      </c>
      <c r="N207" s="4">
        <f>RawTable[[#This Row],[Exchange_Rate]]</f>
        <v>0.77017999999999998</v>
      </c>
      <c r="O207" s="4">
        <f>RawTable[[#This Row],[Amount_CHF]]</f>
        <v>4396.68</v>
      </c>
      <c r="P20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0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07" s="11" t="str">
        <f>IF(ValidationTable[[#This Row],[Currency]]="","Fail","Pass")</f>
        <v>Pass</v>
      </c>
      <c r="S207" s="11" t="str">
        <f>IF(
ValidationTable[[#This Row],[Currency]]="CHF",
IF(ValidationTable[[#This Row],[Exchange_Rate]]&lt;&gt;1,"Fail","Pass"),
IF(ValidationTable[[#This Row],[Exchange_Rate]]&lt;=0,"Fail","Pass")
)</f>
        <v>Pass</v>
      </c>
      <c r="T20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07" s="11" t="str">
        <f>IF(LEN(TRIM(ValidationTable[[#This Row],[Bank_Account]]))=0,"Fail","Pass")</f>
        <v>Pass</v>
      </c>
      <c r="V207" s="11" t="str">
        <f>IF(
COUNTIF(ValidationTable[Record_ID],ValidationTable[[#This Row],[Record_ID]])&gt;1,
"Fail",
"Pass"
)</f>
        <v>Pass</v>
      </c>
      <c r="W207" s="11" t="str">
        <f>IF(
COUNTIF(ValidationTable[[#This Row],[RequiredField_Validation]]:ValidationTable[[#This Row],[Duplicate_Validation]],"Fail")&gt;0,
"Fail",
"Pass"
)</f>
        <v>Pass</v>
      </c>
      <c r="X207" s="11" t="str">
        <f>IF(ValidationTable[[#This Row],[Validation_Result]]="Pass","Yes","No")</f>
        <v>Yes</v>
      </c>
    </row>
    <row r="208" spans="1:24">
      <c r="A208" s="11">
        <f>RawTable[[#This Row],[Record_ID]]</f>
        <v>207</v>
      </c>
      <c r="B208" s="11" t="str">
        <f>RawTable[[#This Row],[Payment_Type]]</f>
        <v>Contractor_Fee</v>
      </c>
      <c r="C208" s="11" t="str">
        <f>RawTable[[#This Row],[Entity_Type]]</f>
        <v>Contractor</v>
      </c>
      <c r="D208" s="11" t="str">
        <f>RawTable[[#This Row],[Country]]</f>
        <v>UAE</v>
      </c>
      <c r="E208" s="11" t="str">
        <f>RawTable[[#This Row],[Name]]</f>
        <v>Laura Müller</v>
      </c>
      <c r="F208" s="11" t="str">
        <f>RawTable[[#This Row],[Bank_Account]]</f>
        <v>US-RT-000095018-AC-0000437206</v>
      </c>
      <c r="G208" s="11" t="str">
        <f>RawTable[[#This Row],[Month]]</f>
        <v>Mar-2026</v>
      </c>
      <c r="H208" s="11" t="str">
        <f>RawTable[[#This Row],[Currency]]</f>
        <v>AED</v>
      </c>
      <c r="I208" s="4">
        <f>RawTable[[#This Row],[Net_Amount]]</f>
        <v>17932.64</v>
      </c>
      <c r="J208" s="2" t="str">
        <f>RawTable[[#This Row],[VAT_Applicable]]</f>
        <v>No</v>
      </c>
      <c r="K208" s="4">
        <f>RawTable[[#This Row],[VAT_Rate]]</f>
        <v>0</v>
      </c>
      <c r="L208" s="4">
        <f>RawTable[[#This Row],[VAT_Amount]]</f>
        <v>0</v>
      </c>
      <c r="M208" s="4">
        <f>RawTable[[#This Row],[Gross_Amount]]</f>
        <v>17932.64</v>
      </c>
      <c r="N208" s="4">
        <f>RawTable[[#This Row],[Exchange_Rate]]</f>
        <v>0.21065</v>
      </c>
      <c r="O208" s="4">
        <f>RawTable[[#This Row],[Amount_CHF]]</f>
        <v>3777.51</v>
      </c>
      <c r="P20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0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08" s="11" t="str">
        <f>IF(ValidationTable[[#This Row],[Currency]]="","Fail","Pass")</f>
        <v>Pass</v>
      </c>
      <c r="S208" s="11" t="str">
        <f>IF(
ValidationTable[[#This Row],[Currency]]="CHF",
IF(ValidationTable[[#This Row],[Exchange_Rate]]&lt;&gt;1,"Fail","Pass"),
IF(ValidationTable[[#This Row],[Exchange_Rate]]&lt;=0,"Fail","Pass")
)</f>
        <v>Pass</v>
      </c>
      <c r="T20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08" s="11" t="str">
        <f>IF(LEN(TRIM(ValidationTable[[#This Row],[Bank_Account]]))=0,"Fail","Pass")</f>
        <v>Pass</v>
      </c>
      <c r="V208" s="11" t="str">
        <f>IF(
COUNTIF(ValidationTable[Record_ID],ValidationTable[[#This Row],[Record_ID]])&gt;1,
"Fail",
"Pass"
)</f>
        <v>Pass</v>
      </c>
      <c r="W208" s="11" t="str">
        <f>IF(
COUNTIF(ValidationTable[[#This Row],[RequiredField_Validation]]:ValidationTable[[#This Row],[Duplicate_Validation]],"Fail")&gt;0,
"Fail",
"Pass"
)</f>
        <v>Pass</v>
      </c>
      <c r="X208" s="11" t="str">
        <f>IF(ValidationTable[[#This Row],[Validation_Result]]="Pass","Yes","No")</f>
        <v>Yes</v>
      </c>
    </row>
    <row r="209" spans="1:24">
      <c r="A209" s="11">
        <f>RawTable[[#This Row],[Record_ID]]</f>
        <v>208</v>
      </c>
      <c r="B209" s="11" t="str">
        <f>RawTable[[#This Row],[Payment_Type]]</f>
        <v>Contractor_Fee</v>
      </c>
      <c r="C209" s="11" t="str">
        <f>RawTable[[#This Row],[Entity_Type]]</f>
        <v>Contractor</v>
      </c>
      <c r="D209" s="11" t="str">
        <f>RawTable[[#This Row],[Country]]</f>
        <v>Germany</v>
      </c>
      <c r="E209" s="11" t="str">
        <f>RawTable[[#This Row],[Name]]</f>
        <v>Laura Johnson</v>
      </c>
      <c r="F209" s="11" t="str">
        <f>RawTable[[#This Row],[Bank_Account]]</f>
        <v>DE890000000001140636</v>
      </c>
      <c r="G209" s="11" t="str">
        <f>RawTable[[#This Row],[Month]]</f>
        <v>Mar-2026</v>
      </c>
      <c r="H209" s="11" t="str">
        <f>RawTable[[#This Row],[Currency]]</f>
        <v>EUR</v>
      </c>
      <c r="I209" s="4">
        <f>RawTable[[#This Row],[Net_Amount]]</f>
        <v>4619.04</v>
      </c>
      <c r="J209" s="2" t="str">
        <f>RawTable[[#This Row],[VAT_Applicable]]</f>
        <v>No</v>
      </c>
      <c r="K209" s="4">
        <f>RawTable[[#This Row],[VAT_Rate]]</f>
        <v>0</v>
      </c>
      <c r="L209" s="4">
        <f>RawTable[[#This Row],[VAT_Amount]]</f>
        <v>0</v>
      </c>
      <c r="M209" s="4">
        <f>RawTable[[#This Row],[Gross_Amount]]</f>
        <v>4619.04</v>
      </c>
      <c r="N209" s="4">
        <f>RawTable[[#This Row],[Exchange_Rate]]</f>
        <v>0.90888000000000002</v>
      </c>
      <c r="O209" s="4">
        <f>RawTable[[#This Row],[Amount_CHF]]</f>
        <v>4198.1499999999996</v>
      </c>
      <c r="P20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0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09" s="11" t="str">
        <f>IF(ValidationTable[[#This Row],[Currency]]="","Fail","Pass")</f>
        <v>Pass</v>
      </c>
      <c r="S209" s="11" t="str">
        <f>IF(
ValidationTable[[#This Row],[Currency]]="CHF",
IF(ValidationTable[[#This Row],[Exchange_Rate]]&lt;&gt;1,"Fail","Pass"),
IF(ValidationTable[[#This Row],[Exchange_Rate]]&lt;=0,"Fail","Pass")
)</f>
        <v>Pass</v>
      </c>
      <c r="T20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09" s="11" t="str">
        <f>IF(LEN(TRIM(ValidationTable[[#This Row],[Bank_Account]]))=0,"Fail","Pass")</f>
        <v>Pass</v>
      </c>
      <c r="V209" s="11" t="str">
        <f>IF(
COUNTIF(ValidationTable[Record_ID],ValidationTable[[#This Row],[Record_ID]])&gt;1,
"Fail",
"Pass"
)</f>
        <v>Pass</v>
      </c>
      <c r="W209" s="11" t="str">
        <f>IF(
COUNTIF(ValidationTable[[#This Row],[RequiredField_Validation]]:ValidationTable[[#This Row],[Duplicate_Validation]],"Fail")&gt;0,
"Fail",
"Pass"
)</f>
        <v>Pass</v>
      </c>
      <c r="X209" s="11" t="str">
        <f>IF(ValidationTable[[#This Row],[Validation_Result]]="Pass","Yes","No")</f>
        <v>Yes</v>
      </c>
    </row>
    <row r="210" spans="1:24">
      <c r="A210" s="11">
        <f>RawTable[[#This Row],[Record_ID]]</f>
        <v>209</v>
      </c>
      <c r="B210" s="11" t="str">
        <f>RawTable[[#This Row],[Payment_Type]]</f>
        <v>Contractor_Fee</v>
      </c>
      <c r="C210" s="11" t="str">
        <f>RawTable[[#This Row],[Entity_Type]]</f>
        <v>Contractor</v>
      </c>
      <c r="D210" s="11" t="str">
        <f>RawTable[[#This Row],[Country]]</f>
        <v>USA</v>
      </c>
      <c r="E210" s="11" t="str">
        <f>RawTable[[#This Row],[Name]]</f>
        <v>Laura Schmidt</v>
      </c>
      <c r="F210" s="11" t="str">
        <f>RawTable[[#This Row],[Bank_Account]]</f>
        <v>US-RT-000104890-AC-0000482630</v>
      </c>
      <c r="G210" s="11" t="str">
        <f>RawTable[[#This Row],[Month]]</f>
        <v>Feb-2026</v>
      </c>
      <c r="H210" s="11" t="str">
        <f>RawTable[[#This Row],[Currency]]</f>
        <v>USD</v>
      </c>
      <c r="I210" s="4">
        <f>RawTable[[#This Row],[Net_Amount]]</f>
        <v>5880.56</v>
      </c>
      <c r="J210" s="2" t="str">
        <f>RawTable[[#This Row],[VAT_Applicable]]</f>
        <v>No</v>
      </c>
      <c r="K210" s="4">
        <f>RawTable[[#This Row],[VAT_Rate]]</f>
        <v>0</v>
      </c>
      <c r="L210" s="4">
        <f>RawTable[[#This Row],[VAT_Amount]]</f>
        <v>0</v>
      </c>
      <c r="M210" s="4">
        <f>RawTable[[#This Row],[Gross_Amount]]</f>
        <v>5880.56</v>
      </c>
      <c r="N210" s="4">
        <f>RawTable[[#This Row],[Exchange_Rate]]</f>
        <v>0.77017999999999998</v>
      </c>
      <c r="O210" s="4">
        <f>RawTable[[#This Row],[Amount_CHF]]</f>
        <v>4529.09</v>
      </c>
      <c r="P21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1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10" s="11" t="str">
        <f>IF(ValidationTable[[#This Row],[Currency]]="","Fail","Pass")</f>
        <v>Pass</v>
      </c>
      <c r="S210" s="11" t="str">
        <f>IF(
ValidationTable[[#This Row],[Currency]]="CHF",
IF(ValidationTable[[#This Row],[Exchange_Rate]]&lt;&gt;1,"Fail","Pass"),
IF(ValidationTable[[#This Row],[Exchange_Rate]]&lt;=0,"Fail","Pass")
)</f>
        <v>Pass</v>
      </c>
      <c r="T21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10" s="11" t="str">
        <f>IF(LEN(TRIM(ValidationTable[[#This Row],[Bank_Account]]))=0,"Fail","Pass")</f>
        <v>Pass</v>
      </c>
      <c r="V210" s="11" t="str">
        <f>IF(
COUNTIF(ValidationTable[Record_ID],ValidationTable[[#This Row],[Record_ID]])&gt;1,
"Fail",
"Pass"
)</f>
        <v>Pass</v>
      </c>
      <c r="W210" s="11" t="str">
        <f>IF(
COUNTIF(ValidationTable[[#This Row],[RequiredField_Validation]]:ValidationTable[[#This Row],[Duplicate_Validation]],"Fail")&gt;0,
"Fail",
"Pass"
)</f>
        <v>Pass</v>
      </c>
      <c r="X210" s="11" t="str">
        <f>IF(ValidationTable[[#This Row],[Validation_Result]]="Pass","Yes","No")</f>
        <v>Yes</v>
      </c>
    </row>
    <row r="211" spans="1:24">
      <c r="A211" s="11">
        <f>RawTable[[#This Row],[Record_ID]]</f>
        <v>210</v>
      </c>
      <c r="B211" s="11" t="str">
        <f>RawTable[[#This Row],[Payment_Type]]</f>
        <v>Contractor_Fee</v>
      </c>
      <c r="C211" s="11" t="str">
        <f>RawTable[[#This Row],[Entity_Type]]</f>
        <v>Contractor</v>
      </c>
      <c r="D211" s="11" t="str">
        <f>RawTable[[#This Row],[Country]]</f>
        <v>USA</v>
      </c>
      <c r="E211" s="11" t="str">
        <f>RawTable[[#This Row],[Name]]</f>
        <v>Sara Khan</v>
      </c>
      <c r="F211" s="11" t="str">
        <f>RawTable[[#This Row],[Bank_Account]]</f>
        <v>US-RT-000050594-AC-0000232798</v>
      </c>
      <c r="G211" s="11" t="str">
        <f>RawTable[[#This Row],[Month]]</f>
        <v>Mar-2026</v>
      </c>
      <c r="H211" s="11" t="str">
        <f>RawTable[[#This Row],[Currency]]</f>
        <v>USD</v>
      </c>
      <c r="I211" s="4">
        <f>RawTable[[#This Row],[Net_Amount]]</f>
        <v>5367.04</v>
      </c>
      <c r="J211" s="2" t="str">
        <f>RawTable[[#This Row],[VAT_Applicable]]</f>
        <v>No</v>
      </c>
      <c r="K211" s="4">
        <f>RawTable[[#This Row],[VAT_Rate]]</f>
        <v>0</v>
      </c>
      <c r="L211" s="4">
        <f>RawTable[[#This Row],[VAT_Amount]]</f>
        <v>0</v>
      </c>
      <c r="M211" s="4">
        <f>RawTable[[#This Row],[Gross_Amount]]</f>
        <v>5367.04</v>
      </c>
      <c r="N211" s="4">
        <f>RawTable[[#This Row],[Exchange_Rate]]</f>
        <v>0.77017999999999998</v>
      </c>
      <c r="O211" s="4">
        <f>RawTable[[#This Row],[Amount_CHF]]</f>
        <v>4133.59</v>
      </c>
      <c r="P21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1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11" s="11" t="str">
        <f>IF(ValidationTable[[#This Row],[Currency]]="","Fail","Pass")</f>
        <v>Pass</v>
      </c>
      <c r="S211" s="11" t="str">
        <f>IF(
ValidationTable[[#This Row],[Currency]]="CHF",
IF(ValidationTable[[#This Row],[Exchange_Rate]]&lt;&gt;1,"Fail","Pass"),
IF(ValidationTable[[#This Row],[Exchange_Rate]]&lt;=0,"Fail","Pass")
)</f>
        <v>Pass</v>
      </c>
      <c r="T21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11" s="11" t="str">
        <f>IF(LEN(TRIM(ValidationTable[[#This Row],[Bank_Account]]))=0,"Fail","Pass")</f>
        <v>Pass</v>
      </c>
      <c r="V211" s="11" t="str">
        <f>IF(
COUNTIF(ValidationTable[Record_ID],ValidationTable[[#This Row],[Record_ID]])&gt;1,
"Fail",
"Pass"
)</f>
        <v>Pass</v>
      </c>
      <c r="W211" s="11" t="str">
        <f>IF(
COUNTIF(ValidationTable[[#This Row],[RequiredField_Validation]]:ValidationTable[[#This Row],[Duplicate_Validation]],"Fail")&gt;0,
"Fail",
"Pass"
)</f>
        <v>Pass</v>
      </c>
      <c r="X211" s="11" t="str">
        <f>IF(ValidationTable[[#This Row],[Validation_Result]]="Pass","Yes","No")</f>
        <v>Yes</v>
      </c>
    </row>
    <row r="212" spans="1:24">
      <c r="A212" s="11">
        <f>RawTable[[#This Row],[Record_ID]]</f>
        <v>211</v>
      </c>
      <c r="B212" s="11" t="str">
        <f>RawTable[[#This Row],[Payment_Type]]</f>
        <v>Contractor_Fee</v>
      </c>
      <c r="C212" s="11" t="str">
        <f>RawTable[[#This Row],[Entity_Type]]</f>
        <v>Contractor</v>
      </c>
      <c r="D212" s="11" t="str">
        <f>RawTable[[#This Row],[Country]]</f>
        <v>Germany</v>
      </c>
      <c r="E212" s="11" t="str">
        <f>RawTable[[#This Row],[Name]]</f>
        <v>Omar Taylor</v>
      </c>
      <c r="F212" s="11" t="str">
        <f>RawTable[[#This Row],[Bank_Account]]</f>
        <v>DE890000000001167794</v>
      </c>
      <c r="G212" s="11" t="str">
        <f>RawTable[[#This Row],[Month]]</f>
        <v>Jan-2026</v>
      </c>
      <c r="H212" s="11" t="str">
        <f>RawTable[[#This Row],[Currency]]</f>
        <v>EUR</v>
      </c>
      <c r="I212" s="4">
        <f>RawTable[[#This Row],[Net_Amount]]</f>
        <v>4791.3599999999997</v>
      </c>
      <c r="J212" s="2" t="str">
        <f>RawTable[[#This Row],[VAT_Applicable]]</f>
        <v>No</v>
      </c>
      <c r="K212" s="4">
        <f>RawTable[[#This Row],[VAT_Rate]]</f>
        <v>0</v>
      </c>
      <c r="L212" s="4">
        <f>RawTable[[#This Row],[VAT_Amount]]</f>
        <v>0</v>
      </c>
      <c r="M212" s="4">
        <f>RawTable[[#This Row],[Gross_Amount]]</f>
        <v>4791.3599999999997</v>
      </c>
      <c r="N212" s="4">
        <f>RawTable[[#This Row],[Exchange_Rate]]</f>
        <v>0.90888000000000002</v>
      </c>
      <c r="O212" s="4">
        <f>RawTable[[#This Row],[Amount_CHF]]</f>
        <v>4354.7700000000004</v>
      </c>
      <c r="P21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1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12" s="11" t="str">
        <f>IF(ValidationTable[[#This Row],[Currency]]="","Fail","Pass")</f>
        <v>Pass</v>
      </c>
      <c r="S212" s="11" t="str">
        <f>IF(
ValidationTable[[#This Row],[Currency]]="CHF",
IF(ValidationTable[[#This Row],[Exchange_Rate]]&lt;&gt;1,"Fail","Pass"),
IF(ValidationTable[[#This Row],[Exchange_Rate]]&lt;=0,"Fail","Pass")
)</f>
        <v>Pass</v>
      </c>
      <c r="T21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12" s="11" t="str">
        <f>IF(LEN(TRIM(ValidationTable[[#This Row],[Bank_Account]]))=0,"Fail","Pass")</f>
        <v>Pass</v>
      </c>
      <c r="V212" s="11" t="str">
        <f>IF(
COUNTIF(ValidationTable[Record_ID],ValidationTable[[#This Row],[Record_ID]])&gt;1,
"Fail",
"Pass"
)</f>
        <v>Pass</v>
      </c>
      <c r="W212" s="11" t="str">
        <f>IF(
COUNTIF(ValidationTable[[#This Row],[RequiredField_Validation]]:ValidationTable[[#This Row],[Duplicate_Validation]],"Fail")&gt;0,
"Fail",
"Pass"
)</f>
        <v>Pass</v>
      </c>
      <c r="X212" s="11" t="str">
        <f>IF(ValidationTable[[#This Row],[Validation_Result]]="Pass","Yes","No")</f>
        <v>Yes</v>
      </c>
    </row>
    <row r="213" spans="1:24">
      <c r="A213" s="11">
        <f>RawTable[[#This Row],[Record_ID]]</f>
        <v>212</v>
      </c>
      <c r="B213" s="11" t="str">
        <f>RawTable[[#This Row],[Payment_Type]]</f>
        <v>Contractor_Fee</v>
      </c>
      <c r="C213" s="11" t="str">
        <f>RawTable[[#This Row],[Entity_Type]]</f>
        <v>Contractor</v>
      </c>
      <c r="D213" s="11" t="str">
        <f>RawTable[[#This Row],[Country]]</f>
        <v>Switzerland</v>
      </c>
      <c r="E213" s="11" t="str">
        <f>RawTable[[#This Row],[Name]]</f>
        <v>John Ali</v>
      </c>
      <c r="F213" s="11" t="str">
        <f>RawTable[[#This Row],[Bank_Account]]</f>
        <v>DE890000000000312317</v>
      </c>
      <c r="G213" s="11" t="str">
        <f>RawTable[[#This Row],[Month]]</f>
        <v>Feb-2026</v>
      </c>
      <c r="H213" s="11" t="str">
        <f>RawTable[[#This Row],[Currency]]</f>
        <v>CHF</v>
      </c>
      <c r="I213" s="4">
        <f>RawTable[[#This Row],[Net_Amount]]</f>
        <v>4991.4799999999996</v>
      </c>
      <c r="J213" s="2" t="str">
        <f>RawTable[[#This Row],[VAT_Applicable]]</f>
        <v>No</v>
      </c>
      <c r="K213" s="4">
        <f>RawTable[[#This Row],[VAT_Rate]]</f>
        <v>0</v>
      </c>
      <c r="L213" s="4">
        <f>RawTable[[#This Row],[VAT_Amount]]</f>
        <v>0</v>
      </c>
      <c r="M213" s="4">
        <f>RawTable[[#This Row],[Gross_Amount]]</f>
        <v>4991.4799999999996</v>
      </c>
      <c r="N213" s="4">
        <f>RawTable[[#This Row],[Exchange_Rate]]</f>
        <v>1</v>
      </c>
      <c r="O213" s="4">
        <f>RawTable[[#This Row],[Amount_CHF]]</f>
        <v>4991.4799999999996</v>
      </c>
      <c r="P21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1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13" s="11" t="str">
        <f>IF(ValidationTable[[#This Row],[Currency]]="","Fail","Pass")</f>
        <v>Pass</v>
      </c>
      <c r="S213" s="11" t="str">
        <f>IF(
ValidationTable[[#This Row],[Currency]]="CHF",
IF(ValidationTable[[#This Row],[Exchange_Rate]]&lt;&gt;1,"Fail","Pass"),
IF(ValidationTable[[#This Row],[Exchange_Rate]]&lt;=0,"Fail","Pass")
)</f>
        <v>Pass</v>
      </c>
      <c r="T21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13" s="11" t="str">
        <f>IF(LEN(TRIM(ValidationTable[[#This Row],[Bank_Account]]))=0,"Fail","Pass")</f>
        <v>Pass</v>
      </c>
      <c r="V213" s="11" t="str">
        <f>IF(
COUNTIF(ValidationTable[Record_ID],ValidationTable[[#This Row],[Record_ID]])&gt;1,
"Fail",
"Pass"
)</f>
        <v>Pass</v>
      </c>
      <c r="W213" s="11" t="str">
        <f>IF(
COUNTIF(ValidationTable[[#This Row],[RequiredField_Validation]]:ValidationTable[[#This Row],[Duplicate_Validation]],"Fail")&gt;0,
"Fail",
"Pass"
)</f>
        <v>Pass</v>
      </c>
      <c r="X213" s="11" t="str">
        <f>IF(ValidationTable[[#This Row],[Validation_Result]]="Pass","Yes","No")</f>
        <v>Yes</v>
      </c>
    </row>
    <row r="214" spans="1:24">
      <c r="A214" s="11">
        <f>RawTable[[#This Row],[Record_ID]]</f>
        <v>213</v>
      </c>
      <c r="B214" s="11" t="str">
        <f>RawTable[[#This Row],[Payment_Type]]</f>
        <v>Contractor_Fee</v>
      </c>
      <c r="C214" s="11" t="str">
        <f>RawTable[[#This Row],[Entity_Type]]</f>
        <v>Contractor</v>
      </c>
      <c r="D214" s="11" t="str">
        <f>RawTable[[#This Row],[Country]]</f>
        <v>Switzerland</v>
      </c>
      <c r="E214" s="11" t="str">
        <f>RawTable[[#This Row],[Name]]</f>
        <v>Laura Khan</v>
      </c>
      <c r="F214" s="11" t="str">
        <f>RawTable[[#This Row],[Bank_Account]]</f>
        <v>US-RT-000066636-AC-0000306612</v>
      </c>
      <c r="G214" s="11" t="str">
        <f>RawTable[[#This Row],[Month]]</f>
        <v>Jan-2026</v>
      </c>
      <c r="H214" s="11" t="str">
        <f>RawTable[[#This Row],[Currency]]</f>
        <v>CHF</v>
      </c>
      <c r="I214" s="4">
        <f>RawTable[[#This Row],[Net_Amount]]</f>
        <v>5482.88</v>
      </c>
      <c r="J214" s="2" t="str">
        <f>RawTable[[#This Row],[VAT_Applicable]]</f>
        <v>No</v>
      </c>
      <c r="K214" s="4">
        <f>RawTable[[#This Row],[VAT_Rate]]</f>
        <v>0</v>
      </c>
      <c r="L214" s="4">
        <f>RawTable[[#This Row],[VAT_Amount]]</f>
        <v>0</v>
      </c>
      <c r="M214" s="4">
        <f>RawTable[[#This Row],[Gross_Amount]]</f>
        <v>5482.88</v>
      </c>
      <c r="N214" s="4">
        <f>RawTable[[#This Row],[Exchange_Rate]]</f>
        <v>1</v>
      </c>
      <c r="O214" s="4">
        <f>RawTable[[#This Row],[Amount_CHF]]</f>
        <v>5482.88</v>
      </c>
      <c r="P21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1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14" s="11" t="str">
        <f>IF(ValidationTable[[#This Row],[Currency]]="","Fail","Pass")</f>
        <v>Pass</v>
      </c>
      <c r="S214" s="11" t="str">
        <f>IF(
ValidationTable[[#This Row],[Currency]]="CHF",
IF(ValidationTable[[#This Row],[Exchange_Rate]]&lt;&gt;1,"Fail","Pass"),
IF(ValidationTable[[#This Row],[Exchange_Rate]]&lt;=0,"Fail","Pass")
)</f>
        <v>Pass</v>
      </c>
      <c r="T21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14" s="11" t="str">
        <f>IF(LEN(TRIM(ValidationTable[[#This Row],[Bank_Account]]))=0,"Fail","Pass")</f>
        <v>Pass</v>
      </c>
      <c r="V214" s="11" t="str">
        <f>IF(
COUNTIF(ValidationTable[Record_ID],ValidationTable[[#This Row],[Record_ID]])&gt;1,
"Fail",
"Pass"
)</f>
        <v>Pass</v>
      </c>
      <c r="W214" s="11" t="str">
        <f>IF(
COUNTIF(ValidationTable[[#This Row],[RequiredField_Validation]]:ValidationTable[[#This Row],[Duplicate_Validation]],"Fail")&gt;0,
"Fail",
"Pass"
)</f>
        <v>Pass</v>
      </c>
      <c r="X214" s="11" t="str">
        <f>IF(ValidationTable[[#This Row],[Validation_Result]]="Pass","Yes","No")</f>
        <v>Yes</v>
      </c>
    </row>
    <row r="215" spans="1:24">
      <c r="A215" s="11">
        <f>RawTable[[#This Row],[Record_ID]]</f>
        <v>214</v>
      </c>
      <c r="B215" s="11" t="str">
        <f>RawTable[[#This Row],[Payment_Type]]</f>
        <v>Contractor_Fee</v>
      </c>
      <c r="C215" s="11" t="str">
        <f>RawTable[[#This Row],[Entity_Type]]</f>
        <v>Contractor</v>
      </c>
      <c r="D215" s="11" t="str">
        <f>RawTable[[#This Row],[Country]]</f>
        <v>UAE</v>
      </c>
      <c r="E215" s="11" t="str">
        <f>RawTable[[#This Row],[Name]]</f>
        <v>David Müller</v>
      </c>
      <c r="F215" s="11" t="str">
        <f>RawTable[[#This Row],[Bank_Account]]</f>
        <v>JO-IBAN-00444420</v>
      </c>
      <c r="G215" s="11" t="str">
        <f>RawTable[[#This Row],[Month]]</f>
        <v>Jan-2026</v>
      </c>
      <c r="H215" s="11" t="str">
        <f>RawTable[[#This Row],[Currency]]</f>
        <v>AED</v>
      </c>
      <c r="I215" s="4">
        <f>RawTable[[#This Row],[Net_Amount]]</f>
        <v>18867.2</v>
      </c>
      <c r="J215" s="2" t="str">
        <f>RawTable[[#This Row],[VAT_Applicable]]</f>
        <v>No</v>
      </c>
      <c r="K215" s="4">
        <f>RawTable[[#This Row],[VAT_Rate]]</f>
        <v>0</v>
      </c>
      <c r="L215" s="4">
        <f>RawTable[[#This Row],[VAT_Amount]]</f>
        <v>0</v>
      </c>
      <c r="M215" s="4">
        <f>RawTable[[#This Row],[Gross_Amount]]</f>
        <v>18867.2</v>
      </c>
      <c r="N215" s="4">
        <f>RawTable[[#This Row],[Exchange_Rate]]</f>
        <v>0.21065</v>
      </c>
      <c r="O215" s="4">
        <f>RawTable[[#This Row],[Amount_CHF]]</f>
        <v>3974.38</v>
      </c>
      <c r="P21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1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15" s="11" t="str">
        <f>IF(ValidationTable[[#This Row],[Currency]]="","Fail","Pass")</f>
        <v>Pass</v>
      </c>
      <c r="S215" s="11" t="str">
        <f>IF(
ValidationTable[[#This Row],[Currency]]="CHF",
IF(ValidationTable[[#This Row],[Exchange_Rate]]&lt;&gt;1,"Fail","Pass"),
IF(ValidationTable[[#This Row],[Exchange_Rate]]&lt;=0,"Fail","Pass")
)</f>
        <v>Pass</v>
      </c>
      <c r="T21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15" s="11" t="str">
        <f>IF(LEN(TRIM(ValidationTable[[#This Row],[Bank_Account]]))=0,"Fail","Pass")</f>
        <v>Pass</v>
      </c>
      <c r="V215" s="11" t="str">
        <f>IF(
COUNTIF(ValidationTable[Record_ID],ValidationTable[[#This Row],[Record_ID]])&gt;1,
"Fail",
"Pass"
)</f>
        <v>Pass</v>
      </c>
      <c r="W215" s="11" t="str">
        <f>IF(
COUNTIF(ValidationTable[[#This Row],[RequiredField_Validation]]:ValidationTable[[#This Row],[Duplicate_Validation]],"Fail")&gt;0,
"Fail",
"Pass"
)</f>
        <v>Pass</v>
      </c>
      <c r="X215" s="11" t="str">
        <f>IF(ValidationTable[[#This Row],[Validation_Result]]="Pass","Yes","No")</f>
        <v>Yes</v>
      </c>
    </row>
    <row r="216" spans="1:24">
      <c r="A216" s="11">
        <f>RawTable[[#This Row],[Record_ID]]</f>
        <v>215</v>
      </c>
      <c r="B216" s="11" t="str">
        <f>RawTable[[#This Row],[Payment_Type]]</f>
        <v>Contractor_Fee</v>
      </c>
      <c r="C216" s="11" t="str">
        <f>RawTable[[#This Row],[Entity_Type]]</f>
        <v>Contractor</v>
      </c>
      <c r="D216" s="11" t="str">
        <f>RawTable[[#This Row],[Country]]</f>
        <v>USA</v>
      </c>
      <c r="E216" s="11" t="str">
        <f>RawTable[[#This Row],[Name]]</f>
        <v>John Müller</v>
      </c>
      <c r="F216" s="11" t="str">
        <f>RawTable[[#This Row],[Bank_Account]]</f>
        <v>CH930000000001382080</v>
      </c>
      <c r="G216" s="11" t="str">
        <f>RawTable[[#This Row],[Month]]</f>
        <v>Mar-2026</v>
      </c>
      <c r="H216" s="11" t="str">
        <f>RawTable[[#This Row],[Currency]]</f>
        <v>USD</v>
      </c>
      <c r="I216" s="4">
        <f>RawTable[[#This Row],[Net_Amount]]</f>
        <v>5415.76</v>
      </c>
      <c r="J216" s="2" t="str">
        <f>RawTable[[#This Row],[VAT_Applicable]]</f>
        <v>No</v>
      </c>
      <c r="K216" s="4">
        <f>RawTable[[#This Row],[VAT_Rate]]</f>
        <v>0</v>
      </c>
      <c r="L216" s="4">
        <f>RawTable[[#This Row],[VAT_Amount]]</f>
        <v>0</v>
      </c>
      <c r="M216" s="4">
        <f>RawTable[[#This Row],[Gross_Amount]]</f>
        <v>5415.76</v>
      </c>
      <c r="N216" s="4">
        <f>RawTable[[#This Row],[Exchange_Rate]]</f>
        <v>0.77017999999999998</v>
      </c>
      <c r="O216" s="4">
        <f>RawTable[[#This Row],[Amount_CHF]]</f>
        <v>4171.1099999999997</v>
      </c>
      <c r="P21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1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16" s="11" t="str">
        <f>IF(ValidationTable[[#This Row],[Currency]]="","Fail","Pass")</f>
        <v>Pass</v>
      </c>
      <c r="S216" s="11" t="str">
        <f>IF(
ValidationTable[[#This Row],[Currency]]="CHF",
IF(ValidationTable[[#This Row],[Exchange_Rate]]&lt;&gt;1,"Fail","Pass"),
IF(ValidationTable[[#This Row],[Exchange_Rate]]&lt;=0,"Fail","Pass")
)</f>
        <v>Pass</v>
      </c>
      <c r="T21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16" s="11" t="str">
        <f>IF(LEN(TRIM(ValidationTable[[#This Row],[Bank_Account]]))=0,"Fail","Pass")</f>
        <v>Pass</v>
      </c>
      <c r="V216" s="11" t="str">
        <f>IF(
COUNTIF(ValidationTable[Record_ID],ValidationTable[[#This Row],[Record_ID]])&gt;1,
"Fail",
"Pass"
)</f>
        <v>Pass</v>
      </c>
      <c r="W216" s="11" t="str">
        <f>IF(
COUNTIF(ValidationTable[[#This Row],[RequiredField_Validation]]:ValidationTable[[#This Row],[Duplicate_Validation]],"Fail")&gt;0,
"Fail",
"Pass"
)</f>
        <v>Pass</v>
      </c>
      <c r="X216" s="11" t="str">
        <f>IF(ValidationTable[[#This Row],[Validation_Result]]="Pass","Yes","No")</f>
        <v>Yes</v>
      </c>
    </row>
    <row r="217" spans="1:24">
      <c r="A217" s="11">
        <f>RawTable[[#This Row],[Record_ID]]</f>
        <v>216</v>
      </c>
      <c r="B217" s="11" t="str">
        <f>RawTable[[#This Row],[Payment_Type]]</f>
        <v>Contractor_Fee</v>
      </c>
      <c r="C217" s="11" t="str">
        <f>RawTable[[#This Row],[Entity_Type]]</f>
        <v>Contractor</v>
      </c>
      <c r="D217" s="11" t="str">
        <f>RawTable[[#This Row],[Country]]</f>
        <v>Jordan</v>
      </c>
      <c r="E217" s="11" t="str">
        <f>RawTable[[#This Row],[Name]]</f>
        <v>Michael Brown</v>
      </c>
      <c r="F217" s="11" t="str">
        <f>RawTable[[#This Row],[Bank_Account]]</f>
        <v>JO-IBAN-00938220</v>
      </c>
      <c r="G217" s="11" t="str">
        <f>RawTable[[#This Row],[Month]]</f>
        <v>Mar-2026</v>
      </c>
      <c r="H217" s="11" t="str">
        <f>RawTable[[#This Row],[Currency]]</f>
        <v>JOD</v>
      </c>
      <c r="I217" s="4">
        <f>RawTable[[#This Row],[Net_Amount]]</f>
        <v>1312.42</v>
      </c>
      <c r="J217" s="2" t="str">
        <f>RawTable[[#This Row],[VAT_Applicable]]</f>
        <v>No</v>
      </c>
      <c r="K217" s="4">
        <f>RawTable[[#This Row],[VAT_Rate]]</f>
        <v>0</v>
      </c>
      <c r="L217" s="4">
        <f>RawTable[[#This Row],[VAT_Amount]]</f>
        <v>0</v>
      </c>
      <c r="M217" s="4">
        <f>RawTable[[#This Row],[Gross_Amount]]</f>
        <v>1312.42</v>
      </c>
      <c r="N217" s="4">
        <f>RawTable[[#This Row],[Exchange_Rate]]</f>
        <v>1.08643</v>
      </c>
      <c r="O217" s="4">
        <f>RawTable[[#This Row],[Amount_CHF]]</f>
        <v>1425.85</v>
      </c>
      <c r="P21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1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17" s="11" t="str">
        <f>IF(ValidationTable[[#This Row],[Currency]]="","Fail","Pass")</f>
        <v>Pass</v>
      </c>
      <c r="S217" s="11" t="str">
        <f>IF(
ValidationTable[[#This Row],[Currency]]="CHF",
IF(ValidationTable[[#This Row],[Exchange_Rate]]&lt;&gt;1,"Fail","Pass"),
IF(ValidationTable[[#This Row],[Exchange_Rate]]&lt;=0,"Fail","Pass")
)</f>
        <v>Pass</v>
      </c>
      <c r="T21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17" s="11" t="str">
        <f>IF(LEN(TRIM(ValidationTable[[#This Row],[Bank_Account]]))=0,"Fail","Pass")</f>
        <v>Pass</v>
      </c>
      <c r="V217" s="11" t="str">
        <f>IF(
COUNTIF(ValidationTable[Record_ID],ValidationTable[[#This Row],[Record_ID]])&gt;1,
"Fail",
"Pass"
)</f>
        <v>Pass</v>
      </c>
      <c r="W217" s="11" t="str">
        <f>IF(
COUNTIF(ValidationTable[[#This Row],[RequiredField_Validation]]:ValidationTable[[#This Row],[Duplicate_Validation]],"Fail")&gt;0,
"Fail",
"Pass"
)</f>
        <v>Pass</v>
      </c>
      <c r="X217" s="11" t="str">
        <f>IF(ValidationTable[[#This Row],[Validation_Result]]="Pass","Yes","No")</f>
        <v>Yes</v>
      </c>
    </row>
    <row r="218" spans="1:24">
      <c r="A218" s="11">
        <f>RawTable[[#This Row],[Record_ID]]</f>
        <v>217</v>
      </c>
      <c r="B218" s="11" t="str">
        <f>RawTable[[#This Row],[Payment_Type]]</f>
        <v>Contractor_Fee</v>
      </c>
      <c r="C218" s="11" t="str">
        <f>RawTable[[#This Row],[Entity_Type]]</f>
        <v>Contractor</v>
      </c>
      <c r="D218" s="11" t="str">
        <f>RawTable[[#This Row],[Country]]</f>
        <v>Switzerland</v>
      </c>
      <c r="E218" s="11" t="str">
        <f>RawTable[[#This Row],[Name]]</f>
        <v>Sara Ali</v>
      </c>
      <c r="F218" s="11" t="str">
        <f>RawTable[[#This Row],[Bank_Account]]</f>
        <v>JO-IBAN-00617250</v>
      </c>
      <c r="G218" s="11" t="str">
        <f>RawTable[[#This Row],[Month]]</f>
        <v>Mar-2026</v>
      </c>
      <c r="H218" s="11" t="str">
        <f>RawTable[[#This Row],[Currency]]</f>
        <v>CHF</v>
      </c>
      <c r="I218" s="4">
        <f>RawTable[[#This Row],[Net_Amount]]</f>
        <v>4879.68</v>
      </c>
      <c r="J218" s="2" t="str">
        <f>RawTable[[#This Row],[VAT_Applicable]]</f>
        <v>No</v>
      </c>
      <c r="K218" s="4">
        <f>RawTable[[#This Row],[VAT_Rate]]</f>
        <v>0</v>
      </c>
      <c r="L218" s="4">
        <f>RawTable[[#This Row],[VAT_Amount]]</f>
        <v>0</v>
      </c>
      <c r="M218" s="4">
        <f>RawTable[[#This Row],[Gross_Amount]]</f>
        <v>4879.68</v>
      </c>
      <c r="N218" s="4">
        <f>RawTable[[#This Row],[Exchange_Rate]]</f>
        <v>1</v>
      </c>
      <c r="O218" s="4">
        <f>RawTable[[#This Row],[Amount_CHF]]</f>
        <v>4879.68</v>
      </c>
      <c r="P21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1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18" s="11" t="str">
        <f>IF(ValidationTable[[#This Row],[Currency]]="","Fail","Pass")</f>
        <v>Pass</v>
      </c>
      <c r="S218" s="11" t="str">
        <f>IF(
ValidationTable[[#This Row],[Currency]]="CHF",
IF(ValidationTable[[#This Row],[Exchange_Rate]]&lt;&gt;1,"Fail","Pass"),
IF(ValidationTable[[#This Row],[Exchange_Rate]]&lt;=0,"Fail","Pass")
)</f>
        <v>Pass</v>
      </c>
      <c r="T21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18" s="11" t="str">
        <f>IF(LEN(TRIM(ValidationTable[[#This Row],[Bank_Account]]))=0,"Fail","Pass")</f>
        <v>Pass</v>
      </c>
      <c r="V218" s="11" t="str">
        <f>IF(
COUNTIF(ValidationTable[Record_ID],ValidationTable[[#This Row],[Record_ID]])&gt;1,
"Fail",
"Pass"
)</f>
        <v>Pass</v>
      </c>
      <c r="W218" s="11" t="str">
        <f>IF(
COUNTIF(ValidationTable[[#This Row],[RequiredField_Validation]]:ValidationTable[[#This Row],[Duplicate_Validation]],"Fail")&gt;0,
"Fail",
"Pass"
)</f>
        <v>Pass</v>
      </c>
      <c r="X218" s="11" t="str">
        <f>IF(ValidationTable[[#This Row],[Validation_Result]]="Pass","Yes","No")</f>
        <v>Yes</v>
      </c>
    </row>
    <row r="219" spans="1:24">
      <c r="A219" s="11">
        <f>RawTable[[#This Row],[Record_ID]]</f>
        <v>218</v>
      </c>
      <c r="B219" s="11" t="str">
        <f>RawTable[[#This Row],[Payment_Type]]</f>
        <v>Contractor_Fee</v>
      </c>
      <c r="C219" s="11" t="str">
        <f>RawTable[[#This Row],[Entity_Type]]</f>
        <v>Contractor</v>
      </c>
      <c r="D219" s="11" t="str">
        <f>RawTable[[#This Row],[Country]]</f>
        <v>Switzerland</v>
      </c>
      <c r="E219" s="11" t="str">
        <f>RawTable[[#This Row],[Name]]</f>
        <v>Sara Taylor</v>
      </c>
      <c r="F219" s="11" t="str">
        <f>RawTable[[#This Row],[Bank_Account]]</f>
        <v>JO-IBAN-00777735</v>
      </c>
      <c r="G219" s="11" t="str">
        <f>RawTable[[#This Row],[Month]]</f>
        <v>Jan-2026</v>
      </c>
      <c r="H219" s="11" t="str">
        <f>RawTable[[#This Row],[Currency]]</f>
        <v>CHF</v>
      </c>
      <c r="I219" s="4">
        <f>RawTable[[#This Row],[Net_Amount]]</f>
        <v>5471.44</v>
      </c>
      <c r="J219" s="2" t="str">
        <f>RawTable[[#This Row],[VAT_Applicable]]</f>
        <v>No</v>
      </c>
      <c r="K219" s="4">
        <f>RawTable[[#This Row],[VAT_Rate]]</f>
        <v>0</v>
      </c>
      <c r="L219" s="4">
        <f>RawTable[[#This Row],[VAT_Amount]]</f>
        <v>0</v>
      </c>
      <c r="M219" s="4">
        <f>RawTable[[#This Row],[Gross_Amount]]</f>
        <v>5471.44</v>
      </c>
      <c r="N219" s="4">
        <f>RawTable[[#This Row],[Exchange_Rate]]</f>
        <v>1</v>
      </c>
      <c r="O219" s="4">
        <f>RawTable[[#This Row],[Amount_CHF]]</f>
        <v>5471.44</v>
      </c>
      <c r="P21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1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19" s="11" t="str">
        <f>IF(ValidationTable[[#This Row],[Currency]]="","Fail","Pass")</f>
        <v>Pass</v>
      </c>
      <c r="S219" s="11" t="str">
        <f>IF(
ValidationTable[[#This Row],[Currency]]="CHF",
IF(ValidationTable[[#This Row],[Exchange_Rate]]&lt;&gt;1,"Fail","Pass"),
IF(ValidationTable[[#This Row],[Exchange_Rate]]&lt;=0,"Fail","Pass")
)</f>
        <v>Pass</v>
      </c>
      <c r="T21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19" s="11" t="str">
        <f>IF(LEN(TRIM(ValidationTable[[#This Row],[Bank_Account]]))=0,"Fail","Pass")</f>
        <v>Pass</v>
      </c>
      <c r="V219" s="11" t="str">
        <f>IF(
COUNTIF(ValidationTable[Record_ID],ValidationTable[[#This Row],[Record_ID]])&gt;1,
"Fail",
"Pass"
)</f>
        <v>Pass</v>
      </c>
      <c r="W219" s="11" t="str">
        <f>IF(
COUNTIF(ValidationTable[[#This Row],[RequiredField_Validation]]:ValidationTable[[#This Row],[Duplicate_Validation]],"Fail")&gt;0,
"Fail",
"Pass"
)</f>
        <v>Pass</v>
      </c>
      <c r="X219" s="11" t="str">
        <f>IF(ValidationTable[[#This Row],[Validation_Result]]="Pass","Yes","No")</f>
        <v>Yes</v>
      </c>
    </row>
    <row r="220" spans="1:24">
      <c r="A220" s="11">
        <f>RawTable[[#This Row],[Record_ID]]</f>
        <v>219</v>
      </c>
      <c r="B220" s="11" t="str">
        <f>RawTable[[#This Row],[Payment_Type]]</f>
        <v>Contractor_Fee</v>
      </c>
      <c r="C220" s="11" t="str">
        <f>RawTable[[#This Row],[Entity_Type]]</f>
        <v>Contractor</v>
      </c>
      <c r="D220" s="11" t="str">
        <f>RawTable[[#This Row],[Country]]</f>
        <v>UAE</v>
      </c>
      <c r="E220" s="11" t="str">
        <f>RawTable[[#This Row],[Name]]</f>
        <v>Michael Smith</v>
      </c>
      <c r="F220" s="11" t="str">
        <f>RawTable[[#This Row],[Bank_Account]]</f>
        <v>JO-IBAN-00382695</v>
      </c>
      <c r="G220" s="11" t="str">
        <f>RawTable[[#This Row],[Month]]</f>
        <v>Jan-2026</v>
      </c>
      <c r="H220" s="11" t="str">
        <f>RawTable[[#This Row],[Currency]]</f>
        <v>AED</v>
      </c>
      <c r="I220" s="4">
        <f>RawTable[[#This Row],[Net_Amount]]</f>
        <v>16089.92</v>
      </c>
      <c r="J220" s="2" t="str">
        <f>RawTable[[#This Row],[VAT_Applicable]]</f>
        <v>No</v>
      </c>
      <c r="K220" s="4">
        <f>RawTable[[#This Row],[VAT_Rate]]</f>
        <v>0</v>
      </c>
      <c r="L220" s="4">
        <f>RawTable[[#This Row],[VAT_Amount]]</f>
        <v>0</v>
      </c>
      <c r="M220" s="4">
        <f>RawTable[[#This Row],[Gross_Amount]]</f>
        <v>16089.92</v>
      </c>
      <c r="N220" s="4">
        <f>RawTable[[#This Row],[Exchange_Rate]]</f>
        <v>0.21065</v>
      </c>
      <c r="O220" s="4">
        <f>RawTable[[#This Row],[Amount_CHF]]</f>
        <v>3389.34</v>
      </c>
      <c r="P22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2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20" s="11" t="str">
        <f>IF(ValidationTable[[#This Row],[Currency]]="","Fail","Pass")</f>
        <v>Pass</v>
      </c>
      <c r="S220" s="11" t="str">
        <f>IF(
ValidationTable[[#This Row],[Currency]]="CHF",
IF(ValidationTable[[#This Row],[Exchange_Rate]]&lt;&gt;1,"Fail","Pass"),
IF(ValidationTable[[#This Row],[Exchange_Rate]]&lt;=0,"Fail","Pass")
)</f>
        <v>Pass</v>
      </c>
      <c r="T22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20" s="11" t="str">
        <f>IF(LEN(TRIM(ValidationTable[[#This Row],[Bank_Account]]))=0,"Fail","Pass")</f>
        <v>Pass</v>
      </c>
      <c r="V220" s="11" t="str">
        <f>IF(
COUNTIF(ValidationTable[Record_ID],ValidationTable[[#This Row],[Record_ID]])&gt;1,
"Fail",
"Pass"
)</f>
        <v>Pass</v>
      </c>
      <c r="W220" s="11" t="str">
        <f>IF(
COUNTIF(ValidationTable[[#This Row],[RequiredField_Validation]]:ValidationTable[[#This Row],[Duplicate_Validation]],"Fail")&gt;0,
"Fail",
"Pass"
)</f>
        <v>Pass</v>
      </c>
      <c r="X220" s="11" t="str">
        <f>IF(ValidationTable[[#This Row],[Validation_Result]]="Pass","Yes","No")</f>
        <v>Yes</v>
      </c>
    </row>
    <row r="221" spans="1:24">
      <c r="A221" s="11">
        <f>RawTable[[#This Row],[Record_ID]]</f>
        <v>220</v>
      </c>
      <c r="B221" s="11" t="str">
        <f>RawTable[[#This Row],[Payment_Type]]</f>
        <v>Contractor_Fee</v>
      </c>
      <c r="C221" s="11" t="str">
        <f>RawTable[[#This Row],[Entity_Type]]</f>
        <v>Contractor</v>
      </c>
      <c r="D221" s="11" t="str">
        <f>RawTable[[#This Row],[Country]]</f>
        <v>UAE</v>
      </c>
      <c r="E221" s="11" t="str">
        <f>RawTable[[#This Row],[Name]]</f>
        <v>Lina Taylor</v>
      </c>
      <c r="F221" s="11" t="str">
        <f>RawTable[[#This Row],[Bank_Account]]</f>
        <v>AE-IBAN-02607408</v>
      </c>
      <c r="G221" s="11" t="str">
        <f>RawTable[[#This Row],[Month]]</f>
        <v>Feb-2026</v>
      </c>
      <c r="H221" s="11" t="str">
        <f>RawTable[[#This Row],[Currency]]</f>
        <v>AED</v>
      </c>
      <c r="I221" s="4">
        <f>RawTable[[#This Row],[Net_Amount]]</f>
        <v>16397.919999999998</v>
      </c>
      <c r="J221" s="2" t="str">
        <f>RawTable[[#This Row],[VAT_Applicable]]</f>
        <v>No</v>
      </c>
      <c r="K221" s="4">
        <f>RawTable[[#This Row],[VAT_Rate]]</f>
        <v>0</v>
      </c>
      <c r="L221" s="4">
        <f>RawTable[[#This Row],[VAT_Amount]]</f>
        <v>0</v>
      </c>
      <c r="M221" s="4">
        <f>RawTable[[#This Row],[Gross_Amount]]</f>
        <v>16397.919999999998</v>
      </c>
      <c r="N221" s="4">
        <f>RawTable[[#This Row],[Exchange_Rate]]</f>
        <v>0.21065</v>
      </c>
      <c r="O221" s="4">
        <f>RawTable[[#This Row],[Amount_CHF]]</f>
        <v>3454.22</v>
      </c>
      <c r="P22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2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21" s="11" t="str">
        <f>IF(ValidationTable[[#This Row],[Currency]]="","Fail","Pass")</f>
        <v>Pass</v>
      </c>
      <c r="S221" s="11" t="str">
        <f>IF(
ValidationTable[[#This Row],[Currency]]="CHF",
IF(ValidationTable[[#This Row],[Exchange_Rate]]&lt;&gt;1,"Fail","Pass"),
IF(ValidationTable[[#This Row],[Exchange_Rate]]&lt;=0,"Fail","Pass")
)</f>
        <v>Pass</v>
      </c>
      <c r="T22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21" s="11" t="str">
        <f>IF(LEN(TRIM(ValidationTable[[#This Row],[Bank_Account]]))=0,"Fail","Pass")</f>
        <v>Pass</v>
      </c>
      <c r="V221" s="11" t="str">
        <f>IF(
COUNTIF(ValidationTable[Record_ID],ValidationTable[[#This Row],[Record_ID]])&gt;1,
"Fail",
"Pass"
)</f>
        <v>Pass</v>
      </c>
      <c r="W221" s="11" t="str">
        <f>IF(
COUNTIF(ValidationTable[[#This Row],[RequiredField_Validation]]:ValidationTable[[#This Row],[Duplicate_Validation]],"Fail")&gt;0,
"Fail",
"Pass"
)</f>
        <v>Pass</v>
      </c>
      <c r="X221" s="11" t="str">
        <f>IF(ValidationTable[[#This Row],[Validation_Result]]="Pass","Yes","No")</f>
        <v>Yes</v>
      </c>
    </row>
    <row r="222" spans="1:24">
      <c r="A222" s="11">
        <f>RawTable[[#This Row],[Record_ID]]</f>
        <v>221</v>
      </c>
      <c r="B222" s="11" t="str">
        <f>RawTable[[#This Row],[Payment_Type]]</f>
        <v>Contractor_Fee</v>
      </c>
      <c r="C222" s="11" t="str">
        <f>RawTable[[#This Row],[Entity_Type]]</f>
        <v>Contractor</v>
      </c>
      <c r="D222" s="11" t="str">
        <f>RawTable[[#This Row],[Country]]</f>
        <v>USA</v>
      </c>
      <c r="E222" s="11" t="str">
        <f>RawTable[[#This Row],[Name]]</f>
        <v>Omar Haddad</v>
      </c>
      <c r="F222" s="11" t="str">
        <f>RawTable[[#This Row],[Bank_Account]]</f>
        <v>CH930000000000444240</v>
      </c>
      <c r="G222" s="11" t="str">
        <f>RawTable[[#This Row],[Month]]</f>
        <v>Jan-2026</v>
      </c>
      <c r="H222" s="11" t="str">
        <f>RawTable[[#This Row],[Currency]]</f>
        <v>USD</v>
      </c>
      <c r="I222" s="4">
        <f>RawTable[[#This Row],[Net_Amount]]</f>
        <v>6018.32</v>
      </c>
      <c r="J222" s="2" t="str">
        <f>RawTable[[#This Row],[VAT_Applicable]]</f>
        <v>No</v>
      </c>
      <c r="K222" s="4">
        <f>RawTable[[#This Row],[VAT_Rate]]</f>
        <v>0</v>
      </c>
      <c r="L222" s="4">
        <f>RawTable[[#This Row],[VAT_Amount]]</f>
        <v>0</v>
      </c>
      <c r="M222" s="4">
        <f>RawTable[[#This Row],[Gross_Amount]]</f>
        <v>6018.32</v>
      </c>
      <c r="N222" s="4">
        <f>RawTable[[#This Row],[Exchange_Rate]]</f>
        <v>0.77017999999999998</v>
      </c>
      <c r="O222" s="4">
        <f>RawTable[[#This Row],[Amount_CHF]]</f>
        <v>4635.1899999999996</v>
      </c>
      <c r="P22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2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22" s="11" t="str">
        <f>IF(ValidationTable[[#This Row],[Currency]]="","Fail","Pass")</f>
        <v>Pass</v>
      </c>
      <c r="S222" s="11" t="str">
        <f>IF(
ValidationTable[[#This Row],[Currency]]="CHF",
IF(ValidationTable[[#This Row],[Exchange_Rate]]&lt;&gt;1,"Fail","Pass"),
IF(ValidationTable[[#This Row],[Exchange_Rate]]&lt;=0,"Fail","Pass")
)</f>
        <v>Pass</v>
      </c>
      <c r="T22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22" s="11" t="str">
        <f>IF(LEN(TRIM(ValidationTable[[#This Row],[Bank_Account]]))=0,"Fail","Pass")</f>
        <v>Pass</v>
      </c>
      <c r="V222" s="11" t="str">
        <f>IF(
COUNTIF(ValidationTable[Record_ID],ValidationTable[[#This Row],[Record_ID]])&gt;1,
"Fail",
"Pass"
)</f>
        <v>Pass</v>
      </c>
      <c r="W222" s="11" t="str">
        <f>IF(
COUNTIF(ValidationTable[[#This Row],[RequiredField_Validation]]:ValidationTable[[#This Row],[Duplicate_Validation]],"Fail")&gt;0,
"Fail",
"Pass"
)</f>
        <v>Pass</v>
      </c>
      <c r="X222" s="11" t="str">
        <f>IF(ValidationTable[[#This Row],[Validation_Result]]="Pass","Yes","No")</f>
        <v>Yes</v>
      </c>
    </row>
    <row r="223" spans="1:24">
      <c r="A223" s="11">
        <f>RawTable[[#This Row],[Record_ID]]</f>
        <v>222</v>
      </c>
      <c r="B223" s="11" t="str">
        <f>RawTable[[#This Row],[Payment_Type]]</f>
        <v>Contractor_Fee</v>
      </c>
      <c r="C223" s="11" t="str">
        <f>RawTable[[#This Row],[Entity_Type]]</f>
        <v>Contractor</v>
      </c>
      <c r="D223" s="11" t="str">
        <f>RawTable[[#This Row],[Country]]</f>
        <v>Switzerland</v>
      </c>
      <c r="E223" s="11" t="str">
        <f>RawTable[[#This Row],[Name]]</f>
        <v>Anna Schmidt</v>
      </c>
      <c r="F223" s="11" t="str">
        <f>RawTable[[#This Row],[Bank_Account]]</f>
        <v>DE890000000000190106</v>
      </c>
      <c r="G223" s="11" t="str">
        <f>RawTable[[#This Row],[Month]]</f>
        <v>Feb-2026</v>
      </c>
      <c r="H223" s="11" t="str">
        <f>RawTable[[#This Row],[Currency]]</f>
        <v>CHF</v>
      </c>
      <c r="I223" s="4">
        <f>RawTable[[#This Row],[Net_Amount]]</f>
        <v>5402.8</v>
      </c>
      <c r="J223" s="2" t="str">
        <f>RawTable[[#This Row],[VAT_Applicable]]</f>
        <v>No</v>
      </c>
      <c r="K223" s="4">
        <f>RawTable[[#This Row],[VAT_Rate]]</f>
        <v>0</v>
      </c>
      <c r="L223" s="4">
        <f>RawTable[[#This Row],[VAT_Amount]]</f>
        <v>0</v>
      </c>
      <c r="M223" s="4">
        <f>RawTable[[#This Row],[Gross_Amount]]</f>
        <v>5402.8</v>
      </c>
      <c r="N223" s="4">
        <f>RawTable[[#This Row],[Exchange_Rate]]</f>
        <v>1</v>
      </c>
      <c r="O223" s="4">
        <f>RawTable[[#This Row],[Amount_CHF]]</f>
        <v>5402.8</v>
      </c>
      <c r="P22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2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23" s="11" t="str">
        <f>IF(ValidationTable[[#This Row],[Currency]]="","Fail","Pass")</f>
        <v>Pass</v>
      </c>
      <c r="S223" s="11" t="str">
        <f>IF(
ValidationTable[[#This Row],[Currency]]="CHF",
IF(ValidationTable[[#This Row],[Exchange_Rate]]&lt;&gt;1,"Fail","Pass"),
IF(ValidationTable[[#This Row],[Exchange_Rate]]&lt;=0,"Fail","Pass")
)</f>
        <v>Pass</v>
      </c>
      <c r="T22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23" s="11" t="str">
        <f>IF(LEN(TRIM(ValidationTable[[#This Row],[Bank_Account]]))=0,"Fail","Pass")</f>
        <v>Pass</v>
      </c>
      <c r="V223" s="11" t="str">
        <f>IF(
COUNTIF(ValidationTable[Record_ID],ValidationTable[[#This Row],[Record_ID]])&gt;1,
"Fail",
"Pass"
)</f>
        <v>Pass</v>
      </c>
      <c r="W223" s="11" t="str">
        <f>IF(
COUNTIF(ValidationTable[[#This Row],[RequiredField_Validation]]:ValidationTable[[#This Row],[Duplicate_Validation]],"Fail")&gt;0,
"Fail",
"Pass"
)</f>
        <v>Pass</v>
      </c>
      <c r="X223" s="11" t="str">
        <f>IF(ValidationTable[[#This Row],[Validation_Result]]="Pass","Yes","No")</f>
        <v>Yes</v>
      </c>
    </row>
    <row r="224" spans="1:24">
      <c r="A224" s="11">
        <f>RawTable[[#This Row],[Record_ID]]</f>
        <v>223</v>
      </c>
      <c r="B224" s="11" t="str">
        <f>RawTable[[#This Row],[Payment_Type]]</f>
        <v>Contractor_Fee</v>
      </c>
      <c r="C224" s="11" t="str">
        <f>RawTable[[#This Row],[Entity_Type]]</f>
        <v>Contractor</v>
      </c>
      <c r="D224" s="11" t="str">
        <f>RawTable[[#This Row],[Country]]</f>
        <v>Switzerland</v>
      </c>
      <c r="E224" s="11" t="str">
        <f>RawTable[[#This Row],[Name]]</f>
        <v>Sara Brown</v>
      </c>
      <c r="F224" s="11" t="str">
        <f>RawTable[[#This Row],[Bank_Account]]</f>
        <v>DE890000000000950530</v>
      </c>
      <c r="G224" s="11" t="str">
        <f>RawTable[[#This Row],[Month]]</f>
        <v>Feb-2026</v>
      </c>
      <c r="H224" s="11" t="str">
        <f>RawTable[[#This Row],[Currency]]</f>
        <v>CHF</v>
      </c>
      <c r="I224" s="4">
        <f>RawTable[[#This Row],[Net_Amount]]</f>
        <v>5023.2</v>
      </c>
      <c r="J224" s="2" t="str">
        <f>RawTable[[#This Row],[VAT_Applicable]]</f>
        <v>No</v>
      </c>
      <c r="K224" s="4">
        <f>RawTable[[#This Row],[VAT_Rate]]</f>
        <v>0</v>
      </c>
      <c r="L224" s="4">
        <f>RawTable[[#This Row],[VAT_Amount]]</f>
        <v>0</v>
      </c>
      <c r="M224" s="4">
        <f>RawTable[[#This Row],[Gross_Amount]]</f>
        <v>5023.2</v>
      </c>
      <c r="N224" s="4">
        <f>RawTable[[#This Row],[Exchange_Rate]]</f>
        <v>1</v>
      </c>
      <c r="O224" s="4">
        <f>RawTable[[#This Row],[Amount_CHF]]</f>
        <v>5023.2</v>
      </c>
      <c r="P22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2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24" s="11" t="str">
        <f>IF(ValidationTable[[#This Row],[Currency]]="","Fail","Pass")</f>
        <v>Pass</v>
      </c>
      <c r="S224" s="11" t="str">
        <f>IF(
ValidationTable[[#This Row],[Currency]]="CHF",
IF(ValidationTable[[#This Row],[Exchange_Rate]]&lt;&gt;1,"Fail","Pass"),
IF(ValidationTable[[#This Row],[Exchange_Rate]]&lt;=0,"Fail","Pass")
)</f>
        <v>Pass</v>
      </c>
      <c r="T22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24" s="11" t="str">
        <f>IF(LEN(TRIM(ValidationTable[[#This Row],[Bank_Account]]))=0,"Fail","Pass")</f>
        <v>Pass</v>
      </c>
      <c r="V224" s="11" t="str">
        <f>IF(
COUNTIF(ValidationTable[Record_ID],ValidationTable[[#This Row],[Record_ID]])&gt;1,
"Fail",
"Pass"
)</f>
        <v>Pass</v>
      </c>
      <c r="W224" s="11" t="str">
        <f>IF(
COUNTIF(ValidationTable[[#This Row],[RequiredField_Validation]]:ValidationTable[[#This Row],[Duplicate_Validation]],"Fail")&gt;0,
"Fail",
"Pass"
)</f>
        <v>Pass</v>
      </c>
      <c r="X224" s="11" t="str">
        <f>IF(ValidationTable[[#This Row],[Validation_Result]]="Pass","Yes","No")</f>
        <v>Yes</v>
      </c>
    </row>
    <row r="225" spans="1:24">
      <c r="A225" s="11">
        <f>RawTable[[#This Row],[Record_ID]]</f>
        <v>224</v>
      </c>
      <c r="B225" s="11" t="str">
        <f>RawTable[[#This Row],[Payment_Type]]</f>
        <v>Contractor_Fee</v>
      </c>
      <c r="C225" s="11" t="str">
        <f>RawTable[[#This Row],[Entity_Type]]</f>
        <v>Contractor</v>
      </c>
      <c r="D225" s="11" t="str">
        <f>RawTable[[#This Row],[Country]]</f>
        <v>Jordan</v>
      </c>
      <c r="E225" s="11" t="str">
        <f>RawTable[[#This Row],[Name]]</f>
        <v>Laura Schmidt</v>
      </c>
      <c r="F225" s="11" t="str">
        <f>RawTable[[#This Row],[Bank_Account]]</f>
        <v>US-RT-000104890-AC-0000482630</v>
      </c>
      <c r="G225" s="11" t="str">
        <f>RawTable[[#This Row],[Month]]</f>
        <v>Mar-2026</v>
      </c>
      <c r="H225" s="11" t="str">
        <f>RawTable[[#This Row],[Currency]]</f>
        <v>JOD</v>
      </c>
      <c r="I225" s="4">
        <f>RawTable[[#This Row],[Net_Amount]]</f>
        <v>1512.14</v>
      </c>
      <c r="J225" s="2" t="str">
        <f>RawTable[[#This Row],[VAT_Applicable]]</f>
        <v>No</v>
      </c>
      <c r="K225" s="4">
        <f>RawTable[[#This Row],[VAT_Rate]]</f>
        <v>0</v>
      </c>
      <c r="L225" s="4">
        <f>RawTable[[#This Row],[VAT_Amount]]</f>
        <v>0</v>
      </c>
      <c r="M225" s="4">
        <f>RawTable[[#This Row],[Gross_Amount]]</f>
        <v>1512.14</v>
      </c>
      <c r="N225" s="4">
        <f>RawTable[[#This Row],[Exchange_Rate]]</f>
        <v>1.08643</v>
      </c>
      <c r="O225" s="4">
        <f>RawTable[[#This Row],[Amount_CHF]]</f>
        <v>1642.83</v>
      </c>
      <c r="P22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2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25" s="11" t="str">
        <f>IF(ValidationTable[[#This Row],[Currency]]="","Fail","Pass")</f>
        <v>Pass</v>
      </c>
      <c r="S225" s="11" t="str">
        <f>IF(
ValidationTable[[#This Row],[Currency]]="CHF",
IF(ValidationTable[[#This Row],[Exchange_Rate]]&lt;&gt;1,"Fail","Pass"),
IF(ValidationTable[[#This Row],[Exchange_Rate]]&lt;=0,"Fail","Pass")
)</f>
        <v>Pass</v>
      </c>
      <c r="T22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25" s="11" t="str">
        <f>IF(LEN(TRIM(ValidationTable[[#This Row],[Bank_Account]]))=0,"Fail","Pass")</f>
        <v>Pass</v>
      </c>
      <c r="V225" s="11" t="str">
        <f>IF(
COUNTIF(ValidationTable[Record_ID],ValidationTable[[#This Row],[Record_ID]])&gt;1,
"Fail",
"Pass"
)</f>
        <v>Pass</v>
      </c>
      <c r="W225" s="11" t="str">
        <f>IF(
COUNTIF(ValidationTable[[#This Row],[RequiredField_Validation]]:ValidationTable[[#This Row],[Duplicate_Validation]],"Fail")&gt;0,
"Fail",
"Pass"
)</f>
        <v>Pass</v>
      </c>
      <c r="X225" s="11" t="str">
        <f>IF(ValidationTable[[#This Row],[Validation_Result]]="Pass","Yes","No")</f>
        <v>Yes</v>
      </c>
    </row>
    <row r="226" spans="1:24">
      <c r="A226" s="11">
        <f>RawTable[[#This Row],[Record_ID]]</f>
        <v>225</v>
      </c>
      <c r="B226" s="11" t="str">
        <f>RawTable[[#This Row],[Payment_Type]]</f>
        <v>Contractor_Fee</v>
      </c>
      <c r="C226" s="11" t="str">
        <f>RawTable[[#This Row],[Entity_Type]]</f>
        <v>Contractor</v>
      </c>
      <c r="D226" s="11" t="str">
        <f>RawTable[[#This Row],[Country]]</f>
        <v>Germany</v>
      </c>
      <c r="E226" s="11" t="str">
        <f>RawTable[[#This Row],[Name]]</f>
        <v>Ahmed Müller</v>
      </c>
      <c r="F226" s="11" t="str">
        <f>RawTable[[#This Row],[Bank_Account]]</f>
        <v>US-RT-000096252-AC-0000442884</v>
      </c>
      <c r="G226" s="11" t="str">
        <f>RawTable[[#This Row],[Month]]</f>
        <v>Mar-2026</v>
      </c>
      <c r="H226" s="11" t="str">
        <f>RawTable[[#This Row],[Currency]]</f>
        <v>EUR</v>
      </c>
      <c r="I226" s="4">
        <f>RawTable[[#This Row],[Net_Amount]]</f>
        <v>4467.3599999999997</v>
      </c>
      <c r="J226" s="2" t="str">
        <f>RawTable[[#This Row],[VAT_Applicable]]</f>
        <v>No</v>
      </c>
      <c r="K226" s="4">
        <f>RawTable[[#This Row],[VAT_Rate]]</f>
        <v>0</v>
      </c>
      <c r="L226" s="4">
        <f>RawTable[[#This Row],[VAT_Amount]]</f>
        <v>0</v>
      </c>
      <c r="M226" s="4">
        <f>RawTable[[#This Row],[Gross_Amount]]</f>
        <v>4467.3599999999997</v>
      </c>
      <c r="N226" s="4">
        <f>RawTable[[#This Row],[Exchange_Rate]]</f>
        <v>0.90888000000000002</v>
      </c>
      <c r="O226" s="4">
        <f>RawTable[[#This Row],[Amount_CHF]]</f>
        <v>4060.29</v>
      </c>
      <c r="P22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2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26" s="11" t="str">
        <f>IF(ValidationTable[[#This Row],[Currency]]="","Fail","Pass")</f>
        <v>Pass</v>
      </c>
      <c r="S226" s="11" t="str">
        <f>IF(
ValidationTable[[#This Row],[Currency]]="CHF",
IF(ValidationTable[[#This Row],[Exchange_Rate]]&lt;&gt;1,"Fail","Pass"),
IF(ValidationTable[[#This Row],[Exchange_Rate]]&lt;=0,"Fail","Pass")
)</f>
        <v>Pass</v>
      </c>
      <c r="T22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26" s="11" t="str">
        <f>IF(LEN(TRIM(ValidationTable[[#This Row],[Bank_Account]]))=0,"Fail","Pass")</f>
        <v>Pass</v>
      </c>
      <c r="V226" s="11" t="str">
        <f>IF(
COUNTIF(ValidationTable[Record_ID],ValidationTable[[#This Row],[Record_ID]])&gt;1,
"Fail",
"Pass"
)</f>
        <v>Pass</v>
      </c>
      <c r="W226" s="11" t="str">
        <f>IF(
COUNTIF(ValidationTable[[#This Row],[RequiredField_Validation]]:ValidationTable[[#This Row],[Duplicate_Validation]],"Fail")&gt;0,
"Fail",
"Pass"
)</f>
        <v>Pass</v>
      </c>
      <c r="X226" s="11" t="str">
        <f>IF(ValidationTable[[#This Row],[Validation_Result]]="Pass","Yes","No")</f>
        <v>Yes</v>
      </c>
    </row>
    <row r="227" spans="1:24">
      <c r="A227" s="11">
        <f>RawTable[[#This Row],[Record_ID]]</f>
        <v>226</v>
      </c>
      <c r="B227" s="11" t="str">
        <f>RawTable[[#This Row],[Payment_Type]]</f>
        <v>Contractor_Fee</v>
      </c>
      <c r="C227" s="11" t="str">
        <f>RawTable[[#This Row],[Entity_Type]]</f>
        <v>Contractor</v>
      </c>
      <c r="D227" s="11" t="str">
        <f>RawTable[[#This Row],[Country]]</f>
        <v>Germany</v>
      </c>
      <c r="E227" s="11" t="str">
        <f>RawTable[[#This Row],[Name]]</f>
        <v>Ahmed Schmidt</v>
      </c>
      <c r="F227" s="11" t="str">
        <f>RawTable[[#This Row],[Bank_Account]]</f>
        <v>US-RT-000003702-AC-0000017034</v>
      </c>
      <c r="G227" s="11" t="str">
        <f>RawTable[[#This Row],[Month]]</f>
        <v>Feb-2026</v>
      </c>
      <c r="H227" s="11" t="str">
        <f>RawTable[[#This Row],[Currency]]</f>
        <v>EUR</v>
      </c>
      <c r="I227" s="4">
        <f>RawTable[[#This Row],[Net_Amount]]</f>
        <v>4815.84</v>
      </c>
      <c r="J227" s="2" t="str">
        <f>RawTable[[#This Row],[VAT_Applicable]]</f>
        <v>No</v>
      </c>
      <c r="K227" s="4">
        <f>RawTable[[#This Row],[VAT_Rate]]</f>
        <v>0</v>
      </c>
      <c r="L227" s="4">
        <f>RawTable[[#This Row],[VAT_Amount]]</f>
        <v>0</v>
      </c>
      <c r="M227" s="4">
        <f>RawTable[[#This Row],[Gross_Amount]]</f>
        <v>4815.84</v>
      </c>
      <c r="N227" s="4">
        <f>RawTable[[#This Row],[Exchange_Rate]]</f>
        <v>0.90888000000000002</v>
      </c>
      <c r="O227" s="4">
        <f>RawTable[[#This Row],[Amount_CHF]]</f>
        <v>4377.0200000000004</v>
      </c>
      <c r="P22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2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27" s="11" t="str">
        <f>IF(ValidationTable[[#This Row],[Currency]]="","Fail","Pass")</f>
        <v>Pass</v>
      </c>
      <c r="S227" s="11" t="str">
        <f>IF(
ValidationTable[[#This Row],[Currency]]="CHF",
IF(ValidationTable[[#This Row],[Exchange_Rate]]&lt;&gt;1,"Fail","Pass"),
IF(ValidationTable[[#This Row],[Exchange_Rate]]&lt;=0,"Fail","Pass")
)</f>
        <v>Pass</v>
      </c>
      <c r="T22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27" s="11" t="str">
        <f>IF(LEN(TRIM(ValidationTable[[#This Row],[Bank_Account]]))=0,"Fail","Pass")</f>
        <v>Pass</v>
      </c>
      <c r="V227" s="11" t="str">
        <f>IF(
COUNTIF(ValidationTable[Record_ID],ValidationTable[[#This Row],[Record_ID]])&gt;1,
"Fail",
"Pass"
)</f>
        <v>Pass</v>
      </c>
      <c r="W227" s="11" t="str">
        <f>IF(
COUNTIF(ValidationTable[[#This Row],[RequiredField_Validation]]:ValidationTable[[#This Row],[Duplicate_Validation]],"Fail")&gt;0,
"Fail",
"Pass"
)</f>
        <v>Pass</v>
      </c>
      <c r="X227" s="11" t="str">
        <f>IF(ValidationTable[[#This Row],[Validation_Result]]="Pass","Yes","No")</f>
        <v>Yes</v>
      </c>
    </row>
    <row r="228" spans="1:24">
      <c r="A228" s="11">
        <f>RawTable[[#This Row],[Record_ID]]</f>
        <v>227</v>
      </c>
      <c r="B228" s="11" t="str">
        <f>RawTable[[#This Row],[Payment_Type]]</f>
        <v>Contractor_Fee</v>
      </c>
      <c r="C228" s="11" t="str">
        <f>RawTable[[#This Row],[Entity_Type]]</f>
        <v>Contractor</v>
      </c>
      <c r="D228" s="11" t="str">
        <f>RawTable[[#This Row],[Country]]</f>
        <v>Jordan</v>
      </c>
      <c r="E228" s="11" t="str">
        <f>RawTable[[#This Row],[Name]]</f>
        <v>Lina Smith</v>
      </c>
      <c r="F228" s="11" t="str">
        <f>RawTable[[#This Row],[Bank_Account]]</f>
        <v>JO-IBAN-01074015</v>
      </c>
      <c r="G228" s="11" t="str">
        <f>RawTable[[#This Row],[Month]]</f>
        <v>Jan-2026</v>
      </c>
      <c r="H228" s="11" t="str">
        <f>RawTable[[#This Row],[Currency]]</f>
        <v>JOD</v>
      </c>
      <c r="I228" s="4">
        <f>RawTable[[#This Row],[Net_Amount]]</f>
        <v>1353.17</v>
      </c>
      <c r="J228" s="2" t="str">
        <f>RawTable[[#This Row],[VAT_Applicable]]</f>
        <v>No</v>
      </c>
      <c r="K228" s="4">
        <f>RawTable[[#This Row],[VAT_Rate]]</f>
        <v>0</v>
      </c>
      <c r="L228" s="4">
        <f>RawTable[[#This Row],[VAT_Amount]]</f>
        <v>0</v>
      </c>
      <c r="M228" s="4">
        <f>RawTable[[#This Row],[Gross_Amount]]</f>
        <v>1353.17</v>
      </c>
      <c r="N228" s="4">
        <f>RawTable[[#This Row],[Exchange_Rate]]</f>
        <v>1.08643</v>
      </c>
      <c r="O228" s="4">
        <f>RawTable[[#This Row],[Amount_CHF]]</f>
        <v>1470.12</v>
      </c>
      <c r="P22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2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28" s="11" t="str">
        <f>IF(ValidationTable[[#This Row],[Currency]]="","Fail","Pass")</f>
        <v>Pass</v>
      </c>
      <c r="S228" s="11" t="str">
        <f>IF(
ValidationTable[[#This Row],[Currency]]="CHF",
IF(ValidationTable[[#This Row],[Exchange_Rate]]&lt;&gt;1,"Fail","Pass"),
IF(ValidationTable[[#This Row],[Exchange_Rate]]&lt;=0,"Fail","Pass")
)</f>
        <v>Pass</v>
      </c>
      <c r="T22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28" s="11" t="str">
        <f>IF(LEN(TRIM(ValidationTable[[#This Row],[Bank_Account]]))=0,"Fail","Pass")</f>
        <v>Pass</v>
      </c>
      <c r="V228" s="11" t="str">
        <f>IF(
COUNTIF(ValidationTable[Record_ID],ValidationTable[[#This Row],[Record_ID]])&gt;1,
"Fail",
"Pass"
)</f>
        <v>Pass</v>
      </c>
      <c r="W228" s="11" t="str">
        <f>IF(
COUNTIF(ValidationTable[[#This Row],[RequiredField_Validation]]:ValidationTable[[#This Row],[Duplicate_Validation]],"Fail")&gt;0,
"Fail",
"Pass"
)</f>
        <v>Pass</v>
      </c>
      <c r="X228" s="11" t="str">
        <f>IF(ValidationTable[[#This Row],[Validation_Result]]="Pass","Yes","No")</f>
        <v>Yes</v>
      </c>
    </row>
    <row r="229" spans="1:24">
      <c r="A229" s="11">
        <f>RawTable[[#This Row],[Record_ID]]</f>
        <v>228</v>
      </c>
      <c r="B229" s="11" t="str">
        <f>RawTable[[#This Row],[Payment_Type]]</f>
        <v>Contractor_Fee</v>
      </c>
      <c r="C229" s="11" t="str">
        <f>RawTable[[#This Row],[Entity_Type]]</f>
        <v>Contractor</v>
      </c>
      <c r="D229" s="11" t="str">
        <f>RawTable[[#This Row],[Country]]</f>
        <v>UAE</v>
      </c>
      <c r="E229" s="11" t="str">
        <f>RawTable[[#This Row],[Name]]</f>
        <v>Michael Khan</v>
      </c>
      <c r="F229" s="11" t="str">
        <f>RawTable[[#This Row],[Bank_Account]]</f>
        <v>AE-IBAN-04780248</v>
      </c>
      <c r="G229" s="11" t="str">
        <f>RawTable[[#This Row],[Month]]</f>
        <v>Jan-2026</v>
      </c>
      <c r="H229" s="11" t="str">
        <f>RawTable[[#This Row],[Currency]]</f>
        <v>AED</v>
      </c>
      <c r="I229" s="4">
        <f>RawTable[[#This Row],[Net_Amount]]</f>
        <v>16679.52</v>
      </c>
      <c r="J229" s="2" t="str">
        <f>RawTable[[#This Row],[VAT_Applicable]]</f>
        <v>No</v>
      </c>
      <c r="K229" s="4">
        <f>RawTable[[#This Row],[VAT_Rate]]</f>
        <v>0</v>
      </c>
      <c r="L229" s="4">
        <f>RawTable[[#This Row],[VAT_Amount]]</f>
        <v>0</v>
      </c>
      <c r="M229" s="4">
        <f>RawTable[[#This Row],[Gross_Amount]]</f>
        <v>16679.52</v>
      </c>
      <c r="N229" s="4">
        <f>RawTable[[#This Row],[Exchange_Rate]]</f>
        <v>0.21065</v>
      </c>
      <c r="O229" s="4">
        <f>RawTable[[#This Row],[Amount_CHF]]</f>
        <v>3513.54</v>
      </c>
      <c r="P22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2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29" s="11" t="str">
        <f>IF(ValidationTable[[#This Row],[Currency]]="","Fail","Pass")</f>
        <v>Pass</v>
      </c>
      <c r="S229" s="11" t="str">
        <f>IF(
ValidationTable[[#This Row],[Currency]]="CHF",
IF(ValidationTable[[#This Row],[Exchange_Rate]]&lt;&gt;1,"Fail","Pass"),
IF(ValidationTable[[#This Row],[Exchange_Rate]]&lt;=0,"Fail","Pass")
)</f>
        <v>Pass</v>
      </c>
      <c r="T22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29" s="11" t="str">
        <f>IF(LEN(TRIM(ValidationTable[[#This Row],[Bank_Account]]))=0,"Fail","Pass")</f>
        <v>Pass</v>
      </c>
      <c r="V229" s="11" t="str">
        <f>IF(
COUNTIF(ValidationTable[Record_ID],ValidationTable[[#This Row],[Record_ID]])&gt;1,
"Fail",
"Pass"
)</f>
        <v>Pass</v>
      </c>
      <c r="W229" s="11" t="str">
        <f>IF(
COUNTIF(ValidationTable[[#This Row],[RequiredField_Validation]]:ValidationTable[[#This Row],[Duplicate_Validation]],"Fail")&gt;0,
"Fail",
"Pass"
)</f>
        <v>Pass</v>
      </c>
      <c r="X229" s="11" t="str">
        <f>IF(ValidationTable[[#This Row],[Validation_Result]]="Pass","Yes","No")</f>
        <v>Yes</v>
      </c>
    </row>
    <row r="230" spans="1:24">
      <c r="A230" s="11">
        <f>RawTable[[#This Row],[Record_ID]]</f>
        <v>229</v>
      </c>
      <c r="B230" s="11" t="str">
        <f>RawTable[[#This Row],[Payment_Type]]</f>
        <v>Contractor_Fee</v>
      </c>
      <c r="C230" s="11" t="str">
        <f>RawTable[[#This Row],[Entity_Type]]</f>
        <v>Contractor</v>
      </c>
      <c r="D230" s="11" t="str">
        <f>RawTable[[#This Row],[Country]]</f>
        <v>Jordan</v>
      </c>
      <c r="E230" s="11" t="str">
        <f>RawTable[[#This Row],[Name]]</f>
        <v>David Schmidt</v>
      </c>
      <c r="F230" s="11" t="str">
        <f>RawTable[[#This Row],[Bank_Account]]</f>
        <v>AE-IBAN-01792593</v>
      </c>
      <c r="G230" s="11" t="str">
        <f>RawTable[[#This Row],[Month]]</f>
        <v>Jan-2026</v>
      </c>
      <c r="H230" s="11" t="str">
        <f>RawTable[[#This Row],[Currency]]</f>
        <v>JOD</v>
      </c>
      <c r="I230" s="4">
        <f>RawTable[[#This Row],[Net_Amount]]</f>
        <v>1443.6</v>
      </c>
      <c r="J230" s="2" t="str">
        <f>RawTable[[#This Row],[VAT_Applicable]]</f>
        <v>No</v>
      </c>
      <c r="K230" s="4">
        <f>RawTable[[#This Row],[VAT_Rate]]</f>
        <v>0</v>
      </c>
      <c r="L230" s="4">
        <f>RawTable[[#This Row],[VAT_Amount]]</f>
        <v>0</v>
      </c>
      <c r="M230" s="4">
        <f>RawTable[[#This Row],[Gross_Amount]]</f>
        <v>1443.6</v>
      </c>
      <c r="N230" s="4">
        <f>RawTable[[#This Row],[Exchange_Rate]]</f>
        <v>1.08643</v>
      </c>
      <c r="O230" s="4">
        <f>RawTable[[#This Row],[Amount_CHF]]</f>
        <v>1568.37</v>
      </c>
      <c r="P23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3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30" s="11" t="str">
        <f>IF(ValidationTable[[#This Row],[Currency]]="","Fail","Pass")</f>
        <v>Pass</v>
      </c>
      <c r="S230" s="11" t="str">
        <f>IF(
ValidationTable[[#This Row],[Currency]]="CHF",
IF(ValidationTable[[#This Row],[Exchange_Rate]]&lt;&gt;1,"Fail","Pass"),
IF(ValidationTable[[#This Row],[Exchange_Rate]]&lt;=0,"Fail","Pass")
)</f>
        <v>Pass</v>
      </c>
      <c r="T23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30" s="11" t="str">
        <f>IF(LEN(TRIM(ValidationTable[[#This Row],[Bank_Account]]))=0,"Fail","Pass")</f>
        <v>Pass</v>
      </c>
      <c r="V230" s="11" t="str">
        <f>IF(
COUNTIF(ValidationTable[Record_ID],ValidationTable[[#This Row],[Record_ID]])&gt;1,
"Fail",
"Pass"
)</f>
        <v>Pass</v>
      </c>
      <c r="W230" s="11" t="str">
        <f>IF(
COUNTIF(ValidationTable[[#This Row],[RequiredField_Validation]]:ValidationTable[[#This Row],[Duplicate_Validation]],"Fail")&gt;0,
"Fail",
"Pass"
)</f>
        <v>Pass</v>
      </c>
      <c r="X230" s="11" t="str">
        <f>IF(ValidationTable[[#This Row],[Validation_Result]]="Pass","Yes","No")</f>
        <v>Yes</v>
      </c>
    </row>
    <row r="231" spans="1:24">
      <c r="A231" s="11">
        <f>RawTable[[#This Row],[Record_ID]]</f>
        <v>230</v>
      </c>
      <c r="B231" s="11" t="str">
        <f>RawTable[[#This Row],[Payment_Type]]</f>
        <v>Contractor_Fee</v>
      </c>
      <c r="C231" s="11" t="str">
        <f>RawTable[[#This Row],[Entity_Type]]</f>
        <v>Contractor</v>
      </c>
      <c r="D231" s="11" t="str">
        <f>RawTable[[#This Row],[Country]]</f>
        <v>Switzerland</v>
      </c>
      <c r="E231" s="11" t="str">
        <f>RawTable[[#This Row],[Name]]</f>
        <v>Omar Müller</v>
      </c>
      <c r="F231" s="11" t="str">
        <f>RawTable[[#This Row],[Bank_Account]]</f>
        <v>JO-IBAN-00024690</v>
      </c>
      <c r="G231" s="11" t="str">
        <f>RawTable[[#This Row],[Month]]</f>
        <v>Feb-2026</v>
      </c>
      <c r="H231" s="11" t="str">
        <f>RawTable[[#This Row],[Currency]]</f>
        <v>CHF</v>
      </c>
      <c r="I231" s="4">
        <f>RawTable[[#This Row],[Net_Amount]]</f>
        <v>4873.96</v>
      </c>
      <c r="J231" s="2" t="str">
        <f>RawTable[[#This Row],[VAT_Applicable]]</f>
        <v>No</v>
      </c>
      <c r="K231" s="4">
        <f>RawTable[[#This Row],[VAT_Rate]]</f>
        <v>0</v>
      </c>
      <c r="L231" s="4">
        <f>RawTable[[#This Row],[VAT_Amount]]</f>
        <v>0</v>
      </c>
      <c r="M231" s="4">
        <f>RawTable[[#This Row],[Gross_Amount]]</f>
        <v>4873.96</v>
      </c>
      <c r="N231" s="4">
        <f>RawTable[[#This Row],[Exchange_Rate]]</f>
        <v>1</v>
      </c>
      <c r="O231" s="4">
        <f>RawTable[[#This Row],[Amount_CHF]]</f>
        <v>4873.96</v>
      </c>
      <c r="P23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3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31" s="11" t="str">
        <f>IF(ValidationTable[[#This Row],[Currency]]="","Fail","Pass")</f>
        <v>Pass</v>
      </c>
      <c r="S231" s="11" t="str">
        <f>IF(
ValidationTable[[#This Row],[Currency]]="CHF",
IF(ValidationTable[[#This Row],[Exchange_Rate]]&lt;&gt;1,"Fail","Pass"),
IF(ValidationTable[[#This Row],[Exchange_Rate]]&lt;=0,"Fail","Pass")
)</f>
        <v>Pass</v>
      </c>
      <c r="T23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31" s="11" t="str">
        <f>IF(LEN(TRIM(ValidationTable[[#This Row],[Bank_Account]]))=0,"Fail","Pass")</f>
        <v>Pass</v>
      </c>
      <c r="V231" s="11" t="str">
        <f>IF(
COUNTIF(ValidationTable[Record_ID],ValidationTable[[#This Row],[Record_ID]])&gt;1,
"Fail",
"Pass"
)</f>
        <v>Pass</v>
      </c>
      <c r="W231" s="11" t="str">
        <f>IF(
COUNTIF(ValidationTable[[#This Row],[RequiredField_Validation]]:ValidationTable[[#This Row],[Duplicate_Validation]],"Fail")&gt;0,
"Fail",
"Pass"
)</f>
        <v>Pass</v>
      </c>
      <c r="X231" s="11" t="str">
        <f>IF(ValidationTable[[#This Row],[Validation_Result]]="Pass","Yes","No")</f>
        <v>Yes</v>
      </c>
    </row>
    <row r="232" spans="1:24">
      <c r="A232" s="11">
        <f>RawTable[[#This Row],[Record_ID]]</f>
        <v>231</v>
      </c>
      <c r="B232" s="11" t="str">
        <f>RawTable[[#This Row],[Payment_Type]]</f>
        <v>Contractor_Fee</v>
      </c>
      <c r="C232" s="11" t="str">
        <f>RawTable[[#This Row],[Entity_Type]]</f>
        <v>Contractor</v>
      </c>
      <c r="D232" s="11" t="str">
        <f>RawTable[[#This Row],[Country]]</f>
        <v>Jordan</v>
      </c>
      <c r="E232" s="11" t="str">
        <f>RawTable[[#This Row],[Name]]</f>
        <v>Sara Brown</v>
      </c>
      <c r="F232" s="11" t="str">
        <f>RawTable[[#This Row],[Bank_Account]]</f>
        <v>DE890000000000950530</v>
      </c>
      <c r="G232" s="11" t="str">
        <f>RawTable[[#This Row],[Month]]</f>
        <v>Jan-2026</v>
      </c>
      <c r="H232" s="11" t="str">
        <f>RawTable[[#This Row],[Currency]]</f>
        <v>JOD</v>
      </c>
      <c r="I232" s="4">
        <f>RawTable[[#This Row],[Net_Amount]]</f>
        <v>1391.04</v>
      </c>
      <c r="J232" s="2" t="str">
        <f>RawTable[[#This Row],[VAT_Applicable]]</f>
        <v>No</v>
      </c>
      <c r="K232" s="4">
        <f>RawTable[[#This Row],[VAT_Rate]]</f>
        <v>0</v>
      </c>
      <c r="L232" s="4">
        <f>RawTable[[#This Row],[VAT_Amount]]</f>
        <v>0</v>
      </c>
      <c r="M232" s="4">
        <f>RawTable[[#This Row],[Gross_Amount]]</f>
        <v>1391.04</v>
      </c>
      <c r="N232" s="4">
        <f>RawTable[[#This Row],[Exchange_Rate]]</f>
        <v>1.08643</v>
      </c>
      <c r="O232" s="4">
        <f>RawTable[[#This Row],[Amount_CHF]]</f>
        <v>1511.27</v>
      </c>
      <c r="P23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3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32" s="11" t="str">
        <f>IF(ValidationTable[[#This Row],[Currency]]="","Fail","Pass")</f>
        <v>Pass</v>
      </c>
      <c r="S232" s="11" t="str">
        <f>IF(
ValidationTable[[#This Row],[Currency]]="CHF",
IF(ValidationTable[[#This Row],[Exchange_Rate]]&lt;&gt;1,"Fail","Pass"),
IF(ValidationTable[[#This Row],[Exchange_Rate]]&lt;=0,"Fail","Pass")
)</f>
        <v>Pass</v>
      </c>
      <c r="T23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32" s="11" t="str">
        <f>IF(LEN(TRIM(ValidationTable[[#This Row],[Bank_Account]]))=0,"Fail","Pass")</f>
        <v>Pass</v>
      </c>
      <c r="V232" s="11" t="str">
        <f>IF(
COUNTIF(ValidationTable[Record_ID],ValidationTable[[#This Row],[Record_ID]])&gt;1,
"Fail",
"Pass"
)</f>
        <v>Pass</v>
      </c>
      <c r="W232" s="11" t="str">
        <f>IF(
COUNTIF(ValidationTable[[#This Row],[RequiredField_Validation]]:ValidationTable[[#This Row],[Duplicate_Validation]],"Fail")&gt;0,
"Fail",
"Pass"
)</f>
        <v>Pass</v>
      </c>
      <c r="X232" s="11" t="str">
        <f>IF(ValidationTable[[#This Row],[Validation_Result]]="Pass","Yes","No")</f>
        <v>Yes</v>
      </c>
    </row>
    <row r="233" spans="1:24">
      <c r="A233" s="11">
        <f>RawTable[[#This Row],[Record_ID]]</f>
        <v>232</v>
      </c>
      <c r="B233" s="11" t="str">
        <f>RawTable[[#This Row],[Payment_Type]]</f>
        <v>Contractor_Fee</v>
      </c>
      <c r="C233" s="11" t="str">
        <f>RawTable[[#This Row],[Entity_Type]]</f>
        <v>Contractor</v>
      </c>
      <c r="D233" s="11" t="str">
        <f>RawTable[[#This Row],[Country]]</f>
        <v>Switzerland</v>
      </c>
      <c r="E233" s="11" t="str">
        <f>RawTable[[#This Row],[Name]]</f>
        <v>Laura Wilson</v>
      </c>
      <c r="F233" s="11" t="str">
        <f>RawTable[[#This Row],[Bank_Account]]</f>
        <v>CH930000000001159960</v>
      </c>
      <c r="G233" s="11" t="str">
        <f>RawTable[[#This Row],[Month]]</f>
        <v>Jan-2026</v>
      </c>
      <c r="H233" s="11" t="str">
        <f>RawTable[[#This Row],[Currency]]</f>
        <v>CHF</v>
      </c>
      <c r="I233" s="4">
        <f>RawTable[[#This Row],[Net_Amount]]</f>
        <v>5351.84</v>
      </c>
      <c r="J233" s="2" t="str">
        <f>RawTable[[#This Row],[VAT_Applicable]]</f>
        <v>No</v>
      </c>
      <c r="K233" s="4">
        <f>RawTable[[#This Row],[VAT_Rate]]</f>
        <v>0</v>
      </c>
      <c r="L233" s="4">
        <f>RawTable[[#This Row],[VAT_Amount]]</f>
        <v>0</v>
      </c>
      <c r="M233" s="4">
        <f>RawTable[[#This Row],[Gross_Amount]]</f>
        <v>5351.84</v>
      </c>
      <c r="N233" s="4">
        <f>RawTable[[#This Row],[Exchange_Rate]]</f>
        <v>1</v>
      </c>
      <c r="O233" s="4">
        <f>RawTable[[#This Row],[Amount_CHF]]</f>
        <v>5351.84</v>
      </c>
      <c r="P23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3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33" s="11" t="str">
        <f>IF(ValidationTable[[#This Row],[Currency]]="","Fail","Pass")</f>
        <v>Pass</v>
      </c>
      <c r="S233" s="11" t="str">
        <f>IF(
ValidationTable[[#This Row],[Currency]]="CHF",
IF(ValidationTable[[#This Row],[Exchange_Rate]]&lt;&gt;1,"Fail","Pass"),
IF(ValidationTable[[#This Row],[Exchange_Rate]]&lt;=0,"Fail","Pass")
)</f>
        <v>Pass</v>
      </c>
      <c r="T23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33" s="11" t="str">
        <f>IF(LEN(TRIM(ValidationTable[[#This Row],[Bank_Account]]))=0,"Fail","Pass")</f>
        <v>Pass</v>
      </c>
      <c r="V233" s="11" t="str">
        <f>IF(
COUNTIF(ValidationTable[Record_ID],ValidationTable[[#This Row],[Record_ID]])&gt;1,
"Fail",
"Pass"
)</f>
        <v>Pass</v>
      </c>
      <c r="W233" s="11" t="str">
        <f>IF(
COUNTIF(ValidationTable[[#This Row],[RequiredField_Validation]]:ValidationTable[[#This Row],[Duplicate_Validation]],"Fail")&gt;0,
"Fail",
"Pass"
)</f>
        <v>Pass</v>
      </c>
      <c r="X233" s="11" t="str">
        <f>IF(ValidationTable[[#This Row],[Validation_Result]]="Pass","Yes","No")</f>
        <v>Yes</v>
      </c>
    </row>
    <row r="234" spans="1:24">
      <c r="A234" s="11">
        <f>RawTable[[#This Row],[Record_ID]]</f>
        <v>233</v>
      </c>
      <c r="B234" s="11" t="str">
        <f>RawTable[[#This Row],[Payment_Type]]</f>
        <v>Contractor_Fee</v>
      </c>
      <c r="C234" s="11" t="str">
        <f>RawTable[[#This Row],[Entity_Type]]</f>
        <v>Contractor</v>
      </c>
      <c r="D234" s="11" t="str">
        <f>RawTable[[#This Row],[Country]]</f>
        <v>UAE</v>
      </c>
      <c r="E234" s="11" t="str">
        <f>RawTable[[#This Row],[Name]]</f>
        <v>Omar Wilson</v>
      </c>
      <c r="F234" s="11" t="str">
        <f>RawTable[[#This Row],[Bank_Account]]</f>
        <v>US-RT-000053062-AC-0000244154</v>
      </c>
      <c r="G234" s="11" t="str">
        <f>RawTable[[#This Row],[Month]]</f>
        <v>Feb-2026</v>
      </c>
      <c r="H234" s="11" t="str">
        <f>RawTable[[#This Row],[Currency]]</f>
        <v>AED</v>
      </c>
      <c r="I234" s="4">
        <f>RawTable[[#This Row],[Net_Amount]]</f>
        <v>16656.64</v>
      </c>
      <c r="J234" s="2" t="str">
        <f>RawTable[[#This Row],[VAT_Applicable]]</f>
        <v>No</v>
      </c>
      <c r="K234" s="4">
        <f>RawTable[[#This Row],[VAT_Rate]]</f>
        <v>0</v>
      </c>
      <c r="L234" s="4">
        <f>RawTable[[#This Row],[VAT_Amount]]</f>
        <v>0</v>
      </c>
      <c r="M234" s="4">
        <f>RawTable[[#This Row],[Gross_Amount]]</f>
        <v>16656.64</v>
      </c>
      <c r="N234" s="4">
        <f>RawTable[[#This Row],[Exchange_Rate]]</f>
        <v>0.21065</v>
      </c>
      <c r="O234" s="4">
        <f>RawTable[[#This Row],[Amount_CHF]]</f>
        <v>3508.72</v>
      </c>
      <c r="P23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3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34" s="11" t="str">
        <f>IF(ValidationTable[[#This Row],[Currency]]="","Fail","Pass")</f>
        <v>Pass</v>
      </c>
      <c r="S234" s="11" t="str">
        <f>IF(
ValidationTable[[#This Row],[Currency]]="CHF",
IF(ValidationTable[[#This Row],[Exchange_Rate]]&lt;&gt;1,"Fail","Pass"),
IF(ValidationTable[[#This Row],[Exchange_Rate]]&lt;=0,"Fail","Pass")
)</f>
        <v>Pass</v>
      </c>
      <c r="T23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34" s="11" t="str">
        <f>IF(LEN(TRIM(ValidationTable[[#This Row],[Bank_Account]]))=0,"Fail","Pass")</f>
        <v>Pass</v>
      </c>
      <c r="V234" s="11" t="str">
        <f>IF(
COUNTIF(ValidationTable[Record_ID],ValidationTable[[#This Row],[Record_ID]])&gt;1,
"Fail",
"Pass"
)</f>
        <v>Pass</v>
      </c>
      <c r="W234" s="11" t="str">
        <f>IF(
COUNTIF(ValidationTable[[#This Row],[RequiredField_Validation]]:ValidationTable[[#This Row],[Duplicate_Validation]],"Fail")&gt;0,
"Fail",
"Pass"
)</f>
        <v>Pass</v>
      </c>
      <c r="X234" s="11" t="str">
        <f>IF(ValidationTable[[#This Row],[Validation_Result]]="Pass","Yes","No")</f>
        <v>Yes</v>
      </c>
    </row>
    <row r="235" spans="1:24">
      <c r="A235" s="11">
        <f>RawTable[[#This Row],[Record_ID]]</f>
        <v>234</v>
      </c>
      <c r="B235" s="11" t="str">
        <f>RawTable[[#This Row],[Payment_Type]]</f>
        <v>Contractor_Fee</v>
      </c>
      <c r="C235" s="11" t="str">
        <f>RawTable[[#This Row],[Entity_Type]]</f>
        <v>Contractor</v>
      </c>
      <c r="D235" s="11" t="str">
        <f>RawTable[[#This Row],[Country]]</f>
        <v>Germany</v>
      </c>
      <c r="E235" s="11" t="str">
        <f>RawTable[[#This Row],[Name]]</f>
        <v>Julia Johnson</v>
      </c>
      <c r="F235" s="11" t="str">
        <f>RawTable[[#This Row],[Bank_Account]]</f>
        <v>CH930000000000715720</v>
      </c>
      <c r="G235" s="11" t="str">
        <f>RawTable[[#This Row],[Month]]</f>
        <v>Feb-2026</v>
      </c>
      <c r="H235" s="11" t="str">
        <f>RawTable[[#This Row],[Currency]]</f>
        <v>EUR</v>
      </c>
      <c r="I235" s="4">
        <f>RawTable[[#This Row],[Net_Amount]]</f>
        <v>5246.4</v>
      </c>
      <c r="J235" s="2" t="str">
        <f>RawTable[[#This Row],[VAT_Applicable]]</f>
        <v>No</v>
      </c>
      <c r="K235" s="4">
        <f>RawTable[[#This Row],[VAT_Rate]]</f>
        <v>0</v>
      </c>
      <c r="L235" s="4">
        <f>RawTable[[#This Row],[VAT_Amount]]</f>
        <v>0</v>
      </c>
      <c r="M235" s="4">
        <f>RawTable[[#This Row],[Gross_Amount]]</f>
        <v>5246.4</v>
      </c>
      <c r="N235" s="4">
        <f>RawTable[[#This Row],[Exchange_Rate]]</f>
        <v>0.90888000000000002</v>
      </c>
      <c r="O235" s="4">
        <f>RawTable[[#This Row],[Amount_CHF]]</f>
        <v>4768.3500000000004</v>
      </c>
      <c r="P23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3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35" s="11" t="str">
        <f>IF(ValidationTable[[#This Row],[Currency]]="","Fail","Pass")</f>
        <v>Pass</v>
      </c>
      <c r="S235" s="11" t="str">
        <f>IF(
ValidationTable[[#This Row],[Currency]]="CHF",
IF(ValidationTable[[#This Row],[Exchange_Rate]]&lt;&gt;1,"Fail","Pass"),
IF(ValidationTable[[#This Row],[Exchange_Rate]]&lt;=0,"Fail","Pass")
)</f>
        <v>Pass</v>
      </c>
      <c r="T23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35" s="11" t="str">
        <f>IF(LEN(TRIM(ValidationTable[[#This Row],[Bank_Account]]))=0,"Fail","Pass")</f>
        <v>Pass</v>
      </c>
      <c r="V235" s="11" t="str">
        <f>IF(
COUNTIF(ValidationTable[Record_ID],ValidationTable[[#This Row],[Record_ID]])&gt;1,
"Fail",
"Pass"
)</f>
        <v>Pass</v>
      </c>
      <c r="W235" s="11" t="str">
        <f>IF(
COUNTIF(ValidationTable[[#This Row],[RequiredField_Validation]]:ValidationTable[[#This Row],[Duplicate_Validation]],"Fail")&gt;0,
"Fail",
"Pass"
)</f>
        <v>Pass</v>
      </c>
      <c r="X235" s="11" t="str">
        <f>IF(ValidationTable[[#This Row],[Validation_Result]]="Pass","Yes","No")</f>
        <v>Yes</v>
      </c>
    </row>
    <row r="236" spans="1:24">
      <c r="A236" s="11">
        <f>RawTable[[#This Row],[Record_ID]]</f>
        <v>235</v>
      </c>
      <c r="B236" s="11" t="str">
        <f>RawTable[[#This Row],[Payment_Type]]</f>
        <v>Contractor_Fee</v>
      </c>
      <c r="C236" s="11" t="str">
        <f>RawTable[[#This Row],[Entity_Type]]</f>
        <v>Contractor</v>
      </c>
      <c r="D236" s="11" t="str">
        <f>RawTable[[#This Row],[Country]]</f>
        <v>Switzerland</v>
      </c>
      <c r="E236" s="11" t="str">
        <f>RawTable[[#This Row],[Name]]</f>
        <v>Michael Taylor</v>
      </c>
      <c r="F236" s="11" t="str">
        <f>RawTable[[#This Row],[Bank_Account]]</f>
        <v>US-RT-000024680-AC-0000113560</v>
      </c>
      <c r="G236" s="11" t="str">
        <f>RawTable[[#This Row],[Month]]</f>
        <v>Feb-2026</v>
      </c>
      <c r="H236" s="11" t="str">
        <f>RawTable[[#This Row],[Currency]]</f>
        <v>CHF</v>
      </c>
      <c r="I236" s="4">
        <f>RawTable[[#This Row],[Net_Amount]]</f>
        <v>5544.76</v>
      </c>
      <c r="J236" s="2" t="str">
        <f>RawTable[[#This Row],[VAT_Applicable]]</f>
        <v>No</v>
      </c>
      <c r="K236" s="4">
        <f>RawTable[[#This Row],[VAT_Rate]]</f>
        <v>0</v>
      </c>
      <c r="L236" s="4">
        <f>RawTable[[#This Row],[VAT_Amount]]</f>
        <v>0</v>
      </c>
      <c r="M236" s="4">
        <f>RawTable[[#This Row],[Gross_Amount]]</f>
        <v>5544.76</v>
      </c>
      <c r="N236" s="4">
        <f>RawTable[[#This Row],[Exchange_Rate]]</f>
        <v>1</v>
      </c>
      <c r="O236" s="4">
        <f>RawTable[[#This Row],[Amount_CHF]]</f>
        <v>5544.76</v>
      </c>
      <c r="P23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3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36" s="11" t="str">
        <f>IF(ValidationTable[[#This Row],[Currency]]="","Fail","Pass")</f>
        <v>Pass</v>
      </c>
      <c r="S236" s="11" t="str">
        <f>IF(
ValidationTable[[#This Row],[Currency]]="CHF",
IF(ValidationTable[[#This Row],[Exchange_Rate]]&lt;&gt;1,"Fail","Pass"),
IF(ValidationTable[[#This Row],[Exchange_Rate]]&lt;=0,"Fail","Pass")
)</f>
        <v>Pass</v>
      </c>
      <c r="T23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36" s="11" t="str">
        <f>IF(LEN(TRIM(ValidationTable[[#This Row],[Bank_Account]]))=0,"Fail","Pass")</f>
        <v>Pass</v>
      </c>
      <c r="V236" s="11" t="str">
        <f>IF(
COUNTIF(ValidationTable[Record_ID],ValidationTable[[#This Row],[Record_ID]])&gt;1,
"Fail",
"Pass"
)</f>
        <v>Pass</v>
      </c>
      <c r="W236" s="11" t="str">
        <f>IF(
COUNTIF(ValidationTable[[#This Row],[RequiredField_Validation]]:ValidationTable[[#This Row],[Duplicate_Validation]],"Fail")&gt;0,
"Fail",
"Pass"
)</f>
        <v>Pass</v>
      </c>
      <c r="X236" s="11" t="str">
        <f>IF(ValidationTable[[#This Row],[Validation_Result]]="Pass","Yes","No")</f>
        <v>Yes</v>
      </c>
    </row>
    <row r="237" spans="1:24">
      <c r="A237" s="11">
        <f>RawTable[[#This Row],[Record_ID]]</f>
        <v>236</v>
      </c>
      <c r="B237" s="11" t="str">
        <f>RawTable[[#This Row],[Payment_Type]]</f>
        <v>Contractor_Fee</v>
      </c>
      <c r="C237" s="11" t="str">
        <f>RawTable[[#This Row],[Entity_Type]]</f>
        <v>Contractor</v>
      </c>
      <c r="D237" s="11" t="str">
        <f>RawTable[[#This Row],[Country]]</f>
        <v>USA</v>
      </c>
      <c r="E237" s="11" t="str">
        <f>RawTable[[#This Row],[Name]]</f>
        <v>Lina Wilson</v>
      </c>
      <c r="F237" s="11" t="str">
        <f>RawTable[[#This Row],[Bank_Account]]</f>
        <v>US-RT-000012340-AC-0000056780</v>
      </c>
      <c r="G237" s="11" t="str">
        <f>RawTable[[#This Row],[Month]]</f>
        <v>Jan-2026</v>
      </c>
      <c r="H237" s="11" t="str">
        <f>RawTable[[#This Row],[Currency]]</f>
        <v>USD</v>
      </c>
      <c r="I237" s="4">
        <f>RawTable[[#This Row],[Net_Amount]]</f>
        <v>5967.92</v>
      </c>
      <c r="J237" s="2" t="str">
        <f>RawTable[[#This Row],[VAT_Applicable]]</f>
        <v>No</v>
      </c>
      <c r="K237" s="4">
        <f>RawTable[[#This Row],[VAT_Rate]]</f>
        <v>0</v>
      </c>
      <c r="L237" s="4">
        <f>RawTable[[#This Row],[VAT_Amount]]</f>
        <v>0</v>
      </c>
      <c r="M237" s="4">
        <f>RawTable[[#This Row],[Gross_Amount]]</f>
        <v>5967.92</v>
      </c>
      <c r="N237" s="4">
        <f>RawTable[[#This Row],[Exchange_Rate]]</f>
        <v>0.77017999999999998</v>
      </c>
      <c r="O237" s="4">
        <f>RawTable[[#This Row],[Amount_CHF]]</f>
        <v>4596.37</v>
      </c>
      <c r="P23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3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37" s="11" t="str">
        <f>IF(ValidationTable[[#This Row],[Currency]]="","Fail","Pass")</f>
        <v>Pass</v>
      </c>
      <c r="S237" s="11" t="str">
        <f>IF(
ValidationTable[[#This Row],[Currency]]="CHF",
IF(ValidationTable[[#This Row],[Exchange_Rate]]&lt;&gt;1,"Fail","Pass"),
IF(ValidationTable[[#This Row],[Exchange_Rate]]&lt;=0,"Fail","Pass")
)</f>
        <v>Pass</v>
      </c>
      <c r="T23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37" s="11" t="str">
        <f>IF(LEN(TRIM(ValidationTable[[#This Row],[Bank_Account]]))=0,"Fail","Pass")</f>
        <v>Pass</v>
      </c>
      <c r="V237" s="11" t="str">
        <f>IF(
COUNTIF(ValidationTable[Record_ID],ValidationTable[[#This Row],[Record_ID]])&gt;1,
"Fail",
"Pass"
)</f>
        <v>Pass</v>
      </c>
      <c r="W237" s="11" t="str">
        <f>IF(
COUNTIF(ValidationTable[[#This Row],[RequiredField_Validation]]:ValidationTable[[#This Row],[Duplicate_Validation]],"Fail")&gt;0,
"Fail",
"Pass"
)</f>
        <v>Pass</v>
      </c>
      <c r="X237" s="11" t="str">
        <f>IF(ValidationTable[[#This Row],[Validation_Result]]="Pass","Yes","No")</f>
        <v>Yes</v>
      </c>
    </row>
    <row r="238" spans="1:24">
      <c r="A238" s="11">
        <f>RawTable[[#This Row],[Record_ID]]</f>
        <v>237</v>
      </c>
      <c r="B238" s="11" t="str">
        <f>RawTable[[#This Row],[Payment_Type]]</f>
        <v>Contractor_Fee</v>
      </c>
      <c r="C238" s="11" t="str">
        <f>RawTable[[#This Row],[Entity_Type]]</f>
        <v>Contractor</v>
      </c>
      <c r="D238" s="11" t="str">
        <f>RawTable[[#This Row],[Country]]</f>
        <v>Germany</v>
      </c>
      <c r="E238" s="11" t="str">
        <f>RawTable[[#This Row],[Name]]</f>
        <v>Laura Smith</v>
      </c>
      <c r="F238" s="11" t="str">
        <f>RawTable[[#This Row],[Bank_Account]]</f>
        <v>DE890000000001208531</v>
      </c>
      <c r="G238" s="11" t="str">
        <f>RawTable[[#This Row],[Month]]</f>
        <v>Feb-2026</v>
      </c>
      <c r="H238" s="11" t="str">
        <f>RawTable[[#This Row],[Currency]]</f>
        <v>EUR</v>
      </c>
      <c r="I238" s="4">
        <f>RawTable[[#This Row],[Net_Amount]]</f>
        <v>4983.84</v>
      </c>
      <c r="J238" s="2" t="str">
        <f>RawTable[[#This Row],[VAT_Applicable]]</f>
        <v>No</v>
      </c>
      <c r="K238" s="4">
        <f>RawTable[[#This Row],[VAT_Rate]]</f>
        <v>0</v>
      </c>
      <c r="L238" s="4">
        <f>RawTable[[#This Row],[VAT_Amount]]</f>
        <v>0</v>
      </c>
      <c r="M238" s="4">
        <f>RawTable[[#This Row],[Gross_Amount]]</f>
        <v>4983.84</v>
      </c>
      <c r="N238" s="4">
        <f>RawTable[[#This Row],[Exchange_Rate]]</f>
        <v>0.90888000000000002</v>
      </c>
      <c r="O238" s="4">
        <f>RawTable[[#This Row],[Amount_CHF]]</f>
        <v>4529.71</v>
      </c>
      <c r="P23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3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38" s="11" t="str">
        <f>IF(ValidationTable[[#This Row],[Currency]]="","Fail","Pass")</f>
        <v>Pass</v>
      </c>
      <c r="S238" s="11" t="str">
        <f>IF(
ValidationTable[[#This Row],[Currency]]="CHF",
IF(ValidationTable[[#This Row],[Exchange_Rate]]&lt;&gt;1,"Fail","Pass"),
IF(ValidationTable[[#This Row],[Exchange_Rate]]&lt;=0,"Fail","Pass")
)</f>
        <v>Pass</v>
      </c>
      <c r="T23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38" s="11" t="str">
        <f>IF(LEN(TRIM(ValidationTable[[#This Row],[Bank_Account]]))=0,"Fail","Pass")</f>
        <v>Pass</v>
      </c>
      <c r="V238" s="11" t="str">
        <f>IF(
COUNTIF(ValidationTable[Record_ID],ValidationTable[[#This Row],[Record_ID]])&gt;1,
"Fail",
"Pass"
)</f>
        <v>Pass</v>
      </c>
      <c r="W238" s="11" t="str">
        <f>IF(
COUNTIF(ValidationTable[[#This Row],[RequiredField_Validation]]:ValidationTable[[#This Row],[Duplicate_Validation]],"Fail")&gt;0,
"Fail",
"Pass"
)</f>
        <v>Pass</v>
      </c>
      <c r="X238" s="11" t="str">
        <f>IF(ValidationTable[[#This Row],[Validation_Result]]="Pass","Yes","No")</f>
        <v>Yes</v>
      </c>
    </row>
    <row r="239" spans="1:24">
      <c r="A239" s="11">
        <f>RawTable[[#This Row],[Record_ID]]</f>
        <v>238</v>
      </c>
      <c r="B239" s="11" t="str">
        <f>RawTable[[#This Row],[Payment_Type]]</f>
        <v>Contractor_Fee</v>
      </c>
      <c r="C239" s="11" t="str">
        <f>RawTable[[#This Row],[Entity_Type]]</f>
        <v>Contractor</v>
      </c>
      <c r="D239" s="11" t="str">
        <f>RawTable[[#This Row],[Country]]</f>
        <v>UAE</v>
      </c>
      <c r="E239" s="11" t="str">
        <f>RawTable[[#This Row],[Name]]</f>
        <v>Laura Taylor</v>
      </c>
      <c r="F239" s="11" t="str">
        <f>RawTable[[#This Row],[Bank_Account]]</f>
        <v>DE890000000000977688</v>
      </c>
      <c r="G239" s="11" t="str">
        <f>RawTable[[#This Row],[Month]]</f>
        <v>Jan-2026</v>
      </c>
      <c r="H239" s="11" t="str">
        <f>RawTable[[#This Row],[Currency]]</f>
        <v>AED</v>
      </c>
      <c r="I239" s="4">
        <f>RawTable[[#This Row],[Net_Amount]]</f>
        <v>17163.52</v>
      </c>
      <c r="J239" s="2" t="str">
        <f>RawTable[[#This Row],[VAT_Applicable]]</f>
        <v>No</v>
      </c>
      <c r="K239" s="4">
        <f>RawTable[[#This Row],[VAT_Rate]]</f>
        <v>0</v>
      </c>
      <c r="L239" s="4">
        <f>RawTable[[#This Row],[VAT_Amount]]</f>
        <v>0</v>
      </c>
      <c r="M239" s="4">
        <f>RawTable[[#This Row],[Gross_Amount]]</f>
        <v>17163.52</v>
      </c>
      <c r="N239" s="4">
        <f>RawTable[[#This Row],[Exchange_Rate]]</f>
        <v>0.21065</v>
      </c>
      <c r="O239" s="4">
        <f>RawTable[[#This Row],[Amount_CHF]]</f>
        <v>3615.5</v>
      </c>
      <c r="P23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3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39" s="11" t="str">
        <f>IF(ValidationTable[[#This Row],[Currency]]="","Fail","Pass")</f>
        <v>Pass</v>
      </c>
      <c r="S239" s="11" t="str">
        <f>IF(
ValidationTable[[#This Row],[Currency]]="CHF",
IF(ValidationTable[[#This Row],[Exchange_Rate]]&lt;&gt;1,"Fail","Pass"),
IF(ValidationTable[[#This Row],[Exchange_Rate]]&lt;=0,"Fail","Pass")
)</f>
        <v>Pass</v>
      </c>
      <c r="T23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39" s="11" t="str">
        <f>IF(LEN(TRIM(ValidationTable[[#This Row],[Bank_Account]]))=0,"Fail","Pass")</f>
        <v>Pass</v>
      </c>
      <c r="V239" s="11" t="str">
        <f>IF(
COUNTIF(ValidationTable[Record_ID],ValidationTable[[#This Row],[Record_ID]])&gt;1,
"Fail",
"Pass"
)</f>
        <v>Pass</v>
      </c>
      <c r="W239" s="11" t="str">
        <f>IF(
COUNTIF(ValidationTable[[#This Row],[RequiredField_Validation]]:ValidationTable[[#This Row],[Duplicate_Validation]],"Fail")&gt;0,
"Fail",
"Pass"
)</f>
        <v>Pass</v>
      </c>
      <c r="X239" s="11" t="str">
        <f>IF(ValidationTable[[#This Row],[Validation_Result]]="Pass","Yes","No")</f>
        <v>Yes</v>
      </c>
    </row>
    <row r="240" spans="1:24">
      <c r="A240" s="11">
        <f>RawTable[[#This Row],[Record_ID]]</f>
        <v>239</v>
      </c>
      <c r="B240" s="11" t="str">
        <f>RawTable[[#This Row],[Payment_Type]]</f>
        <v>Contractor_Fee</v>
      </c>
      <c r="C240" s="11" t="str">
        <f>RawTable[[#This Row],[Entity_Type]]</f>
        <v>Contractor</v>
      </c>
      <c r="D240" s="11" t="str">
        <f>RawTable[[#This Row],[Country]]</f>
        <v>UAE</v>
      </c>
      <c r="E240" s="11" t="str">
        <f>RawTable[[#This Row],[Name]]</f>
        <v>Ahmed Brown</v>
      </c>
      <c r="F240" s="11" t="str">
        <f>RawTable[[#This Row],[Bank_Account]]</f>
        <v>US-RT-000102422-AC-0000471274</v>
      </c>
      <c r="G240" s="11" t="str">
        <f>RawTable[[#This Row],[Month]]</f>
        <v>Mar-2026</v>
      </c>
      <c r="H240" s="11" t="str">
        <f>RawTable[[#This Row],[Currency]]</f>
        <v>AED</v>
      </c>
      <c r="I240" s="4">
        <f>RawTable[[#This Row],[Net_Amount]]</f>
        <v>17941.439999999999</v>
      </c>
      <c r="J240" s="2" t="str">
        <f>RawTable[[#This Row],[VAT_Applicable]]</f>
        <v>No</v>
      </c>
      <c r="K240" s="4">
        <f>RawTable[[#This Row],[VAT_Rate]]</f>
        <v>0</v>
      </c>
      <c r="L240" s="4">
        <f>RawTable[[#This Row],[VAT_Amount]]</f>
        <v>0</v>
      </c>
      <c r="M240" s="4">
        <f>RawTable[[#This Row],[Gross_Amount]]</f>
        <v>17941.439999999999</v>
      </c>
      <c r="N240" s="4">
        <f>RawTable[[#This Row],[Exchange_Rate]]</f>
        <v>0.21065</v>
      </c>
      <c r="O240" s="4">
        <f>RawTable[[#This Row],[Amount_CHF]]</f>
        <v>3779.36</v>
      </c>
      <c r="P24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4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40" s="11" t="str">
        <f>IF(ValidationTable[[#This Row],[Currency]]="","Fail","Pass")</f>
        <v>Pass</v>
      </c>
      <c r="S240" s="11" t="str">
        <f>IF(
ValidationTable[[#This Row],[Currency]]="CHF",
IF(ValidationTable[[#This Row],[Exchange_Rate]]&lt;&gt;1,"Fail","Pass"),
IF(ValidationTable[[#This Row],[Exchange_Rate]]&lt;=0,"Fail","Pass")
)</f>
        <v>Pass</v>
      </c>
      <c r="T24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40" s="11" t="str">
        <f>IF(LEN(TRIM(ValidationTable[[#This Row],[Bank_Account]]))=0,"Fail","Pass")</f>
        <v>Pass</v>
      </c>
      <c r="V240" s="11" t="str">
        <f>IF(
COUNTIF(ValidationTable[Record_ID],ValidationTable[[#This Row],[Record_ID]])&gt;1,
"Fail",
"Pass"
)</f>
        <v>Pass</v>
      </c>
      <c r="W240" s="11" t="str">
        <f>IF(
COUNTIF(ValidationTable[[#This Row],[RequiredField_Validation]]:ValidationTable[[#This Row],[Duplicate_Validation]],"Fail")&gt;0,
"Fail",
"Pass"
)</f>
        <v>Pass</v>
      </c>
      <c r="X240" s="11" t="str">
        <f>IF(ValidationTable[[#This Row],[Validation_Result]]="Pass","Yes","No")</f>
        <v>Yes</v>
      </c>
    </row>
    <row r="241" spans="1:24">
      <c r="A241" s="11">
        <f>RawTable[[#This Row],[Record_ID]]</f>
        <v>240</v>
      </c>
      <c r="B241" s="11" t="str">
        <f>RawTable[[#This Row],[Payment_Type]]</f>
        <v>Contractor_Fee</v>
      </c>
      <c r="C241" s="11" t="str">
        <f>RawTable[[#This Row],[Entity_Type]]</f>
        <v>Contractor</v>
      </c>
      <c r="D241" s="11" t="str">
        <f>RawTable[[#This Row],[Country]]</f>
        <v>UAE</v>
      </c>
      <c r="E241" s="11" t="str">
        <f>RawTable[[#This Row],[Name]]</f>
        <v>Anna Smith</v>
      </c>
      <c r="F241" s="11" t="str">
        <f>RawTable[[#This Row],[Bank_Account]]</f>
        <v>CH930000000002023760</v>
      </c>
      <c r="G241" s="11" t="str">
        <f>RawTable[[#This Row],[Month]]</f>
        <v>Feb-2026</v>
      </c>
      <c r="H241" s="11" t="str">
        <f>RawTable[[#This Row],[Currency]]</f>
        <v>AED</v>
      </c>
      <c r="I241" s="4">
        <f>RawTable[[#This Row],[Net_Amount]]</f>
        <v>17874.560000000001</v>
      </c>
      <c r="J241" s="2" t="str">
        <f>RawTable[[#This Row],[VAT_Applicable]]</f>
        <v>No</v>
      </c>
      <c r="K241" s="4">
        <f>RawTable[[#This Row],[VAT_Rate]]</f>
        <v>0</v>
      </c>
      <c r="L241" s="4">
        <f>RawTable[[#This Row],[VAT_Amount]]</f>
        <v>0</v>
      </c>
      <c r="M241" s="4">
        <f>RawTable[[#This Row],[Gross_Amount]]</f>
        <v>17874.560000000001</v>
      </c>
      <c r="N241" s="4">
        <f>RawTable[[#This Row],[Exchange_Rate]]</f>
        <v>0.21065</v>
      </c>
      <c r="O241" s="4">
        <f>RawTable[[#This Row],[Amount_CHF]]</f>
        <v>3765.28</v>
      </c>
      <c r="P24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4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41" s="11" t="str">
        <f>IF(ValidationTable[[#This Row],[Currency]]="","Fail","Pass")</f>
        <v>Pass</v>
      </c>
      <c r="S241" s="11" t="str">
        <f>IF(
ValidationTable[[#This Row],[Currency]]="CHF",
IF(ValidationTable[[#This Row],[Exchange_Rate]]&lt;&gt;1,"Fail","Pass"),
IF(ValidationTable[[#This Row],[Exchange_Rate]]&lt;=0,"Fail","Pass")
)</f>
        <v>Pass</v>
      </c>
      <c r="T24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41" s="11" t="str">
        <f>IF(LEN(TRIM(ValidationTable[[#This Row],[Bank_Account]]))=0,"Fail","Pass")</f>
        <v>Pass</v>
      </c>
      <c r="V241" s="11" t="str">
        <f>IF(
COUNTIF(ValidationTable[Record_ID],ValidationTable[[#This Row],[Record_ID]])&gt;1,
"Fail",
"Pass"
)</f>
        <v>Pass</v>
      </c>
      <c r="W241" s="11" t="str">
        <f>IF(
COUNTIF(ValidationTable[[#This Row],[RequiredField_Validation]]:ValidationTable[[#This Row],[Duplicate_Validation]],"Fail")&gt;0,
"Fail",
"Pass"
)</f>
        <v>Pass</v>
      </c>
      <c r="X241" s="11" t="str">
        <f>IF(ValidationTable[[#This Row],[Validation_Result]]="Pass","Yes","No")</f>
        <v>Yes</v>
      </c>
    </row>
    <row r="242" spans="1:24">
      <c r="A242" s="11">
        <f>RawTable[[#This Row],[Record_ID]]</f>
        <v>241</v>
      </c>
      <c r="B242" s="11" t="str">
        <f>RawTable[[#This Row],[Payment_Type]]</f>
        <v>Contractor_Fee</v>
      </c>
      <c r="C242" s="11" t="str">
        <f>RawTable[[#This Row],[Entity_Type]]</f>
        <v>Contractor</v>
      </c>
      <c r="D242" s="11" t="str">
        <f>RawTable[[#This Row],[Country]]</f>
        <v>Switzerland</v>
      </c>
      <c r="E242" s="11" t="str">
        <f>RawTable[[#This Row],[Name]]</f>
        <v>David Johnson</v>
      </c>
      <c r="F242" s="11" t="str">
        <f>RawTable[[#This Row],[Bank_Account]]</f>
        <v>CH930000000002221200</v>
      </c>
      <c r="G242" s="11" t="str">
        <f>RawTable[[#This Row],[Month]]</f>
        <v>Jan-2026</v>
      </c>
      <c r="H242" s="11" t="str">
        <f>RawTable[[#This Row],[Currency]]</f>
        <v>CHF</v>
      </c>
      <c r="I242" s="4">
        <f>RawTable[[#This Row],[Net_Amount]]</f>
        <v>5534.88</v>
      </c>
      <c r="J242" s="2" t="str">
        <f>RawTable[[#This Row],[VAT_Applicable]]</f>
        <v>No</v>
      </c>
      <c r="K242" s="4">
        <f>RawTable[[#This Row],[VAT_Rate]]</f>
        <v>0</v>
      </c>
      <c r="L242" s="4">
        <f>RawTable[[#This Row],[VAT_Amount]]</f>
        <v>0</v>
      </c>
      <c r="M242" s="4">
        <f>RawTable[[#This Row],[Gross_Amount]]</f>
        <v>5534.88</v>
      </c>
      <c r="N242" s="4">
        <f>RawTable[[#This Row],[Exchange_Rate]]</f>
        <v>1</v>
      </c>
      <c r="O242" s="4">
        <f>RawTable[[#This Row],[Amount_CHF]]</f>
        <v>5534.88</v>
      </c>
      <c r="P24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4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42" s="11" t="str">
        <f>IF(ValidationTable[[#This Row],[Currency]]="","Fail","Pass")</f>
        <v>Pass</v>
      </c>
      <c r="S242" s="11" t="str">
        <f>IF(
ValidationTable[[#This Row],[Currency]]="CHF",
IF(ValidationTable[[#This Row],[Exchange_Rate]]&lt;&gt;1,"Fail","Pass"),
IF(ValidationTable[[#This Row],[Exchange_Rate]]&lt;=0,"Fail","Pass")
)</f>
        <v>Pass</v>
      </c>
      <c r="T24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42" s="11" t="str">
        <f>IF(LEN(TRIM(ValidationTable[[#This Row],[Bank_Account]]))=0,"Fail","Pass")</f>
        <v>Pass</v>
      </c>
      <c r="V242" s="11" t="str">
        <f>IF(
COUNTIF(ValidationTable[Record_ID],ValidationTable[[#This Row],[Record_ID]])&gt;1,
"Fail",
"Pass"
)</f>
        <v>Pass</v>
      </c>
      <c r="W242" s="11" t="str">
        <f>IF(
COUNTIF(ValidationTable[[#This Row],[RequiredField_Validation]]:ValidationTable[[#This Row],[Duplicate_Validation]],"Fail")&gt;0,
"Fail",
"Pass"
)</f>
        <v>Pass</v>
      </c>
      <c r="X242" s="11" t="str">
        <f>IF(ValidationTable[[#This Row],[Validation_Result]]="Pass","Yes","No")</f>
        <v>Yes</v>
      </c>
    </row>
    <row r="243" spans="1:24">
      <c r="A243" s="11">
        <f>RawTable[[#This Row],[Record_ID]]</f>
        <v>242</v>
      </c>
      <c r="B243" s="11" t="str">
        <f>RawTable[[#This Row],[Payment_Type]]</f>
        <v>Contractor_Fee</v>
      </c>
      <c r="C243" s="11" t="str">
        <f>RawTable[[#This Row],[Entity_Type]]</f>
        <v>Contractor</v>
      </c>
      <c r="D243" s="11" t="str">
        <f>RawTable[[#This Row],[Country]]</f>
        <v>Switzerland</v>
      </c>
      <c r="E243" s="11" t="str">
        <f>RawTable[[#This Row],[Name]]</f>
        <v>David Johnson</v>
      </c>
      <c r="F243" s="11" t="str">
        <f>RawTable[[#This Row],[Bank_Account]]</f>
        <v>CH930000000002221200</v>
      </c>
      <c r="G243" s="11" t="str">
        <f>RawTable[[#This Row],[Month]]</f>
        <v>Feb-2026</v>
      </c>
      <c r="H243" s="11" t="str">
        <f>RawTable[[#This Row],[Currency]]</f>
        <v>CHF</v>
      </c>
      <c r="I243" s="4">
        <f>RawTable[[#This Row],[Net_Amount]]</f>
        <v>5645.58</v>
      </c>
      <c r="J243" s="2" t="str">
        <f>RawTable[[#This Row],[VAT_Applicable]]</f>
        <v>No</v>
      </c>
      <c r="K243" s="4">
        <f>RawTable[[#This Row],[VAT_Rate]]</f>
        <v>0</v>
      </c>
      <c r="L243" s="4">
        <f>RawTable[[#This Row],[VAT_Amount]]</f>
        <v>0</v>
      </c>
      <c r="M243" s="4">
        <f>RawTable[[#This Row],[Gross_Amount]]</f>
        <v>5645.58</v>
      </c>
      <c r="N243" s="4">
        <f>RawTable[[#This Row],[Exchange_Rate]]</f>
        <v>1</v>
      </c>
      <c r="O243" s="4">
        <f>RawTable[[#This Row],[Amount_CHF]]</f>
        <v>5645.58</v>
      </c>
      <c r="P24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4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43" s="11" t="str">
        <f>IF(ValidationTable[[#This Row],[Currency]]="","Fail","Pass")</f>
        <v>Pass</v>
      </c>
      <c r="S243" s="11" t="str">
        <f>IF(
ValidationTable[[#This Row],[Currency]]="CHF",
IF(ValidationTable[[#This Row],[Exchange_Rate]]&lt;&gt;1,"Fail","Pass"),
IF(ValidationTable[[#This Row],[Exchange_Rate]]&lt;=0,"Fail","Pass")
)</f>
        <v>Pass</v>
      </c>
      <c r="T24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43" s="11" t="str">
        <f>IF(LEN(TRIM(ValidationTable[[#This Row],[Bank_Account]]))=0,"Fail","Pass")</f>
        <v>Pass</v>
      </c>
      <c r="V243" s="11" t="str">
        <f>IF(
COUNTIF(ValidationTable[Record_ID],ValidationTable[[#This Row],[Record_ID]])&gt;1,
"Fail",
"Pass"
)</f>
        <v>Pass</v>
      </c>
      <c r="W243" s="11" t="str">
        <f>IF(
COUNTIF(ValidationTable[[#This Row],[RequiredField_Validation]]:ValidationTable[[#This Row],[Duplicate_Validation]],"Fail")&gt;0,
"Fail",
"Pass"
)</f>
        <v>Pass</v>
      </c>
      <c r="X243" s="11" t="str">
        <f>IF(ValidationTable[[#This Row],[Validation_Result]]="Pass","Yes","No")</f>
        <v>Yes</v>
      </c>
    </row>
    <row r="244" spans="1:24">
      <c r="A244" s="11">
        <f>RawTable[[#This Row],[Record_ID]]</f>
        <v>243</v>
      </c>
      <c r="B244" s="11" t="str">
        <f>RawTable[[#This Row],[Payment_Type]]</f>
        <v>Contractor_Fee</v>
      </c>
      <c r="C244" s="11" t="str">
        <f>RawTable[[#This Row],[Entity_Type]]</f>
        <v>Contractor</v>
      </c>
      <c r="D244" s="11" t="str">
        <f>RawTable[[#This Row],[Country]]</f>
        <v>UAE</v>
      </c>
      <c r="E244" s="11" t="str">
        <f>RawTable[[#This Row],[Name]]</f>
        <v>Omar Ali</v>
      </c>
      <c r="F244" s="11" t="str">
        <f>RawTable[[#This Row],[Bank_Account]]</f>
        <v>AE-IBAN-04943211</v>
      </c>
      <c r="G244" s="11" t="str">
        <f>RawTable[[#This Row],[Month]]</f>
        <v>Jan-2026</v>
      </c>
      <c r="H244" s="11" t="str">
        <f>RawTable[[#This Row],[Currency]]</f>
        <v>AED</v>
      </c>
      <c r="I244" s="4">
        <f>RawTable[[#This Row],[Net_Amount]]</f>
        <v>15945.6</v>
      </c>
      <c r="J244" s="2" t="str">
        <f>RawTable[[#This Row],[VAT_Applicable]]</f>
        <v>No</v>
      </c>
      <c r="K244" s="4">
        <f>RawTable[[#This Row],[VAT_Rate]]</f>
        <v>0</v>
      </c>
      <c r="L244" s="4">
        <f>RawTable[[#This Row],[VAT_Amount]]</f>
        <v>0</v>
      </c>
      <c r="M244" s="4">
        <f>RawTable[[#This Row],[Gross_Amount]]</f>
        <v>15945.6</v>
      </c>
      <c r="N244" s="4">
        <f>RawTable[[#This Row],[Exchange_Rate]]</f>
        <v>0.21065</v>
      </c>
      <c r="O244" s="4">
        <f>RawTable[[#This Row],[Amount_CHF]]</f>
        <v>3358.94</v>
      </c>
      <c r="P24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4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44" s="11" t="str">
        <f>IF(ValidationTable[[#This Row],[Currency]]="","Fail","Pass")</f>
        <v>Pass</v>
      </c>
      <c r="S244" s="11" t="str">
        <f>IF(
ValidationTable[[#This Row],[Currency]]="CHF",
IF(ValidationTable[[#This Row],[Exchange_Rate]]&lt;&gt;1,"Fail","Pass"),
IF(ValidationTable[[#This Row],[Exchange_Rate]]&lt;=0,"Fail","Pass")
)</f>
        <v>Pass</v>
      </c>
      <c r="T24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44" s="11" t="str">
        <f>IF(LEN(TRIM(ValidationTable[[#This Row],[Bank_Account]]))=0,"Fail","Pass")</f>
        <v>Pass</v>
      </c>
      <c r="V244" s="11" t="str">
        <f>IF(
COUNTIF(ValidationTable[Record_ID],ValidationTable[[#This Row],[Record_ID]])&gt;1,
"Fail",
"Pass"
)</f>
        <v>Pass</v>
      </c>
      <c r="W244" s="11" t="str">
        <f>IF(
COUNTIF(ValidationTable[[#This Row],[RequiredField_Validation]]:ValidationTable[[#This Row],[Duplicate_Validation]],"Fail")&gt;0,
"Fail",
"Pass"
)</f>
        <v>Pass</v>
      </c>
      <c r="X244" s="11" t="str">
        <f>IF(ValidationTable[[#This Row],[Validation_Result]]="Pass","Yes","No")</f>
        <v>Yes</v>
      </c>
    </row>
    <row r="245" spans="1:24">
      <c r="A245" s="11">
        <f>RawTable[[#This Row],[Record_ID]]</f>
        <v>244</v>
      </c>
      <c r="B245" s="11" t="str">
        <f>RawTable[[#This Row],[Payment_Type]]</f>
        <v>Contractor_Fee</v>
      </c>
      <c r="C245" s="11" t="str">
        <f>RawTable[[#This Row],[Entity_Type]]</f>
        <v>Contractor</v>
      </c>
      <c r="D245" s="11" t="str">
        <f>RawTable[[#This Row],[Country]]</f>
        <v>Switzerland</v>
      </c>
      <c r="E245" s="11" t="str">
        <f>RawTable[[#This Row],[Name]]</f>
        <v>Michael Schmidt</v>
      </c>
      <c r="F245" s="11" t="str">
        <f>RawTable[[#This Row],[Bank_Account]]</f>
        <v>CH930000000002270560</v>
      </c>
      <c r="G245" s="11" t="str">
        <f>RawTable[[#This Row],[Month]]</f>
        <v>Jan-2026</v>
      </c>
      <c r="H245" s="11" t="str">
        <f>RawTable[[#This Row],[Currency]]</f>
        <v>CHF</v>
      </c>
      <c r="I245" s="4">
        <f>RawTable[[#This Row],[Net_Amount]]</f>
        <v>5347.16</v>
      </c>
      <c r="J245" s="2" t="str">
        <f>RawTable[[#This Row],[VAT_Applicable]]</f>
        <v>No</v>
      </c>
      <c r="K245" s="4">
        <f>RawTable[[#This Row],[VAT_Rate]]</f>
        <v>0</v>
      </c>
      <c r="L245" s="4">
        <f>RawTable[[#This Row],[VAT_Amount]]</f>
        <v>0</v>
      </c>
      <c r="M245" s="4">
        <f>RawTable[[#This Row],[Gross_Amount]]</f>
        <v>5347.16</v>
      </c>
      <c r="N245" s="4">
        <f>RawTable[[#This Row],[Exchange_Rate]]</f>
        <v>1</v>
      </c>
      <c r="O245" s="4">
        <f>RawTable[[#This Row],[Amount_CHF]]</f>
        <v>5347.16</v>
      </c>
      <c r="P24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4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45" s="11" t="str">
        <f>IF(ValidationTable[[#This Row],[Currency]]="","Fail","Pass")</f>
        <v>Pass</v>
      </c>
      <c r="S245" s="11" t="str">
        <f>IF(
ValidationTable[[#This Row],[Currency]]="CHF",
IF(ValidationTable[[#This Row],[Exchange_Rate]]&lt;&gt;1,"Fail","Pass"),
IF(ValidationTable[[#This Row],[Exchange_Rate]]&lt;=0,"Fail","Pass")
)</f>
        <v>Pass</v>
      </c>
      <c r="T24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45" s="11" t="str">
        <f>IF(LEN(TRIM(ValidationTable[[#This Row],[Bank_Account]]))=0,"Fail","Pass")</f>
        <v>Pass</v>
      </c>
      <c r="V245" s="11" t="str">
        <f>IF(
COUNTIF(ValidationTable[Record_ID],ValidationTable[[#This Row],[Record_ID]])&gt;1,
"Fail",
"Pass"
)</f>
        <v>Pass</v>
      </c>
      <c r="W245" s="11" t="str">
        <f>IF(
COUNTIF(ValidationTable[[#This Row],[RequiredField_Validation]]:ValidationTable[[#This Row],[Duplicate_Validation]],"Fail")&gt;0,
"Fail",
"Pass"
)</f>
        <v>Pass</v>
      </c>
      <c r="X245" s="11" t="str">
        <f>IF(ValidationTable[[#This Row],[Validation_Result]]="Pass","Yes","No")</f>
        <v>Yes</v>
      </c>
    </row>
    <row r="246" spans="1:24">
      <c r="A246" s="11">
        <f>RawTable[[#This Row],[Record_ID]]</f>
        <v>245</v>
      </c>
      <c r="B246" s="11" t="str">
        <f>RawTable[[#This Row],[Payment_Type]]</f>
        <v>Contractor_Fee</v>
      </c>
      <c r="C246" s="11" t="str">
        <f>RawTable[[#This Row],[Entity_Type]]</f>
        <v>Contractor</v>
      </c>
      <c r="D246" s="11" t="str">
        <f>RawTable[[#This Row],[Country]]</f>
        <v>UAE</v>
      </c>
      <c r="E246" s="11" t="str">
        <f>RawTable[[#This Row],[Name]]</f>
        <v>Sara Müller</v>
      </c>
      <c r="F246" s="11" t="str">
        <f>RawTable[[#This Row],[Bank_Account]]</f>
        <v>AE-IBAN-02498766</v>
      </c>
      <c r="G246" s="11" t="str">
        <f>RawTable[[#This Row],[Month]]</f>
        <v>Mar-2026</v>
      </c>
      <c r="H246" s="11" t="str">
        <f>RawTable[[#This Row],[Currency]]</f>
        <v>AED</v>
      </c>
      <c r="I246" s="4">
        <f>RawTable[[#This Row],[Net_Amount]]</f>
        <v>19044.96</v>
      </c>
      <c r="J246" s="2" t="str">
        <f>RawTable[[#This Row],[VAT_Applicable]]</f>
        <v>No</v>
      </c>
      <c r="K246" s="4">
        <f>RawTable[[#This Row],[VAT_Rate]]</f>
        <v>0</v>
      </c>
      <c r="L246" s="4">
        <f>RawTable[[#This Row],[VAT_Amount]]</f>
        <v>0</v>
      </c>
      <c r="M246" s="4">
        <f>RawTable[[#This Row],[Gross_Amount]]</f>
        <v>19044.96</v>
      </c>
      <c r="N246" s="4">
        <f>RawTable[[#This Row],[Exchange_Rate]]</f>
        <v>0.21065</v>
      </c>
      <c r="O246" s="4">
        <f>RawTable[[#This Row],[Amount_CHF]]</f>
        <v>4011.82</v>
      </c>
      <c r="P24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4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46" s="11" t="str">
        <f>IF(ValidationTable[[#This Row],[Currency]]="","Fail","Pass")</f>
        <v>Pass</v>
      </c>
      <c r="S246" s="11" t="str">
        <f>IF(
ValidationTable[[#This Row],[Currency]]="CHF",
IF(ValidationTable[[#This Row],[Exchange_Rate]]&lt;&gt;1,"Fail","Pass"),
IF(ValidationTable[[#This Row],[Exchange_Rate]]&lt;=0,"Fail","Pass")
)</f>
        <v>Pass</v>
      </c>
      <c r="T24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46" s="11" t="str">
        <f>IF(LEN(TRIM(ValidationTable[[#This Row],[Bank_Account]]))=0,"Fail","Pass")</f>
        <v>Pass</v>
      </c>
      <c r="V246" s="11" t="str">
        <f>IF(
COUNTIF(ValidationTable[Record_ID],ValidationTable[[#This Row],[Record_ID]])&gt;1,
"Fail",
"Pass"
)</f>
        <v>Pass</v>
      </c>
      <c r="W246" s="11" t="str">
        <f>IF(
COUNTIF(ValidationTable[[#This Row],[RequiredField_Validation]]:ValidationTable[[#This Row],[Duplicate_Validation]],"Fail")&gt;0,
"Fail",
"Pass"
)</f>
        <v>Pass</v>
      </c>
      <c r="X246" s="11" t="str">
        <f>IF(ValidationTable[[#This Row],[Validation_Result]]="Pass","Yes","No")</f>
        <v>Yes</v>
      </c>
    </row>
    <row r="247" spans="1:24">
      <c r="A247" s="11">
        <f>RawTable[[#This Row],[Record_ID]]</f>
        <v>246</v>
      </c>
      <c r="B247" s="11" t="str">
        <f>RawTable[[#This Row],[Payment_Type]]</f>
        <v>Contractor_Fee</v>
      </c>
      <c r="C247" s="11" t="str">
        <f>RawTable[[#This Row],[Entity_Type]]</f>
        <v>Contractor</v>
      </c>
      <c r="D247" s="11" t="str">
        <f>RawTable[[#This Row],[Country]]</f>
        <v>USA</v>
      </c>
      <c r="E247" s="11" t="str">
        <f>RawTable[[#This Row],[Name]]</f>
        <v>Lina Taylor</v>
      </c>
      <c r="F247" s="11" t="str">
        <f>RawTable[[#This Row],[Bank_Account]]</f>
        <v>AE-IBAN-02607408</v>
      </c>
      <c r="G247" s="11" t="str">
        <f>RawTable[[#This Row],[Month]]</f>
        <v>Feb-2026</v>
      </c>
      <c r="H247" s="11" t="str">
        <f>RawTable[[#This Row],[Currency]]</f>
        <v>USD</v>
      </c>
      <c r="I247" s="4">
        <f>RawTable[[#This Row],[Net_Amount]]</f>
        <v>5217.5200000000004</v>
      </c>
      <c r="J247" s="2" t="str">
        <f>RawTable[[#This Row],[VAT_Applicable]]</f>
        <v>No</v>
      </c>
      <c r="K247" s="4">
        <f>RawTable[[#This Row],[VAT_Rate]]</f>
        <v>0</v>
      </c>
      <c r="L247" s="4">
        <f>RawTable[[#This Row],[VAT_Amount]]</f>
        <v>0</v>
      </c>
      <c r="M247" s="4">
        <f>RawTable[[#This Row],[Gross_Amount]]</f>
        <v>5217.5200000000004</v>
      </c>
      <c r="N247" s="4">
        <f>RawTable[[#This Row],[Exchange_Rate]]</f>
        <v>0.77017999999999998</v>
      </c>
      <c r="O247" s="4">
        <f>RawTable[[#This Row],[Amount_CHF]]</f>
        <v>4018.43</v>
      </c>
      <c r="P24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4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47" s="11" t="str">
        <f>IF(ValidationTable[[#This Row],[Currency]]="","Fail","Pass")</f>
        <v>Pass</v>
      </c>
      <c r="S247" s="11" t="str">
        <f>IF(
ValidationTable[[#This Row],[Currency]]="CHF",
IF(ValidationTable[[#This Row],[Exchange_Rate]]&lt;&gt;1,"Fail","Pass"),
IF(ValidationTable[[#This Row],[Exchange_Rate]]&lt;=0,"Fail","Pass")
)</f>
        <v>Pass</v>
      </c>
      <c r="T24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47" s="11" t="str">
        <f>IF(LEN(TRIM(ValidationTable[[#This Row],[Bank_Account]]))=0,"Fail","Pass")</f>
        <v>Pass</v>
      </c>
      <c r="V247" s="11" t="str">
        <f>IF(
COUNTIF(ValidationTable[Record_ID],ValidationTable[[#This Row],[Record_ID]])&gt;1,
"Fail",
"Pass"
)</f>
        <v>Pass</v>
      </c>
      <c r="W247" s="11" t="str">
        <f>IF(
COUNTIF(ValidationTable[[#This Row],[RequiredField_Validation]]:ValidationTable[[#This Row],[Duplicate_Validation]],"Fail")&gt;0,
"Fail",
"Pass"
)</f>
        <v>Pass</v>
      </c>
      <c r="X247" s="11" t="str">
        <f>IF(ValidationTable[[#This Row],[Validation_Result]]="Pass","Yes","No")</f>
        <v>Yes</v>
      </c>
    </row>
    <row r="248" spans="1:24">
      <c r="A248" s="11">
        <f>RawTable[[#This Row],[Record_ID]]</f>
        <v>247</v>
      </c>
      <c r="B248" s="11" t="str">
        <f>RawTable[[#This Row],[Payment_Type]]</f>
        <v>Contractor_Fee</v>
      </c>
      <c r="C248" s="11" t="str">
        <f>RawTable[[#This Row],[Entity_Type]]</f>
        <v>Contractor</v>
      </c>
      <c r="D248" s="11" t="str">
        <f>RawTable[[#This Row],[Country]]</f>
        <v>Jordan</v>
      </c>
      <c r="E248" s="11" t="str">
        <f>RawTable[[#This Row],[Name]]</f>
        <v>Michael Brown</v>
      </c>
      <c r="F248" s="11" t="str">
        <f>RawTable[[#This Row],[Bank_Account]]</f>
        <v>JO-IBAN-00938220</v>
      </c>
      <c r="G248" s="11" t="str">
        <f>RawTable[[#This Row],[Month]]</f>
        <v>Feb-2026</v>
      </c>
      <c r="H248" s="11" t="str">
        <f>RawTable[[#This Row],[Currency]]</f>
        <v>JOD</v>
      </c>
      <c r="I248" s="4">
        <f>RawTable[[#This Row],[Net_Amount]]</f>
        <v>1338.67</v>
      </c>
      <c r="J248" s="2" t="str">
        <f>RawTable[[#This Row],[VAT_Applicable]]</f>
        <v>No</v>
      </c>
      <c r="K248" s="4">
        <f>RawTable[[#This Row],[VAT_Rate]]</f>
        <v>0</v>
      </c>
      <c r="L248" s="4">
        <f>RawTable[[#This Row],[VAT_Amount]]</f>
        <v>0</v>
      </c>
      <c r="M248" s="4">
        <f>RawTable[[#This Row],[Gross_Amount]]</f>
        <v>1338.67</v>
      </c>
      <c r="N248" s="4">
        <f>RawTable[[#This Row],[Exchange_Rate]]</f>
        <v>1.08643</v>
      </c>
      <c r="O248" s="4">
        <f>RawTable[[#This Row],[Amount_CHF]]</f>
        <v>1454.37</v>
      </c>
      <c r="P24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4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48" s="11" t="str">
        <f>IF(ValidationTable[[#This Row],[Currency]]="","Fail","Pass")</f>
        <v>Pass</v>
      </c>
      <c r="S248" s="11" t="str">
        <f>IF(
ValidationTable[[#This Row],[Currency]]="CHF",
IF(ValidationTable[[#This Row],[Exchange_Rate]]&lt;&gt;1,"Fail","Pass"),
IF(ValidationTable[[#This Row],[Exchange_Rate]]&lt;=0,"Fail","Pass")
)</f>
        <v>Pass</v>
      </c>
      <c r="T24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48" s="11" t="str">
        <f>IF(LEN(TRIM(ValidationTable[[#This Row],[Bank_Account]]))=0,"Fail","Pass")</f>
        <v>Pass</v>
      </c>
      <c r="V248" s="11" t="str">
        <f>IF(
COUNTIF(ValidationTable[Record_ID],ValidationTable[[#This Row],[Record_ID]])&gt;1,
"Fail",
"Pass"
)</f>
        <v>Pass</v>
      </c>
      <c r="W248" s="11" t="str">
        <f>IF(
COUNTIF(ValidationTable[[#This Row],[RequiredField_Validation]]:ValidationTable[[#This Row],[Duplicate_Validation]],"Fail")&gt;0,
"Fail",
"Pass"
)</f>
        <v>Pass</v>
      </c>
      <c r="X248" s="11" t="str">
        <f>IF(ValidationTable[[#This Row],[Validation_Result]]="Pass","Yes","No")</f>
        <v>Yes</v>
      </c>
    </row>
    <row r="249" spans="1:24">
      <c r="A249" s="11">
        <f>RawTable[[#This Row],[Record_ID]]</f>
        <v>248</v>
      </c>
      <c r="B249" s="11" t="str">
        <f>RawTable[[#This Row],[Payment_Type]]</f>
        <v>Contractor_Fee</v>
      </c>
      <c r="C249" s="11" t="str">
        <f>RawTable[[#This Row],[Entity_Type]]</f>
        <v>Contractor</v>
      </c>
      <c r="D249" s="11" t="str">
        <f>RawTable[[#This Row],[Country]]</f>
        <v>Germany</v>
      </c>
      <c r="E249" s="11" t="str">
        <f>RawTable[[#This Row],[Name]]</f>
        <v>Anna Brown</v>
      </c>
      <c r="F249" s="11" t="str">
        <f>RawTable[[#This Row],[Bank_Account]]</f>
        <v>JO-IBAN-00790080</v>
      </c>
      <c r="G249" s="11" t="str">
        <f>RawTable[[#This Row],[Month]]</f>
        <v>Feb-2026</v>
      </c>
      <c r="H249" s="11" t="str">
        <f>RawTable[[#This Row],[Currency]]</f>
        <v>EUR</v>
      </c>
      <c r="I249" s="4">
        <f>RawTable[[#This Row],[Net_Amount]]</f>
        <v>4625.76</v>
      </c>
      <c r="J249" s="2" t="str">
        <f>RawTable[[#This Row],[VAT_Applicable]]</f>
        <v>No</v>
      </c>
      <c r="K249" s="4">
        <f>RawTable[[#This Row],[VAT_Rate]]</f>
        <v>0</v>
      </c>
      <c r="L249" s="4">
        <f>RawTable[[#This Row],[VAT_Amount]]</f>
        <v>0</v>
      </c>
      <c r="M249" s="4">
        <f>RawTable[[#This Row],[Gross_Amount]]</f>
        <v>4625.76</v>
      </c>
      <c r="N249" s="4">
        <f>RawTable[[#This Row],[Exchange_Rate]]</f>
        <v>0.90888000000000002</v>
      </c>
      <c r="O249" s="4">
        <f>RawTable[[#This Row],[Amount_CHF]]</f>
        <v>4204.26</v>
      </c>
      <c r="P24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4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49" s="11" t="str">
        <f>IF(ValidationTable[[#This Row],[Currency]]="","Fail","Pass")</f>
        <v>Pass</v>
      </c>
      <c r="S249" s="11" t="str">
        <f>IF(
ValidationTable[[#This Row],[Currency]]="CHF",
IF(ValidationTable[[#This Row],[Exchange_Rate]]&lt;&gt;1,"Fail","Pass"),
IF(ValidationTable[[#This Row],[Exchange_Rate]]&lt;=0,"Fail","Pass")
)</f>
        <v>Pass</v>
      </c>
      <c r="T24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49" s="11" t="str">
        <f>IF(LEN(TRIM(ValidationTable[[#This Row],[Bank_Account]]))=0,"Fail","Pass")</f>
        <v>Pass</v>
      </c>
      <c r="V249" s="11" t="str">
        <f>IF(
COUNTIF(ValidationTable[Record_ID],ValidationTable[[#This Row],[Record_ID]])&gt;1,
"Fail",
"Pass"
)</f>
        <v>Pass</v>
      </c>
      <c r="W249" s="11" t="str">
        <f>IF(
COUNTIF(ValidationTable[[#This Row],[RequiredField_Validation]]:ValidationTable[[#This Row],[Duplicate_Validation]],"Fail")&gt;0,
"Fail",
"Pass"
)</f>
        <v>Pass</v>
      </c>
      <c r="X249" s="11" t="str">
        <f>IF(ValidationTable[[#This Row],[Validation_Result]]="Pass","Yes","No")</f>
        <v>Yes</v>
      </c>
    </row>
    <row r="250" spans="1:24">
      <c r="A250" s="11">
        <f>RawTable[[#This Row],[Record_ID]]</f>
        <v>249</v>
      </c>
      <c r="B250" s="11" t="str">
        <f>RawTable[[#This Row],[Payment_Type]]</f>
        <v>Contractor_Fee</v>
      </c>
      <c r="C250" s="11" t="str">
        <f>RawTable[[#This Row],[Entity_Type]]</f>
        <v>Contractor</v>
      </c>
      <c r="D250" s="11" t="str">
        <f>RawTable[[#This Row],[Country]]</f>
        <v>Germany</v>
      </c>
      <c r="E250" s="11" t="str">
        <f>RawTable[[#This Row],[Name]]</f>
        <v>Michael Taylor</v>
      </c>
      <c r="F250" s="11" t="str">
        <f>RawTable[[#This Row],[Bank_Account]]</f>
        <v>US-RT-000024680-AC-0000113560</v>
      </c>
      <c r="G250" s="11" t="str">
        <f>RawTable[[#This Row],[Month]]</f>
        <v>Feb-2026</v>
      </c>
      <c r="H250" s="11" t="str">
        <f>RawTable[[#This Row],[Currency]]</f>
        <v>EUR</v>
      </c>
      <c r="I250" s="4">
        <f>RawTable[[#This Row],[Net_Amount]]</f>
        <v>5118.24</v>
      </c>
      <c r="J250" s="2" t="str">
        <f>RawTable[[#This Row],[VAT_Applicable]]</f>
        <v>No</v>
      </c>
      <c r="K250" s="4">
        <f>RawTable[[#This Row],[VAT_Rate]]</f>
        <v>0</v>
      </c>
      <c r="L250" s="4">
        <f>RawTable[[#This Row],[VAT_Amount]]</f>
        <v>0</v>
      </c>
      <c r="M250" s="4">
        <f>RawTable[[#This Row],[Gross_Amount]]</f>
        <v>5118.24</v>
      </c>
      <c r="N250" s="4">
        <f>RawTable[[#This Row],[Exchange_Rate]]</f>
        <v>0.90888000000000002</v>
      </c>
      <c r="O250" s="4">
        <f>RawTable[[#This Row],[Amount_CHF]]</f>
        <v>4651.87</v>
      </c>
      <c r="P25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5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50" s="11" t="str">
        <f>IF(ValidationTable[[#This Row],[Currency]]="","Fail","Pass")</f>
        <v>Pass</v>
      </c>
      <c r="S250" s="11" t="str">
        <f>IF(
ValidationTable[[#This Row],[Currency]]="CHF",
IF(ValidationTable[[#This Row],[Exchange_Rate]]&lt;&gt;1,"Fail","Pass"),
IF(ValidationTable[[#This Row],[Exchange_Rate]]&lt;=0,"Fail","Pass")
)</f>
        <v>Pass</v>
      </c>
      <c r="T25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50" s="11" t="str">
        <f>IF(LEN(TRIM(ValidationTable[[#This Row],[Bank_Account]]))=0,"Fail","Pass")</f>
        <v>Pass</v>
      </c>
      <c r="V250" s="11" t="str">
        <f>IF(
COUNTIF(ValidationTable[Record_ID],ValidationTable[[#This Row],[Record_ID]])&gt;1,
"Fail",
"Pass"
)</f>
        <v>Pass</v>
      </c>
      <c r="W250" s="11" t="str">
        <f>IF(
COUNTIF(ValidationTable[[#This Row],[RequiredField_Validation]]:ValidationTable[[#This Row],[Duplicate_Validation]],"Fail")&gt;0,
"Fail",
"Pass"
)</f>
        <v>Pass</v>
      </c>
      <c r="X250" s="11" t="str">
        <f>IF(ValidationTable[[#This Row],[Validation_Result]]="Pass","Yes","No")</f>
        <v>Yes</v>
      </c>
    </row>
    <row r="251" spans="1:24">
      <c r="A251" s="11">
        <f>RawTable[[#This Row],[Record_ID]]</f>
        <v>250</v>
      </c>
      <c r="B251" s="11" t="str">
        <f>RawTable[[#This Row],[Payment_Type]]</f>
        <v>Contractor_Fee</v>
      </c>
      <c r="C251" s="11" t="str">
        <f>RawTable[[#This Row],[Entity_Type]]</f>
        <v>Contractor</v>
      </c>
      <c r="D251" s="11" t="str">
        <f>RawTable[[#This Row],[Country]]</f>
        <v>USA</v>
      </c>
      <c r="E251" s="11" t="str">
        <f>RawTable[[#This Row],[Name]]</f>
        <v>Julia Smith</v>
      </c>
      <c r="F251" s="11" t="str">
        <f>RawTable[[#This Row],[Bank_Account]]</f>
        <v>CH930000000000320840</v>
      </c>
      <c r="G251" s="11" t="str">
        <f>RawTable[[#This Row],[Month]]</f>
        <v>Feb-2026</v>
      </c>
      <c r="H251" s="11" t="str">
        <f>RawTable[[#This Row],[Currency]]</f>
        <v>USD</v>
      </c>
      <c r="I251" s="4">
        <f>RawTable[[#This Row],[Net_Amount]]</f>
        <v>5483.52</v>
      </c>
      <c r="J251" s="2" t="str">
        <f>RawTable[[#This Row],[VAT_Applicable]]</f>
        <v>No</v>
      </c>
      <c r="K251" s="4">
        <f>RawTable[[#This Row],[VAT_Rate]]</f>
        <v>0</v>
      </c>
      <c r="L251" s="4">
        <f>RawTable[[#This Row],[VAT_Amount]]</f>
        <v>0</v>
      </c>
      <c r="M251" s="4">
        <f>RawTable[[#This Row],[Gross_Amount]]</f>
        <v>5483.52</v>
      </c>
      <c r="N251" s="4">
        <f>RawTable[[#This Row],[Exchange_Rate]]</f>
        <v>0.77017999999999998</v>
      </c>
      <c r="O251" s="4">
        <f>RawTable[[#This Row],[Amount_CHF]]</f>
        <v>4223.3</v>
      </c>
      <c r="P25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5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51" s="11" t="str">
        <f>IF(ValidationTable[[#This Row],[Currency]]="","Fail","Pass")</f>
        <v>Pass</v>
      </c>
      <c r="S251" s="11" t="str">
        <f>IF(
ValidationTable[[#This Row],[Currency]]="CHF",
IF(ValidationTable[[#This Row],[Exchange_Rate]]&lt;&gt;1,"Fail","Pass"),
IF(ValidationTable[[#This Row],[Exchange_Rate]]&lt;=0,"Fail","Pass")
)</f>
        <v>Pass</v>
      </c>
      <c r="T25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51" s="11" t="str">
        <f>IF(LEN(TRIM(ValidationTable[[#This Row],[Bank_Account]]))=0,"Fail","Pass")</f>
        <v>Pass</v>
      </c>
      <c r="V251" s="11" t="str">
        <f>IF(
COUNTIF(ValidationTable[Record_ID],ValidationTable[[#This Row],[Record_ID]])&gt;1,
"Fail",
"Pass"
)</f>
        <v>Pass</v>
      </c>
      <c r="W251" s="11" t="str">
        <f>IF(
COUNTIF(ValidationTable[[#This Row],[RequiredField_Validation]]:ValidationTable[[#This Row],[Duplicate_Validation]],"Fail")&gt;0,
"Fail",
"Pass"
)</f>
        <v>Pass</v>
      </c>
      <c r="X251" s="11" t="str">
        <f>IF(ValidationTable[[#This Row],[Validation_Result]]="Pass","Yes","No")</f>
        <v>Yes</v>
      </c>
    </row>
    <row r="252" spans="1:24">
      <c r="A252" s="11">
        <f>RawTable[[#This Row],[Record_ID]]</f>
        <v>251</v>
      </c>
      <c r="B252" s="11" t="str">
        <f>RawTable[[#This Row],[Payment_Type]]</f>
        <v>Contractor_Fee</v>
      </c>
      <c r="C252" s="11" t="str">
        <f>RawTable[[#This Row],[Entity_Type]]</f>
        <v>Contractor</v>
      </c>
      <c r="D252" s="11" t="str">
        <f>RawTable[[#This Row],[Country]]</f>
        <v>Switzerland</v>
      </c>
      <c r="E252" s="11" t="str">
        <f>RawTable[[#This Row],[Name]]</f>
        <v>Julia Haddad</v>
      </c>
      <c r="F252" s="11" t="str">
        <f>RawTable[[#This Row],[Bank_Account]]</f>
        <v>CH930000000000863800</v>
      </c>
      <c r="G252" s="11" t="str">
        <f>RawTable[[#This Row],[Month]]</f>
        <v>Mar-2026</v>
      </c>
      <c r="H252" s="11" t="str">
        <f>RawTable[[#This Row],[Currency]]</f>
        <v>CHF</v>
      </c>
      <c r="I252" s="4">
        <f>RawTable[[#This Row],[Net_Amount]]</f>
        <v>5906.32</v>
      </c>
      <c r="J252" s="2" t="str">
        <f>RawTable[[#This Row],[VAT_Applicable]]</f>
        <v>No</v>
      </c>
      <c r="K252" s="4">
        <f>RawTable[[#This Row],[VAT_Rate]]</f>
        <v>0</v>
      </c>
      <c r="L252" s="4">
        <f>RawTable[[#This Row],[VAT_Amount]]</f>
        <v>0</v>
      </c>
      <c r="M252" s="4">
        <f>RawTable[[#This Row],[Gross_Amount]]</f>
        <v>5906.32</v>
      </c>
      <c r="N252" s="4">
        <f>RawTable[[#This Row],[Exchange_Rate]]</f>
        <v>1</v>
      </c>
      <c r="O252" s="4">
        <f>RawTable[[#This Row],[Amount_CHF]]</f>
        <v>5906.32</v>
      </c>
      <c r="P25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5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52" s="11" t="str">
        <f>IF(ValidationTable[[#This Row],[Currency]]="","Fail","Pass")</f>
        <v>Pass</v>
      </c>
      <c r="S252" s="11" t="str">
        <f>IF(
ValidationTable[[#This Row],[Currency]]="CHF",
IF(ValidationTable[[#This Row],[Exchange_Rate]]&lt;&gt;1,"Fail","Pass"),
IF(ValidationTable[[#This Row],[Exchange_Rate]]&lt;=0,"Fail","Pass")
)</f>
        <v>Pass</v>
      </c>
      <c r="T25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52" s="11" t="str">
        <f>IF(LEN(TRIM(ValidationTable[[#This Row],[Bank_Account]]))=0,"Fail","Pass")</f>
        <v>Pass</v>
      </c>
      <c r="V252" s="11" t="str">
        <f>IF(
COUNTIF(ValidationTable[Record_ID],ValidationTable[[#This Row],[Record_ID]])&gt;1,
"Fail",
"Pass"
)</f>
        <v>Pass</v>
      </c>
      <c r="W252" s="11" t="str">
        <f>IF(
COUNTIF(ValidationTable[[#This Row],[RequiredField_Validation]]:ValidationTable[[#This Row],[Duplicate_Validation]],"Fail")&gt;0,
"Fail",
"Pass"
)</f>
        <v>Pass</v>
      </c>
      <c r="X252" s="11" t="str">
        <f>IF(ValidationTable[[#This Row],[Validation_Result]]="Pass","Yes","No")</f>
        <v>Yes</v>
      </c>
    </row>
    <row r="253" spans="1:24">
      <c r="A253" s="11">
        <f>RawTable[[#This Row],[Record_ID]]</f>
        <v>252</v>
      </c>
      <c r="B253" s="11" t="str">
        <f>RawTable[[#This Row],[Payment_Type]]</f>
        <v>Contractor_Fee</v>
      </c>
      <c r="C253" s="11" t="str">
        <f>RawTable[[#This Row],[Entity_Type]]</f>
        <v>Contractor</v>
      </c>
      <c r="D253" s="11" t="str">
        <f>RawTable[[#This Row],[Country]]</f>
        <v>Jordan</v>
      </c>
      <c r="E253" s="11" t="str">
        <f>RawTable[[#This Row],[Name]]</f>
        <v>Julia Johnson</v>
      </c>
      <c r="F253" s="11" t="str">
        <f>RawTable[[#This Row],[Bank_Account]]</f>
        <v>CH930000000000715720</v>
      </c>
      <c r="G253" s="11" t="str">
        <f>RawTable[[#This Row],[Month]]</f>
        <v>Jan-2026</v>
      </c>
      <c r="H253" s="11" t="str">
        <f>RawTable[[#This Row],[Currency]]</f>
        <v>JOD</v>
      </c>
      <c r="I253" s="4">
        <f>RawTable[[#This Row],[Net_Amount]]</f>
        <v>1573.92</v>
      </c>
      <c r="J253" s="2" t="str">
        <f>RawTable[[#This Row],[VAT_Applicable]]</f>
        <v>No</v>
      </c>
      <c r="K253" s="4">
        <f>RawTable[[#This Row],[VAT_Rate]]</f>
        <v>0</v>
      </c>
      <c r="L253" s="4">
        <f>RawTable[[#This Row],[VAT_Amount]]</f>
        <v>0</v>
      </c>
      <c r="M253" s="4">
        <f>RawTable[[#This Row],[Gross_Amount]]</f>
        <v>1573.92</v>
      </c>
      <c r="N253" s="4">
        <f>RawTable[[#This Row],[Exchange_Rate]]</f>
        <v>1.08643</v>
      </c>
      <c r="O253" s="4">
        <f>RawTable[[#This Row],[Amount_CHF]]</f>
        <v>1709.95</v>
      </c>
      <c r="P25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5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53" s="11" t="str">
        <f>IF(ValidationTable[[#This Row],[Currency]]="","Fail","Pass")</f>
        <v>Pass</v>
      </c>
      <c r="S253" s="11" t="str">
        <f>IF(
ValidationTable[[#This Row],[Currency]]="CHF",
IF(ValidationTable[[#This Row],[Exchange_Rate]]&lt;&gt;1,"Fail","Pass"),
IF(ValidationTable[[#This Row],[Exchange_Rate]]&lt;=0,"Fail","Pass")
)</f>
        <v>Pass</v>
      </c>
      <c r="T25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53" s="11" t="str">
        <f>IF(LEN(TRIM(ValidationTable[[#This Row],[Bank_Account]]))=0,"Fail","Pass")</f>
        <v>Pass</v>
      </c>
      <c r="V253" s="11" t="str">
        <f>IF(
COUNTIF(ValidationTable[Record_ID],ValidationTable[[#This Row],[Record_ID]])&gt;1,
"Fail",
"Pass"
)</f>
        <v>Pass</v>
      </c>
      <c r="W253" s="11" t="str">
        <f>IF(
COUNTIF(ValidationTable[[#This Row],[RequiredField_Validation]]:ValidationTable[[#This Row],[Duplicate_Validation]],"Fail")&gt;0,
"Fail",
"Pass"
)</f>
        <v>Pass</v>
      </c>
      <c r="X253" s="11" t="str">
        <f>IF(ValidationTable[[#This Row],[Validation_Result]]="Pass","Yes","No")</f>
        <v>Yes</v>
      </c>
    </row>
    <row r="254" spans="1:24">
      <c r="A254" s="11">
        <f>RawTable[[#This Row],[Record_ID]]</f>
        <v>253</v>
      </c>
      <c r="B254" s="11" t="str">
        <f>RawTable[[#This Row],[Payment_Type]]</f>
        <v>Contractor_Fee</v>
      </c>
      <c r="C254" s="11" t="str">
        <f>RawTable[[#This Row],[Entity_Type]]</f>
        <v>Contractor</v>
      </c>
      <c r="D254" s="11" t="str">
        <f>RawTable[[#This Row],[Country]]</f>
        <v>UAE</v>
      </c>
      <c r="E254" s="11" t="str">
        <f>RawTable[[#This Row],[Name]]</f>
        <v>Michael Schmidt</v>
      </c>
      <c r="F254" s="11" t="str">
        <f>RawTable[[#This Row],[Bank_Account]]</f>
        <v>CH930000000002270560</v>
      </c>
      <c r="G254" s="11" t="str">
        <f>RawTable[[#This Row],[Month]]</f>
        <v>Feb-2026</v>
      </c>
      <c r="H254" s="11" t="str">
        <f>RawTable[[#This Row],[Currency]]</f>
        <v>AED</v>
      </c>
      <c r="I254" s="4">
        <f>RawTable[[#This Row],[Net_Amount]]</f>
        <v>18098.080000000002</v>
      </c>
      <c r="J254" s="2" t="str">
        <f>RawTable[[#This Row],[VAT_Applicable]]</f>
        <v>No</v>
      </c>
      <c r="K254" s="4">
        <f>RawTable[[#This Row],[VAT_Rate]]</f>
        <v>0</v>
      </c>
      <c r="L254" s="4">
        <f>RawTable[[#This Row],[VAT_Amount]]</f>
        <v>0</v>
      </c>
      <c r="M254" s="4">
        <f>RawTable[[#This Row],[Gross_Amount]]</f>
        <v>18098.080000000002</v>
      </c>
      <c r="N254" s="4">
        <f>RawTable[[#This Row],[Exchange_Rate]]</f>
        <v>0.21065</v>
      </c>
      <c r="O254" s="4">
        <f>RawTable[[#This Row],[Amount_CHF]]</f>
        <v>3812.36</v>
      </c>
      <c r="P25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5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54" s="11" t="str">
        <f>IF(ValidationTable[[#This Row],[Currency]]="","Fail","Pass")</f>
        <v>Pass</v>
      </c>
      <c r="S254" s="11" t="str">
        <f>IF(
ValidationTable[[#This Row],[Currency]]="CHF",
IF(ValidationTable[[#This Row],[Exchange_Rate]]&lt;&gt;1,"Fail","Pass"),
IF(ValidationTable[[#This Row],[Exchange_Rate]]&lt;=0,"Fail","Pass")
)</f>
        <v>Pass</v>
      </c>
      <c r="T25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54" s="11" t="str">
        <f>IF(LEN(TRIM(ValidationTable[[#This Row],[Bank_Account]]))=0,"Fail","Pass")</f>
        <v>Pass</v>
      </c>
      <c r="V254" s="11" t="str">
        <f>IF(
COUNTIF(ValidationTable[Record_ID],ValidationTable[[#This Row],[Record_ID]])&gt;1,
"Fail",
"Pass"
)</f>
        <v>Pass</v>
      </c>
      <c r="W254" s="11" t="str">
        <f>IF(
COUNTIF(ValidationTable[[#This Row],[RequiredField_Validation]]:ValidationTable[[#This Row],[Duplicate_Validation]],"Fail")&gt;0,
"Fail",
"Pass"
)</f>
        <v>Pass</v>
      </c>
      <c r="X254" s="11" t="str">
        <f>IF(ValidationTable[[#This Row],[Validation_Result]]="Pass","Yes","No")</f>
        <v>Yes</v>
      </c>
    </row>
    <row r="255" spans="1:24">
      <c r="A255" s="11">
        <f>RawTable[[#This Row],[Record_ID]]</f>
        <v>254</v>
      </c>
      <c r="B255" s="11" t="str">
        <f>RawTable[[#This Row],[Payment_Type]]</f>
        <v>Contractor_Fee</v>
      </c>
      <c r="C255" s="11" t="str">
        <f>RawTable[[#This Row],[Entity_Type]]</f>
        <v>Contractor</v>
      </c>
      <c r="D255" s="11" t="str">
        <f>RawTable[[#This Row],[Country]]</f>
        <v>Switzerland</v>
      </c>
      <c r="E255" s="11" t="str">
        <f>RawTable[[#This Row],[Name]]</f>
        <v>Laura Taylor</v>
      </c>
      <c r="F255" s="11" t="str">
        <f>RawTable[[#This Row],[Bank_Account]]</f>
        <v>DE890000000000977688</v>
      </c>
      <c r="G255" s="11" t="str">
        <f>RawTable[[#This Row],[Month]]</f>
        <v>Feb-2026</v>
      </c>
      <c r="H255" s="11" t="str">
        <f>RawTable[[#This Row],[Currency]]</f>
        <v>CHF</v>
      </c>
      <c r="I255" s="4">
        <f>RawTable[[#This Row],[Net_Amount]]</f>
        <v>5071.04</v>
      </c>
      <c r="J255" s="2" t="str">
        <f>RawTable[[#This Row],[VAT_Applicable]]</f>
        <v>No</v>
      </c>
      <c r="K255" s="4">
        <f>RawTable[[#This Row],[VAT_Rate]]</f>
        <v>0</v>
      </c>
      <c r="L255" s="4">
        <f>RawTable[[#This Row],[VAT_Amount]]</f>
        <v>0</v>
      </c>
      <c r="M255" s="4">
        <f>RawTable[[#This Row],[Gross_Amount]]</f>
        <v>5071.04</v>
      </c>
      <c r="N255" s="4">
        <f>RawTable[[#This Row],[Exchange_Rate]]</f>
        <v>1</v>
      </c>
      <c r="O255" s="4">
        <f>RawTable[[#This Row],[Amount_CHF]]</f>
        <v>5071.04</v>
      </c>
      <c r="P25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5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55" s="11" t="str">
        <f>IF(ValidationTable[[#This Row],[Currency]]="","Fail","Pass")</f>
        <v>Pass</v>
      </c>
      <c r="S255" s="11" t="str">
        <f>IF(
ValidationTable[[#This Row],[Currency]]="CHF",
IF(ValidationTable[[#This Row],[Exchange_Rate]]&lt;&gt;1,"Fail","Pass"),
IF(ValidationTable[[#This Row],[Exchange_Rate]]&lt;=0,"Fail","Pass")
)</f>
        <v>Pass</v>
      </c>
      <c r="T25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55" s="11" t="str">
        <f>IF(LEN(TRIM(ValidationTable[[#This Row],[Bank_Account]]))=0,"Fail","Pass")</f>
        <v>Pass</v>
      </c>
      <c r="V255" s="11" t="str">
        <f>IF(
COUNTIF(ValidationTable[Record_ID],ValidationTable[[#This Row],[Record_ID]])&gt;1,
"Fail",
"Pass"
)</f>
        <v>Pass</v>
      </c>
      <c r="W255" s="11" t="str">
        <f>IF(
COUNTIF(ValidationTable[[#This Row],[RequiredField_Validation]]:ValidationTable[[#This Row],[Duplicate_Validation]],"Fail")&gt;0,
"Fail",
"Pass"
)</f>
        <v>Pass</v>
      </c>
      <c r="X255" s="11" t="str">
        <f>IF(ValidationTable[[#This Row],[Validation_Result]]="Pass","Yes","No")</f>
        <v>Yes</v>
      </c>
    </row>
    <row r="256" spans="1:24">
      <c r="A256" s="11">
        <f>RawTable[[#This Row],[Record_ID]]</f>
        <v>255</v>
      </c>
      <c r="B256" s="11" t="str">
        <f>RawTable[[#This Row],[Payment_Type]]</f>
        <v>Contractor_Fee</v>
      </c>
      <c r="C256" s="11" t="str">
        <f>RawTable[[#This Row],[Entity_Type]]</f>
        <v>Contractor</v>
      </c>
      <c r="D256" s="11" t="str">
        <f>RawTable[[#This Row],[Country]]</f>
        <v>Switzerland</v>
      </c>
      <c r="E256" s="11" t="str">
        <f>RawTable[[#This Row],[Name]]</f>
        <v>Michael Smith</v>
      </c>
      <c r="F256" s="11" t="str">
        <f>RawTable[[#This Row],[Bank_Account]]</f>
        <v>JO-IBAN-00382695</v>
      </c>
      <c r="G256" s="11" t="str">
        <f>RawTable[[#This Row],[Month]]</f>
        <v>Feb-2026</v>
      </c>
      <c r="H256" s="11" t="str">
        <f>RawTable[[#This Row],[Currency]]</f>
        <v>CHF</v>
      </c>
      <c r="I256" s="4">
        <f>RawTable[[#This Row],[Net_Amount]]</f>
        <v>4753.84</v>
      </c>
      <c r="J256" s="2" t="str">
        <f>RawTable[[#This Row],[VAT_Applicable]]</f>
        <v>No</v>
      </c>
      <c r="K256" s="4">
        <f>RawTable[[#This Row],[VAT_Rate]]</f>
        <v>0</v>
      </c>
      <c r="L256" s="4">
        <f>RawTable[[#This Row],[VAT_Amount]]</f>
        <v>0</v>
      </c>
      <c r="M256" s="4">
        <f>RawTable[[#This Row],[Gross_Amount]]</f>
        <v>4753.84</v>
      </c>
      <c r="N256" s="4">
        <f>RawTable[[#This Row],[Exchange_Rate]]</f>
        <v>1</v>
      </c>
      <c r="O256" s="4">
        <f>RawTable[[#This Row],[Amount_CHF]]</f>
        <v>4753.84</v>
      </c>
      <c r="P25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5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56" s="11" t="str">
        <f>IF(ValidationTable[[#This Row],[Currency]]="","Fail","Pass")</f>
        <v>Pass</v>
      </c>
      <c r="S256" s="11" t="str">
        <f>IF(
ValidationTable[[#This Row],[Currency]]="CHF",
IF(ValidationTable[[#This Row],[Exchange_Rate]]&lt;&gt;1,"Fail","Pass"),
IF(ValidationTable[[#This Row],[Exchange_Rate]]&lt;=0,"Fail","Pass")
)</f>
        <v>Pass</v>
      </c>
      <c r="T25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56" s="11" t="str">
        <f>IF(LEN(TRIM(ValidationTable[[#This Row],[Bank_Account]]))=0,"Fail","Pass")</f>
        <v>Pass</v>
      </c>
      <c r="V256" s="11" t="str">
        <f>IF(
COUNTIF(ValidationTable[Record_ID],ValidationTable[[#This Row],[Record_ID]])&gt;1,
"Fail",
"Pass"
)</f>
        <v>Pass</v>
      </c>
      <c r="W256" s="11" t="str">
        <f>IF(
COUNTIF(ValidationTable[[#This Row],[RequiredField_Validation]]:ValidationTable[[#This Row],[Duplicate_Validation]],"Fail")&gt;0,
"Fail",
"Pass"
)</f>
        <v>Pass</v>
      </c>
      <c r="X256" s="11" t="str">
        <f>IF(ValidationTable[[#This Row],[Validation_Result]]="Pass","Yes","No")</f>
        <v>Yes</v>
      </c>
    </row>
    <row r="257" spans="1:24">
      <c r="A257" s="11">
        <f>RawTable[[#This Row],[Record_ID]]</f>
        <v>256</v>
      </c>
      <c r="B257" s="11" t="str">
        <f>RawTable[[#This Row],[Payment_Type]]</f>
        <v>Contractor_Fee</v>
      </c>
      <c r="C257" s="11" t="str">
        <f>RawTable[[#This Row],[Entity_Type]]</f>
        <v>Contractor</v>
      </c>
      <c r="D257" s="11" t="str">
        <f>RawTable[[#This Row],[Country]]</f>
        <v>Switzerland</v>
      </c>
      <c r="E257" s="11" t="str">
        <f>RawTable[[#This Row],[Name]]</f>
        <v>Lina Brown</v>
      </c>
      <c r="F257" s="11" t="str">
        <f>RawTable[[#This Row],[Bank_Account]]</f>
        <v>US-RT-000051828-AC-0000238476</v>
      </c>
      <c r="G257" s="11" t="str">
        <f>RawTable[[#This Row],[Month]]</f>
        <v>Feb-2026</v>
      </c>
      <c r="H257" s="11" t="str">
        <f>RawTable[[#This Row],[Currency]]</f>
        <v>CHF</v>
      </c>
      <c r="I257" s="4">
        <f>RawTable[[#This Row],[Net_Amount]]</f>
        <v>5621.2</v>
      </c>
      <c r="J257" s="2" t="str">
        <f>RawTable[[#This Row],[VAT_Applicable]]</f>
        <v>No</v>
      </c>
      <c r="K257" s="4">
        <f>RawTable[[#This Row],[VAT_Rate]]</f>
        <v>0</v>
      </c>
      <c r="L257" s="4">
        <f>RawTable[[#This Row],[VAT_Amount]]</f>
        <v>0</v>
      </c>
      <c r="M257" s="4">
        <f>RawTable[[#This Row],[Gross_Amount]]</f>
        <v>5621.2</v>
      </c>
      <c r="N257" s="4">
        <f>RawTable[[#This Row],[Exchange_Rate]]</f>
        <v>1</v>
      </c>
      <c r="O257" s="4">
        <f>RawTable[[#This Row],[Amount_CHF]]</f>
        <v>5621.2</v>
      </c>
      <c r="P25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5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57" s="11" t="str">
        <f>IF(ValidationTable[[#This Row],[Currency]]="","Fail","Pass")</f>
        <v>Pass</v>
      </c>
      <c r="S257" s="11" t="str">
        <f>IF(
ValidationTable[[#This Row],[Currency]]="CHF",
IF(ValidationTable[[#This Row],[Exchange_Rate]]&lt;&gt;1,"Fail","Pass"),
IF(ValidationTable[[#This Row],[Exchange_Rate]]&lt;=0,"Fail","Pass")
)</f>
        <v>Pass</v>
      </c>
      <c r="T25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57" s="11" t="str">
        <f>IF(LEN(TRIM(ValidationTable[[#This Row],[Bank_Account]]))=0,"Fail","Pass")</f>
        <v>Pass</v>
      </c>
      <c r="V257" s="11" t="str">
        <f>IF(
COUNTIF(ValidationTable[Record_ID],ValidationTable[[#This Row],[Record_ID]])&gt;1,
"Fail",
"Pass"
)</f>
        <v>Pass</v>
      </c>
      <c r="W257" s="11" t="str">
        <f>IF(
COUNTIF(ValidationTable[[#This Row],[RequiredField_Validation]]:ValidationTable[[#This Row],[Duplicate_Validation]],"Fail")&gt;0,
"Fail",
"Pass"
)</f>
        <v>Pass</v>
      </c>
      <c r="X257" s="11" t="str">
        <f>IF(ValidationTable[[#This Row],[Validation_Result]]="Pass","Yes","No")</f>
        <v>Yes</v>
      </c>
    </row>
    <row r="258" spans="1:24" hidden="1">
      <c r="A258" s="11">
        <f>RawTable[[#This Row],[Record_ID]]</f>
        <v>257</v>
      </c>
      <c r="B258" s="11" t="str">
        <f>RawTable[[#This Row],[Payment_Type]]</f>
        <v>Contractor_Fee</v>
      </c>
      <c r="C258" s="11" t="str">
        <f>RawTable[[#This Row],[Entity_Type]]</f>
        <v>Contractor</v>
      </c>
      <c r="D258" s="11" t="str">
        <f>RawTable[[#This Row],[Country]]</f>
        <v>Jordan</v>
      </c>
      <c r="E258" s="11" t="str">
        <f>RawTable[[#This Row],[Name]]</f>
        <v>Laura Wilson</v>
      </c>
      <c r="F258" s="11" t="str">
        <f>RawTable[[#This Row],[Bank_Account]]</f>
        <v>CH930000000001159960</v>
      </c>
      <c r="G258" s="11" t="str">
        <f>RawTable[[#This Row],[Month]]</f>
        <v>Feb-2026</v>
      </c>
      <c r="H258" s="11" t="str">
        <f>RawTable[[#This Row],[Currency]]</f>
        <v>JOD</v>
      </c>
      <c r="I258" s="4">
        <f>RawTable[[#This Row],[Net_Amount]]</f>
        <v>1482.05</v>
      </c>
      <c r="J258" s="2" t="str">
        <f>RawTable[[#This Row],[VAT_Applicable]]</f>
        <v>No</v>
      </c>
      <c r="K258" s="4">
        <f>RawTable[[#This Row],[VAT_Rate]]</f>
        <v>0</v>
      </c>
      <c r="L258" s="4">
        <f>RawTable[[#This Row],[VAT_Amount]]</f>
        <v>0</v>
      </c>
      <c r="M258" s="4">
        <f>RawTable[[#This Row],[Gross_Amount]]</f>
        <v>1490</v>
      </c>
      <c r="N258" s="4">
        <f>RawTable[[#This Row],[Exchange_Rate]]</f>
        <v>1.08643</v>
      </c>
      <c r="O258" s="4">
        <f>RawTable[[#This Row],[Amount_CHF]]</f>
        <v>1618.78</v>
      </c>
      <c r="P25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58" s="11" t="str">
        <f>IF(
OR(ValidationTable[[#This Row],[Net_Amount]]&lt;=0,
ROUND(ValidationTable[[#This Row],[Net_Amount]]+ValidationTable[[#This Row],[VAT_Amount]],2)&lt;&gt;ROUND(ValidationTable[[#This Row],[Gross_Amount]],2)
),
"Fail",
"Pass"
)</f>
        <v>Fail</v>
      </c>
      <c r="R258" s="11" t="str">
        <f>IF(ValidationTable[[#This Row],[Currency]]="","Fail","Pass")</f>
        <v>Pass</v>
      </c>
      <c r="S258" s="11" t="str">
        <f>IF(
ValidationTable[[#This Row],[Currency]]="CHF",
IF(ValidationTable[[#This Row],[Exchange_Rate]]&lt;&gt;1,"Fail","Pass"),
IF(ValidationTable[[#This Row],[Exchange_Rate]]&lt;=0,"Fail","Pass")
)</f>
        <v>Pass</v>
      </c>
      <c r="T25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58" s="11" t="str">
        <f>IF(LEN(TRIM(ValidationTable[[#This Row],[Bank_Account]]))=0,"Fail","Pass")</f>
        <v>Pass</v>
      </c>
      <c r="V258" s="11" t="str">
        <f>IF(
COUNTIF(ValidationTable[Record_ID],ValidationTable[[#This Row],[Record_ID]])&gt;1,
"Fail",
"Pass"
)</f>
        <v>Pass</v>
      </c>
      <c r="W258" s="11" t="str">
        <f>IF(
COUNTIF(ValidationTable[[#This Row],[RequiredField_Validation]]:ValidationTable[[#This Row],[Duplicate_Validation]],"Fail")&gt;0,
"Fail",
"Pass"
)</f>
        <v>Fail</v>
      </c>
      <c r="X258" s="11" t="str">
        <f>IF(ValidationTable[[#This Row],[Validation_Result]]="Pass","Yes","No")</f>
        <v>No</v>
      </c>
    </row>
    <row r="259" spans="1:24">
      <c r="A259" s="11">
        <f>RawTable[[#This Row],[Record_ID]]</f>
        <v>258</v>
      </c>
      <c r="B259" s="11" t="str">
        <f>RawTable[[#This Row],[Payment_Type]]</f>
        <v>Contractor_Fee</v>
      </c>
      <c r="C259" s="11" t="str">
        <f>RawTable[[#This Row],[Entity_Type]]</f>
        <v>Contractor</v>
      </c>
      <c r="D259" s="11" t="str">
        <f>RawTable[[#This Row],[Country]]</f>
        <v>Germany</v>
      </c>
      <c r="E259" s="11" t="str">
        <f>RawTable[[#This Row],[Name]]</f>
        <v>Laura Schmidt</v>
      </c>
      <c r="F259" s="11" t="str">
        <f>RawTable[[#This Row],[Bank_Account]]</f>
        <v>US-RT-000104890-AC-0000482630</v>
      </c>
      <c r="G259" s="11" t="str">
        <f>RawTable[[#This Row],[Month]]</f>
        <v>Jan-2026</v>
      </c>
      <c r="H259" s="11" t="str">
        <f>RawTable[[#This Row],[Currency]]</f>
        <v>EUR</v>
      </c>
      <c r="I259" s="4">
        <f>RawTable[[#This Row],[Net_Amount]]</f>
        <v>5040.4799999999996</v>
      </c>
      <c r="J259" s="2" t="str">
        <f>RawTable[[#This Row],[VAT_Applicable]]</f>
        <v>No</v>
      </c>
      <c r="K259" s="4">
        <f>RawTable[[#This Row],[VAT_Rate]]</f>
        <v>0</v>
      </c>
      <c r="L259" s="4">
        <f>RawTable[[#This Row],[VAT_Amount]]</f>
        <v>0</v>
      </c>
      <c r="M259" s="4">
        <f>RawTable[[#This Row],[Gross_Amount]]</f>
        <v>5040.4799999999996</v>
      </c>
      <c r="N259" s="4">
        <f>RawTable[[#This Row],[Exchange_Rate]]</f>
        <v>0.90888000000000002</v>
      </c>
      <c r="O259" s="4">
        <f>RawTable[[#This Row],[Amount_CHF]]</f>
        <v>4581.1899999999996</v>
      </c>
      <c r="P25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5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59" s="11" t="str">
        <f>IF(ValidationTable[[#This Row],[Currency]]="","Fail","Pass")</f>
        <v>Pass</v>
      </c>
      <c r="S259" s="11" t="str">
        <f>IF(
ValidationTable[[#This Row],[Currency]]="CHF",
IF(ValidationTable[[#This Row],[Exchange_Rate]]&lt;&gt;1,"Fail","Pass"),
IF(ValidationTable[[#This Row],[Exchange_Rate]]&lt;=0,"Fail","Pass")
)</f>
        <v>Pass</v>
      </c>
      <c r="T25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59" s="11" t="str">
        <f>IF(LEN(TRIM(ValidationTable[[#This Row],[Bank_Account]]))=0,"Fail","Pass")</f>
        <v>Pass</v>
      </c>
      <c r="V259" s="11" t="str">
        <f>IF(
COUNTIF(ValidationTable[Record_ID],ValidationTable[[#This Row],[Record_ID]])&gt;1,
"Fail",
"Pass"
)</f>
        <v>Pass</v>
      </c>
      <c r="W259" s="11" t="str">
        <f>IF(
COUNTIF(ValidationTable[[#This Row],[RequiredField_Validation]]:ValidationTable[[#This Row],[Duplicate_Validation]],"Fail")&gt;0,
"Fail",
"Pass"
)</f>
        <v>Pass</v>
      </c>
      <c r="X259" s="11" t="str">
        <f>IF(ValidationTable[[#This Row],[Validation_Result]]="Pass","Yes","No")</f>
        <v>Yes</v>
      </c>
    </row>
    <row r="260" spans="1:24">
      <c r="A260" s="11">
        <f>RawTable[[#This Row],[Record_ID]]</f>
        <v>259</v>
      </c>
      <c r="B260" s="11" t="str">
        <f>RawTable[[#This Row],[Payment_Type]]</f>
        <v>Contractor_Fee</v>
      </c>
      <c r="C260" s="11" t="str">
        <f>RawTable[[#This Row],[Entity_Type]]</f>
        <v>Contractor</v>
      </c>
      <c r="D260" s="11" t="str">
        <f>RawTable[[#This Row],[Country]]</f>
        <v>UAE</v>
      </c>
      <c r="E260" s="11" t="str">
        <f>RawTable[[#This Row],[Name]]</f>
        <v>Anna Johnson</v>
      </c>
      <c r="F260" s="11" t="str">
        <f>RawTable[[#This Row],[Bank_Account]]</f>
        <v>AE-IBAN-03530865</v>
      </c>
      <c r="G260" s="11" t="str">
        <f>RawTable[[#This Row],[Month]]</f>
        <v>Feb-2026</v>
      </c>
      <c r="H260" s="11" t="str">
        <f>RawTable[[#This Row],[Currency]]</f>
        <v>AED</v>
      </c>
      <c r="I260" s="4">
        <f>RawTable[[#This Row],[Net_Amount]]</f>
        <v>19263.2</v>
      </c>
      <c r="J260" s="2" t="str">
        <f>RawTable[[#This Row],[VAT_Applicable]]</f>
        <v>No</v>
      </c>
      <c r="K260" s="4">
        <f>RawTable[[#This Row],[VAT_Rate]]</f>
        <v>0</v>
      </c>
      <c r="L260" s="4">
        <f>RawTable[[#This Row],[VAT_Amount]]</f>
        <v>0</v>
      </c>
      <c r="M260" s="4">
        <f>RawTable[[#This Row],[Gross_Amount]]</f>
        <v>19263.2</v>
      </c>
      <c r="N260" s="4">
        <f>RawTable[[#This Row],[Exchange_Rate]]</f>
        <v>0.21065</v>
      </c>
      <c r="O260" s="4">
        <f>RawTable[[#This Row],[Amount_CHF]]</f>
        <v>4057.79</v>
      </c>
      <c r="P26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6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60" s="11" t="str">
        <f>IF(ValidationTable[[#This Row],[Currency]]="","Fail","Pass")</f>
        <v>Pass</v>
      </c>
      <c r="S260" s="11" t="str">
        <f>IF(
ValidationTable[[#This Row],[Currency]]="CHF",
IF(ValidationTable[[#This Row],[Exchange_Rate]]&lt;&gt;1,"Fail","Pass"),
IF(ValidationTable[[#This Row],[Exchange_Rate]]&lt;=0,"Fail","Pass")
)</f>
        <v>Pass</v>
      </c>
      <c r="T26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60" s="11" t="str">
        <f>IF(LEN(TRIM(ValidationTable[[#This Row],[Bank_Account]]))=0,"Fail","Pass")</f>
        <v>Pass</v>
      </c>
      <c r="V260" s="11" t="str">
        <f>IF(
COUNTIF(ValidationTable[Record_ID],ValidationTable[[#This Row],[Record_ID]])&gt;1,
"Fail",
"Pass"
)</f>
        <v>Pass</v>
      </c>
      <c r="W260" s="11" t="str">
        <f>IF(
COUNTIF(ValidationTable[[#This Row],[RequiredField_Validation]]:ValidationTable[[#This Row],[Duplicate_Validation]],"Fail")&gt;0,
"Fail",
"Pass"
)</f>
        <v>Pass</v>
      </c>
      <c r="X260" s="11" t="str">
        <f>IF(ValidationTable[[#This Row],[Validation_Result]]="Pass","Yes","No")</f>
        <v>Yes</v>
      </c>
    </row>
    <row r="261" spans="1:24">
      <c r="A261" s="11">
        <f>RawTable[[#This Row],[Record_ID]]</f>
        <v>260</v>
      </c>
      <c r="B261" s="11" t="str">
        <f>RawTable[[#This Row],[Payment_Type]]</f>
        <v>Contractor_Fee</v>
      </c>
      <c r="C261" s="11" t="str">
        <f>RawTable[[#This Row],[Entity_Type]]</f>
        <v>Contractor</v>
      </c>
      <c r="D261" s="11" t="str">
        <f>RawTable[[#This Row],[Country]]</f>
        <v>USA</v>
      </c>
      <c r="E261" s="11" t="str">
        <f>RawTable[[#This Row],[Name]]</f>
        <v>Anna Brown</v>
      </c>
      <c r="F261" s="11" t="str">
        <f>RawTable[[#This Row],[Bank_Account]]</f>
        <v>JO-IBAN-00790080</v>
      </c>
      <c r="G261" s="11" t="str">
        <f>RawTable[[#This Row],[Month]]</f>
        <v>Jan-2026</v>
      </c>
      <c r="H261" s="11" t="str">
        <f>RawTable[[#This Row],[Currency]]</f>
        <v>USD</v>
      </c>
      <c r="I261" s="4">
        <f>RawTable[[#This Row],[Net_Amount]]</f>
        <v>5396.72</v>
      </c>
      <c r="J261" s="2" t="str">
        <f>RawTable[[#This Row],[VAT_Applicable]]</f>
        <v>No</v>
      </c>
      <c r="K261" s="4">
        <f>RawTable[[#This Row],[VAT_Rate]]</f>
        <v>0</v>
      </c>
      <c r="L261" s="4">
        <f>RawTable[[#This Row],[VAT_Amount]]</f>
        <v>0</v>
      </c>
      <c r="M261" s="4">
        <f>RawTable[[#This Row],[Gross_Amount]]</f>
        <v>5396.72</v>
      </c>
      <c r="N261" s="4">
        <f>RawTable[[#This Row],[Exchange_Rate]]</f>
        <v>0.77017999999999998</v>
      </c>
      <c r="O261" s="4">
        <f>RawTable[[#This Row],[Amount_CHF]]</f>
        <v>4156.45</v>
      </c>
      <c r="P26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6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61" s="11" t="str">
        <f>IF(ValidationTable[[#This Row],[Currency]]="","Fail","Pass")</f>
        <v>Pass</v>
      </c>
      <c r="S261" s="11" t="str">
        <f>IF(
ValidationTable[[#This Row],[Currency]]="CHF",
IF(ValidationTable[[#This Row],[Exchange_Rate]]&lt;&gt;1,"Fail","Pass"),
IF(ValidationTable[[#This Row],[Exchange_Rate]]&lt;=0,"Fail","Pass")
)</f>
        <v>Pass</v>
      </c>
      <c r="T26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61" s="11" t="str">
        <f>IF(LEN(TRIM(ValidationTable[[#This Row],[Bank_Account]]))=0,"Fail","Pass")</f>
        <v>Pass</v>
      </c>
      <c r="V261" s="11" t="str">
        <f>IF(
COUNTIF(ValidationTable[Record_ID],ValidationTable[[#This Row],[Record_ID]])&gt;1,
"Fail",
"Pass"
)</f>
        <v>Pass</v>
      </c>
      <c r="W261" s="11" t="str">
        <f>IF(
COUNTIF(ValidationTable[[#This Row],[RequiredField_Validation]]:ValidationTable[[#This Row],[Duplicate_Validation]],"Fail")&gt;0,
"Fail",
"Pass"
)</f>
        <v>Pass</v>
      </c>
      <c r="X261" s="11" t="str">
        <f>IF(ValidationTable[[#This Row],[Validation_Result]]="Pass","Yes","No")</f>
        <v>Yes</v>
      </c>
    </row>
    <row r="262" spans="1:24">
      <c r="A262" s="11">
        <f>RawTable[[#This Row],[Record_ID]]</f>
        <v>261</v>
      </c>
      <c r="B262" s="11" t="str">
        <f>RawTable[[#This Row],[Payment_Type]]</f>
        <v>Contractor_Fee</v>
      </c>
      <c r="C262" s="11" t="str">
        <f>RawTable[[#This Row],[Entity_Type]]</f>
        <v>Contractor</v>
      </c>
      <c r="D262" s="11" t="str">
        <f>RawTable[[#This Row],[Country]]</f>
        <v>Switzerland</v>
      </c>
      <c r="E262" s="11" t="str">
        <f>RawTable[[#This Row],[Name]]</f>
        <v>John Müller</v>
      </c>
      <c r="F262" s="11" t="str">
        <f>RawTable[[#This Row],[Bank_Account]]</f>
        <v>CH930000000001382080</v>
      </c>
      <c r="G262" s="11" t="str">
        <f>RawTable[[#This Row],[Month]]</f>
        <v>Feb-2026</v>
      </c>
      <c r="H262" s="11" t="str">
        <f>RawTable[[#This Row],[Currency]]</f>
        <v>CHF</v>
      </c>
      <c r="I262" s="4">
        <f>RawTable[[#This Row],[Net_Amount]]</f>
        <v>5028.92</v>
      </c>
      <c r="J262" s="2" t="str">
        <f>RawTable[[#This Row],[VAT_Applicable]]</f>
        <v>No</v>
      </c>
      <c r="K262" s="4">
        <f>RawTable[[#This Row],[VAT_Rate]]</f>
        <v>0</v>
      </c>
      <c r="L262" s="4">
        <f>RawTable[[#This Row],[VAT_Amount]]</f>
        <v>0</v>
      </c>
      <c r="M262" s="4">
        <f>RawTable[[#This Row],[Gross_Amount]]</f>
        <v>5028.92</v>
      </c>
      <c r="N262" s="4">
        <f>RawTable[[#This Row],[Exchange_Rate]]</f>
        <v>1</v>
      </c>
      <c r="O262" s="4">
        <f>RawTable[[#This Row],[Amount_CHF]]</f>
        <v>5028.92</v>
      </c>
      <c r="P26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6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62" s="11" t="str">
        <f>IF(ValidationTable[[#This Row],[Currency]]="","Fail","Pass")</f>
        <v>Pass</v>
      </c>
      <c r="S262" s="11" t="str">
        <f>IF(
ValidationTable[[#This Row],[Currency]]="CHF",
IF(ValidationTable[[#This Row],[Exchange_Rate]]&lt;&gt;1,"Fail","Pass"),
IF(ValidationTable[[#This Row],[Exchange_Rate]]&lt;=0,"Fail","Pass")
)</f>
        <v>Pass</v>
      </c>
      <c r="T26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62" s="11" t="str">
        <f>IF(LEN(TRIM(ValidationTable[[#This Row],[Bank_Account]]))=0,"Fail","Pass")</f>
        <v>Pass</v>
      </c>
      <c r="V262" s="11" t="str">
        <f>IF(
COUNTIF(ValidationTable[Record_ID],ValidationTable[[#This Row],[Record_ID]])&gt;1,
"Fail",
"Pass"
)</f>
        <v>Pass</v>
      </c>
      <c r="W262" s="11" t="str">
        <f>IF(
COUNTIF(ValidationTable[[#This Row],[RequiredField_Validation]]:ValidationTable[[#This Row],[Duplicate_Validation]],"Fail")&gt;0,
"Fail",
"Pass"
)</f>
        <v>Pass</v>
      </c>
      <c r="X262" s="11" t="str">
        <f>IF(ValidationTable[[#This Row],[Validation_Result]]="Pass","Yes","No")</f>
        <v>Yes</v>
      </c>
    </row>
    <row r="263" spans="1:24">
      <c r="A263" s="11">
        <f>RawTable[[#This Row],[Record_ID]]</f>
        <v>262</v>
      </c>
      <c r="B263" s="11" t="str">
        <f>RawTable[[#This Row],[Payment_Type]]</f>
        <v>Contractor_Fee</v>
      </c>
      <c r="C263" s="11" t="str">
        <f>RawTable[[#This Row],[Entity_Type]]</f>
        <v>Contractor</v>
      </c>
      <c r="D263" s="11" t="str">
        <f>RawTable[[#This Row],[Country]]</f>
        <v>Switzerland</v>
      </c>
      <c r="E263" s="11" t="str">
        <f>RawTable[[#This Row],[Name]]</f>
        <v>Laura Taylor</v>
      </c>
      <c r="F263" s="11" t="str">
        <f>RawTable[[#This Row],[Bank_Account]]</f>
        <v>DE890000000000977688</v>
      </c>
      <c r="G263" s="11" t="str">
        <f>RawTable[[#This Row],[Month]]</f>
        <v>Mar-2026</v>
      </c>
      <c r="H263" s="11" t="str">
        <f>RawTable[[#This Row],[Currency]]</f>
        <v>CHF</v>
      </c>
      <c r="I263" s="4">
        <f>RawTable[[#This Row],[Net_Amount]]</f>
        <v>5172.46</v>
      </c>
      <c r="J263" s="2" t="str">
        <f>RawTable[[#This Row],[VAT_Applicable]]</f>
        <v>No</v>
      </c>
      <c r="K263" s="4">
        <f>RawTable[[#This Row],[VAT_Rate]]</f>
        <v>0</v>
      </c>
      <c r="L263" s="4">
        <f>RawTable[[#This Row],[VAT_Amount]]</f>
        <v>0</v>
      </c>
      <c r="M263" s="4">
        <f>RawTable[[#This Row],[Gross_Amount]]</f>
        <v>5172.46</v>
      </c>
      <c r="N263" s="4">
        <f>RawTable[[#This Row],[Exchange_Rate]]</f>
        <v>1</v>
      </c>
      <c r="O263" s="4">
        <f>RawTable[[#This Row],[Amount_CHF]]</f>
        <v>5172.46</v>
      </c>
      <c r="P26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6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63" s="11" t="str">
        <f>IF(ValidationTable[[#This Row],[Currency]]="","Fail","Pass")</f>
        <v>Pass</v>
      </c>
      <c r="S263" s="11" t="str">
        <f>IF(
ValidationTable[[#This Row],[Currency]]="CHF",
IF(ValidationTable[[#This Row],[Exchange_Rate]]&lt;&gt;1,"Fail","Pass"),
IF(ValidationTable[[#This Row],[Exchange_Rate]]&lt;=0,"Fail","Pass")
)</f>
        <v>Pass</v>
      </c>
      <c r="T26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63" s="11" t="str">
        <f>IF(LEN(TRIM(ValidationTable[[#This Row],[Bank_Account]]))=0,"Fail","Pass")</f>
        <v>Pass</v>
      </c>
      <c r="V263" s="11" t="str">
        <f>IF(
COUNTIF(ValidationTable[Record_ID],ValidationTable[[#This Row],[Record_ID]])&gt;1,
"Fail",
"Pass"
)</f>
        <v>Pass</v>
      </c>
      <c r="W263" s="11" t="str">
        <f>IF(
COUNTIF(ValidationTable[[#This Row],[RequiredField_Validation]]:ValidationTable[[#This Row],[Duplicate_Validation]],"Fail")&gt;0,
"Fail",
"Pass"
)</f>
        <v>Pass</v>
      </c>
      <c r="X263" s="11" t="str">
        <f>IF(ValidationTable[[#This Row],[Validation_Result]]="Pass","Yes","No")</f>
        <v>Yes</v>
      </c>
    </row>
    <row r="264" spans="1:24">
      <c r="A264" s="11">
        <f>RawTable[[#This Row],[Record_ID]]</f>
        <v>263</v>
      </c>
      <c r="B264" s="11" t="str">
        <f>RawTable[[#This Row],[Payment_Type]]</f>
        <v>Contractor_Fee</v>
      </c>
      <c r="C264" s="11" t="str">
        <f>RawTable[[#This Row],[Entity_Type]]</f>
        <v>Contractor</v>
      </c>
      <c r="D264" s="11" t="str">
        <f>RawTable[[#This Row],[Country]]</f>
        <v>Germany</v>
      </c>
      <c r="E264" s="11" t="str">
        <f>RawTable[[#This Row],[Name]]</f>
        <v>Omar Johnson</v>
      </c>
      <c r="F264" s="11" t="str">
        <f>RawTable[[#This Row],[Bank_Account]]</f>
        <v>DE890000000000366633</v>
      </c>
      <c r="G264" s="11" t="str">
        <f>RawTable[[#This Row],[Month]]</f>
        <v>Jan-2026</v>
      </c>
      <c r="H264" s="11" t="str">
        <f>RawTable[[#This Row],[Currency]]</f>
        <v>EUR</v>
      </c>
      <c r="I264" s="4">
        <f>RawTable[[#This Row],[Net_Amount]]</f>
        <v>4832.6400000000003</v>
      </c>
      <c r="J264" s="2" t="str">
        <f>RawTable[[#This Row],[VAT_Applicable]]</f>
        <v>No</v>
      </c>
      <c r="K264" s="4">
        <f>RawTable[[#This Row],[VAT_Rate]]</f>
        <v>0</v>
      </c>
      <c r="L264" s="4">
        <f>RawTable[[#This Row],[VAT_Amount]]</f>
        <v>0</v>
      </c>
      <c r="M264" s="4">
        <f>RawTable[[#This Row],[Gross_Amount]]</f>
        <v>4832.6400000000003</v>
      </c>
      <c r="N264" s="4">
        <f>RawTable[[#This Row],[Exchange_Rate]]</f>
        <v>0.90888000000000002</v>
      </c>
      <c r="O264" s="4">
        <f>RawTable[[#This Row],[Amount_CHF]]</f>
        <v>4392.29</v>
      </c>
      <c r="P26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6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64" s="11" t="str">
        <f>IF(ValidationTable[[#This Row],[Currency]]="","Fail","Pass")</f>
        <v>Pass</v>
      </c>
      <c r="S264" s="11" t="str">
        <f>IF(
ValidationTable[[#This Row],[Currency]]="CHF",
IF(ValidationTable[[#This Row],[Exchange_Rate]]&lt;&gt;1,"Fail","Pass"),
IF(ValidationTable[[#This Row],[Exchange_Rate]]&lt;=0,"Fail","Pass")
)</f>
        <v>Pass</v>
      </c>
      <c r="T26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64" s="11" t="str">
        <f>IF(LEN(TRIM(ValidationTable[[#This Row],[Bank_Account]]))=0,"Fail","Pass")</f>
        <v>Pass</v>
      </c>
      <c r="V264" s="11" t="str">
        <f>IF(
COUNTIF(ValidationTable[Record_ID],ValidationTable[[#This Row],[Record_ID]])&gt;1,
"Fail",
"Pass"
)</f>
        <v>Pass</v>
      </c>
      <c r="W264" s="11" t="str">
        <f>IF(
COUNTIF(ValidationTable[[#This Row],[RequiredField_Validation]]:ValidationTable[[#This Row],[Duplicate_Validation]],"Fail")&gt;0,
"Fail",
"Pass"
)</f>
        <v>Pass</v>
      </c>
      <c r="X264" s="11" t="str">
        <f>IF(ValidationTable[[#This Row],[Validation_Result]]="Pass","Yes","No")</f>
        <v>Yes</v>
      </c>
    </row>
    <row r="265" spans="1:24">
      <c r="A265" s="11">
        <f>RawTable[[#This Row],[Record_ID]]</f>
        <v>264</v>
      </c>
      <c r="B265" s="11" t="str">
        <f>RawTable[[#This Row],[Payment_Type]]</f>
        <v>Contractor_Fee</v>
      </c>
      <c r="C265" s="11" t="str">
        <f>RawTable[[#This Row],[Entity_Type]]</f>
        <v>Contractor</v>
      </c>
      <c r="D265" s="11" t="str">
        <f>RawTable[[#This Row],[Country]]</f>
        <v>USA</v>
      </c>
      <c r="E265" s="11" t="str">
        <f>RawTable[[#This Row],[Name]]</f>
        <v>Lina Wilson</v>
      </c>
      <c r="F265" s="11" t="str">
        <f>RawTable[[#This Row],[Bank_Account]]</f>
        <v>US-RT-000012340-AC-0000056780</v>
      </c>
      <c r="G265" s="11" t="str">
        <f>RawTable[[#This Row],[Month]]</f>
        <v>Jan-2026</v>
      </c>
      <c r="H265" s="11" t="str">
        <f>RawTable[[#This Row],[Currency]]</f>
        <v>USD</v>
      </c>
      <c r="I265" s="4">
        <f>RawTable[[#This Row],[Net_Amount]]</f>
        <v>6087.28</v>
      </c>
      <c r="J265" s="2" t="str">
        <f>RawTable[[#This Row],[VAT_Applicable]]</f>
        <v>No</v>
      </c>
      <c r="K265" s="4">
        <f>RawTable[[#This Row],[VAT_Rate]]</f>
        <v>0</v>
      </c>
      <c r="L265" s="4">
        <f>RawTable[[#This Row],[VAT_Amount]]</f>
        <v>0</v>
      </c>
      <c r="M265" s="4">
        <f>RawTable[[#This Row],[Gross_Amount]]</f>
        <v>6087.28</v>
      </c>
      <c r="N265" s="4">
        <f>RawTable[[#This Row],[Exchange_Rate]]</f>
        <v>0.77017999999999998</v>
      </c>
      <c r="O265" s="4">
        <f>RawTable[[#This Row],[Amount_CHF]]</f>
        <v>4688.3</v>
      </c>
      <c r="P26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6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65" s="11" t="str">
        <f>IF(ValidationTable[[#This Row],[Currency]]="","Fail","Pass")</f>
        <v>Pass</v>
      </c>
      <c r="S265" s="11" t="str">
        <f>IF(
ValidationTable[[#This Row],[Currency]]="CHF",
IF(ValidationTable[[#This Row],[Exchange_Rate]]&lt;&gt;1,"Fail","Pass"),
IF(ValidationTable[[#This Row],[Exchange_Rate]]&lt;=0,"Fail","Pass")
)</f>
        <v>Pass</v>
      </c>
      <c r="T26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65" s="11" t="str">
        <f>IF(LEN(TRIM(ValidationTable[[#This Row],[Bank_Account]]))=0,"Fail","Pass")</f>
        <v>Pass</v>
      </c>
      <c r="V265" s="11" t="str">
        <f>IF(
COUNTIF(ValidationTable[Record_ID],ValidationTable[[#This Row],[Record_ID]])&gt;1,
"Fail",
"Pass"
)</f>
        <v>Pass</v>
      </c>
      <c r="W265" s="11" t="str">
        <f>IF(
COUNTIF(ValidationTable[[#This Row],[RequiredField_Validation]]:ValidationTable[[#This Row],[Duplicate_Validation]],"Fail")&gt;0,
"Fail",
"Pass"
)</f>
        <v>Pass</v>
      </c>
      <c r="X265" s="11" t="str">
        <f>IF(ValidationTable[[#This Row],[Validation_Result]]="Pass","Yes","No")</f>
        <v>Yes</v>
      </c>
    </row>
    <row r="266" spans="1:24">
      <c r="A266" s="11">
        <f>RawTable[[#This Row],[Record_ID]]</f>
        <v>265</v>
      </c>
      <c r="B266" s="11" t="str">
        <f>RawTable[[#This Row],[Payment_Type]]</f>
        <v>Contractor_Fee</v>
      </c>
      <c r="C266" s="11" t="str">
        <f>RawTable[[#This Row],[Entity_Type]]</f>
        <v>Contractor</v>
      </c>
      <c r="D266" s="11" t="str">
        <f>RawTable[[#This Row],[Country]]</f>
        <v>Switzerland</v>
      </c>
      <c r="E266" s="11" t="str">
        <f>RawTable[[#This Row],[Name]]</f>
        <v>Anna Haddad</v>
      </c>
      <c r="F266" s="11" t="str">
        <f>RawTable[[#This Row],[Bank_Account]]</f>
        <v>AE-IBAN-04400001</v>
      </c>
      <c r="G266" s="11" t="str">
        <f>RawTable[[#This Row],[Month]]</f>
        <v>Feb-2026</v>
      </c>
      <c r="H266" s="11" t="str">
        <f>RawTable[[#This Row],[Currency]]</f>
        <v>CHF</v>
      </c>
      <c r="I266" s="4">
        <f>RawTable[[#This Row],[Net_Amount]]</f>
        <v>5380.44</v>
      </c>
      <c r="J266" s="2" t="str">
        <f>RawTable[[#This Row],[VAT_Applicable]]</f>
        <v>No</v>
      </c>
      <c r="K266" s="4">
        <f>RawTable[[#This Row],[VAT_Rate]]</f>
        <v>0</v>
      </c>
      <c r="L266" s="4">
        <f>RawTable[[#This Row],[VAT_Amount]]</f>
        <v>0</v>
      </c>
      <c r="M266" s="4">
        <f>RawTable[[#This Row],[Gross_Amount]]</f>
        <v>5380.44</v>
      </c>
      <c r="N266" s="4">
        <f>RawTable[[#This Row],[Exchange_Rate]]</f>
        <v>1</v>
      </c>
      <c r="O266" s="4">
        <f>RawTable[[#This Row],[Amount_CHF]]</f>
        <v>5380.44</v>
      </c>
      <c r="P26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6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66" s="11" t="str">
        <f>IF(ValidationTable[[#This Row],[Currency]]="","Fail","Pass")</f>
        <v>Pass</v>
      </c>
      <c r="S266" s="11" t="str">
        <f>IF(
ValidationTable[[#This Row],[Currency]]="CHF",
IF(ValidationTable[[#This Row],[Exchange_Rate]]&lt;&gt;1,"Fail","Pass"),
IF(ValidationTable[[#This Row],[Exchange_Rate]]&lt;=0,"Fail","Pass")
)</f>
        <v>Pass</v>
      </c>
      <c r="T26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66" s="11" t="str">
        <f>IF(LEN(TRIM(ValidationTable[[#This Row],[Bank_Account]]))=0,"Fail","Pass")</f>
        <v>Pass</v>
      </c>
      <c r="V266" s="11" t="str">
        <f>IF(
COUNTIF(ValidationTable[Record_ID],ValidationTable[[#This Row],[Record_ID]])&gt;1,
"Fail",
"Pass"
)</f>
        <v>Pass</v>
      </c>
      <c r="W266" s="11" t="str">
        <f>IF(
COUNTIF(ValidationTable[[#This Row],[RequiredField_Validation]]:ValidationTable[[#This Row],[Duplicate_Validation]],"Fail")&gt;0,
"Fail",
"Pass"
)</f>
        <v>Pass</v>
      </c>
      <c r="X266" s="11" t="str">
        <f>IF(ValidationTable[[#This Row],[Validation_Result]]="Pass","Yes","No")</f>
        <v>Yes</v>
      </c>
    </row>
    <row r="267" spans="1:24">
      <c r="A267" s="11">
        <f>RawTable[[#This Row],[Record_ID]]</f>
        <v>266</v>
      </c>
      <c r="B267" s="11" t="str">
        <f>RawTable[[#This Row],[Payment_Type]]</f>
        <v>Contractor_Fee</v>
      </c>
      <c r="C267" s="11" t="str">
        <f>RawTable[[#This Row],[Entity_Type]]</f>
        <v>Contractor</v>
      </c>
      <c r="D267" s="11" t="str">
        <f>RawTable[[#This Row],[Country]]</f>
        <v>USA</v>
      </c>
      <c r="E267" s="11" t="str">
        <f>RawTable[[#This Row],[Name]]</f>
        <v>Laura Ali</v>
      </c>
      <c r="F267" s="11" t="str">
        <f>RawTable[[#This Row],[Bank_Account]]</f>
        <v>CH930000000001752280</v>
      </c>
      <c r="G267" s="11" t="str">
        <f>RawTable[[#This Row],[Month]]</f>
        <v>Feb-2026</v>
      </c>
      <c r="H267" s="11" t="str">
        <f>RawTable[[#This Row],[Currency]]</f>
        <v>USD</v>
      </c>
      <c r="I267" s="4">
        <f>RawTable[[#This Row],[Net_Amount]]</f>
        <v>5584.32</v>
      </c>
      <c r="J267" s="2" t="str">
        <f>RawTable[[#This Row],[VAT_Applicable]]</f>
        <v>No</v>
      </c>
      <c r="K267" s="4">
        <f>RawTable[[#This Row],[VAT_Rate]]</f>
        <v>0</v>
      </c>
      <c r="L267" s="4">
        <f>RawTable[[#This Row],[VAT_Amount]]</f>
        <v>0</v>
      </c>
      <c r="M267" s="4">
        <f>RawTable[[#This Row],[Gross_Amount]]</f>
        <v>5584.32</v>
      </c>
      <c r="N267" s="4">
        <f>RawTable[[#This Row],[Exchange_Rate]]</f>
        <v>0.77017999999999998</v>
      </c>
      <c r="O267" s="4">
        <f>RawTable[[#This Row],[Amount_CHF]]</f>
        <v>4300.93</v>
      </c>
      <c r="P26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6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67" s="11" t="str">
        <f>IF(ValidationTable[[#This Row],[Currency]]="","Fail","Pass")</f>
        <v>Pass</v>
      </c>
      <c r="S267" s="11" t="str">
        <f>IF(
ValidationTable[[#This Row],[Currency]]="CHF",
IF(ValidationTable[[#This Row],[Exchange_Rate]]&lt;&gt;1,"Fail","Pass"),
IF(ValidationTable[[#This Row],[Exchange_Rate]]&lt;=0,"Fail","Pass")
)</f>
        <v>Pass</v>
      </c>
      <c r="T26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67" s="11" t="str">
        <f>IF(LEN(TRIM(ValidationTable[[#This Row],[Bank_Account]]))=0,"Fail","Pass")</f>
        <v>Pass</v>
      </c>
      <c r="V267" s="11" t="str">
        <f>IF(
COUNTIF(ValidationTable[Record_ID],ValidationTable[[#This Row],[Record_ID]])&gt;1,
"Fail",
"Pass"
)</f>
        <v>Pass</v>
      </c>
      <c r="W267" s="11" t="str">
        <f>IF(
COUNTIF(ValidationTable[[#This Row],[RequiredField_Validation]]:ValidationTable[[#This Row],[Duplicate_Validation]],"Fail")&gt;0,
"Fail",
"Pass"
)</f>
        <v>Pass</v>
      </c>
      <c r="X267" s="11" t="str">
        <f>IF(ValidationTable[[#This Row],[Validation_Result]]="Pass","Yes","No")</f>
        <v>Yes</v>
      </c>
    </row>
    <row r="268" spans="1:24">
      <c r="A268" s="11">
        <f>RawTable[[#This Row],[Record_ID]]</f>
        <v>267</v>
      </c>
      <c r="B268" s="11" t="str">
        <f>RawTable[[#This Row],[Payment_Type]]</f>
        <v>Contractor_Fee</v>
      </c>
      <c r="C268" s="11" t="str">
        <f>RawTable[[#This Row],[Entity_Type]]</f>
        <v>Contractor</v>
      </c>
      <c r="D268" s="11" t="str">
        <f>RawTable[[#This Row],[Country]]</f>
        <v>USA</v>
      </c>
      <c r="E268" s="11" t="str">
        <f>RawTable[[#This Row],[Name]]</f>
        <v>Ahmed Schmidt</v>
      </c>
      <c r="F268" s="11" t="str">
        <f>RawTable[[#This Row],[Bank_Account]]</f>
        <v>US-RT-000003702-AC-0000017034</v>
      </c>
      <c r="G268" s="11" t="str">
        <f>RawTable[[#This Row],[Month]]</f>
        <v>Feb-2026</v>
      </c>
      <c r="H268" s="11" t="str">
        <f>RawTable[[#This Row],[Currency]]</f>
        <v>USD</v>
      </c>
      <c r="I268" s="4">
        <f>RawTable[[#This Row],[Net_Amount]]</f>
        <v>5618.48</v>
      </c>
      <c r="J268" s="2" t="str">
        <f>RawTable[[#This Row],[VAT_Applicable]]</f>
        <v>No</v>
      </c>
      <c r="K268" s="4">
        <f>RawTable[[#This Row],[VAT_Rate]]</f>
        <v>0</v>
      </c>
      <c r="L268" s="4">
        <f>RawTable[[#This Row],[VAT_Amount]]</f>
        <v>0</v>
      </c>
      <c r="M268" s="4">
        <f>RawTable[[#This Row],[Gross_Amount]]</f>
        <v>5618.48</v>
      </c>
      <c r="N268" s="4">
        <f>RawTable[[#This Row],[Exchange_Rate]]</f>
        <v>0.77017999999999998</v>
      </c>
      <c r="O268" s="4">
        <f>RawTable[[#This Row],[Amount_CHF]]</f>
        <v>4327.24</v>
      </c>
      <c r="P26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6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68" s="11" t="str">
        <f>IF(ValidationTable[[#This Row],[Currency]]="","Fail","Pass")</f>
        <v>Pass</v>
      </c>
      <c r="S268" s="11" t="str">
        <f>IF(
ValidationTable[[#This Row],[Currency]]="CHF",
IF(ValidationTable[[#This Row],[Exchange_Rate]]&lt;&gt;1,"Fail","Pass"),
IF(ValidationTable[[#This Row],[Exchange_Rate]]&lt;=0,"Fail","Pass")
)</f>
        <v>Pass</v>
      </c>
      <c r="T26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68" s="11" t="str">
        <f>IF(LEN(TRIM(ValidationTable[[#This Row],[Bank_Account]]))=0,"Fail","Pass")</f>
        <v>Pass</v>
      </c>
      <c r="V268" s="11" t="str">
        <f>IF(
COUNTIF(ValidationTable[Record_ID],ValidationTable[[#This Row],[Record_ID]])&gt;1,
"Fail",
"Pass"
)</f>
        <v>Pass</v>
      </c>
      <c r="W268" s="11" t="str">
        <f>IF(
COUNTIF(ValidationTable[[#This Row],[RequiredField_Validation]]:ValidationTable[[#This Row],[Duplicate_Validation]],"Fail")&gt;0,
"Fail",
"Pass"
)</f>
        <v>Pass</v>
      </c>
      <c r="X268" s="11" t="str">
        <f>IF(ValidationTable[[#This Row],[Validation_Result]]="Pass","Yes","No")</f>
        <v>Yes</v>
      </c>
    </row>
    <row r="269" spans="1:24">
      <c r="A269" s="11">
        <f>RawTable[[#This Row],[Record_ID]]</f>
        <v>268</v>
      </c>
      <c r="B269" s="11" t="str">
        <f>RawTable[[#This Row],[Payment_Type]]</f>
        <v>Contractor_Fee</v>
      </c>
      <c r="C269" s="11" t="str">
        <f>RawTable[[#This Row],[Entity_Type]]</f>
        <v>Contractor</v>
      </c>
      <c r="D269" s="11" t="str">
        <f>RawTable[[#This Row],[Country]]</f>
        <v>Switzerland</v>
      </c>
      <c r="E269" s="11" t="str">
        <f>RawTable[[#This Row],[Name]]</f>
        <v>Lina Schmidt</v>
      </c>
      <c r="F269" s="11" t="str">
        <f>RawTable[[#This Row],[Bank_Account]]</f>
        <v>JO-IBAN-00234555</v>
      </c>
      <c r="G269" s="11" t="str">
        <f>RawTable[[#This Row],[Month]]</f>
        <v>Feb-2026</v>
      </c>
      <c r="H269" s="11" t="str">
        <f>RawTable[[#This Row],[Currency]]</f>
        <v>CHF</v>
      </c>
      <c r="I269" s="4">
        <f>RawTable[[#This Row],[Net_Amount]]</f>
        <v>5659.16</v>
      </c>
      <c r="J269" s="2" t="str">
        <f>RawTable[[#This Row],[VAT_Applicable]]</f>
        <v>No</v>
      </c>
      <c r="K269" s="4">
        <f>RawTable[[#This Row],[VAT_Rate]]</f>
        <v>0</v>
      </c>
      <c r="L269" s="4">
        <f>RawTable[[#This Row],[VAT_Amount]]</f>
        <v>0</v>
      </c>
      <c r="M269" s="4">
        <f>RawTable[[#This Row],[Gross_Amount]]</f>
        <v>5659.16</v>
      </c>
      <c r="N269" s="4">
        <f>RawTable[[#This Row],[Exchange_Rate]]</f>
        <v>1</v>
      </c>
      <c r="O269" s="4">
        <f>RawTable[[#This Row],[Amount_CHF]]</f>
        <v>5659.16</v>
      </c>
      <c r="P26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6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69" s="11" t="str">
        <f>IF(ValidationTable[[#This Row],[Currency]]="","Fail","Pass")</f>
        <v>Pass</v>
      </c>
      <c r="S269" s="11" t="str">
        <f>IF(
ValidationTable[[#This Row],[Currency]]="CHF",
IF(ValidationTable[[#This Row],[Exchange_Rate]]&lt;&gt;1,"Fail","Pass"),
IF(ValidationTable[[#This Row],[Exchange_Rate]]&lt;=0,"Fail","Pass")
)</f>
        <v>Pass</v>
      </c>
      <c r="T26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69" s="11" t="str">
        <f>IF(LEN(TRIM(ValidationTable[[#This Row],[Bank_Account]]))=0,"Fail","Pass")</f>
        <v>Pass</v>
      </c>
      <c r="V269" s="11" t="str">
        <f>IF(
COUNTIF(ValidationTable[Record_ID],ValidationTable[[#This Row],[Record_ID]])&gt;1,
"Fail",
"Pass"
)</f>
        <v>Pass</v>
      </c>
      <c r="W269" s="11" t="str">
        <f>IF(
COUNTIF(ValidationTable[[#This Row],[RequiredField_Validation]]:ValidationTable[[#This Row],[Duplicate_Validation]],"Fail")&gt;0,
"Fail",
"Pass"
)</f>
        <v>Pass</v>
      </c>
      <c r="X269" s="11" t="str">
        <f>IF(ValidationTable[[#This Row],[Validation_Result]]="Pass","Yes","No")</f>
        <v>Yes</v>
      </c>
    </row>
    <row r="270" spans="1:24">
      <c r="A270" s="11">
        <f>RawTable[[#This Row],[Record_ID]]</f>
        <v>269</v>
      </c>
      <c r="B270" s="11" t="str">
        <f>RawTable[[#This Row],[Payment_Type]]</f>
        <v>Contractor_Fee</v>
      </c>
      <c r="C270" s="11" t="str">
        <f>RawTable[[#This Row],[Entity_Type]]</f>
        <v>Contractor</v>
      </c>
      <c r="D270" s="11" t="str">
        <f>RawTable[[#This Row],[Country]]</f>
        <v>Jordan</v>
      </c>
      <c r="E270" s="11" t="str">
        <f>RawTable[[#This Row],[Name]]</f>
        <v>Laura Johnson</v>
      </c>
      <c r="F270" s="11" t="str">
        <f>RawTable[[#This Row],[Bank_Account]]</f>
        <v>DE890000000001140636</v>
      </c>
      <c r="G270" s="11" t="str">
        <f>RawTable[[#This Row],[Month]]</f>
        <v>Mar-2026</v>
      </c>
      <c r="H270" s="11" t="str">
        <f>RawTable[[#This Row],[Currency]]</f>
        <v>JOD</v>
      </c>
      <c r="I270" s="4">
        <f>RawTable[[#This Row],[Net_Amount]]</f>
        <v>1385.71</v>
      </c>
      <c r="J270" s="2" t="str">
        <f>RawTable[[#This Row],[VAT_Applicable]]</f>
        <v>No</v>
      </c>
      <c r="K270" s="4">
        <f>RawTable[[#This Row],[VAT_Rate]]</f>
        <v>0</v>
      </c>
      <c r="L270" s="4">
        <f>RawTable[[#This Row],[VAT_Amount]]</f>
        <v>0</v>
      </c>
      <c r="M270" s="4">
        <f>RawTable[[#This Row],[Gross_Amount]]</f>
        <v>1385.71</v>
      </c>
      <c r="N270" s="4">
        <f>RawTable[[#This Row],[Exchange_Rate]]</f>
        <v>1.08643</v>
      </c>
      <c r="O270" s="4">
        <f>RawTable[[#This Row],[Amount_CHF]]</f>
        <v>1505.48</v>
      </c>
      <c r="P27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7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70" s="11" t="str">
        <f>IF(ValidationTable[[#This Row],[Currency]]="","Fail","Pass")</f>
        <v>Pass</v>
      </c>
      <c r="S270" s="11" t="str">
        <f>IF(
ValidationTable[[#This Row],[Currency]]="CHF",
IF(ValidationTable[[#This Row],[Exchange_Rate]]&lt;&gt;1,"Fail","Pass"),
IF(ValidationTable[[#This Row],[Exchange_Rate]]&lt;=0,"Fail","Pass")
)</f>
        <v>Pass</v>
      </c>
      <c r="T27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70" s="11" t="str">
        <f>IF(LEN(TRIM(ValidationTable[[#This Row],[Bank_Account]]))=0,"Fail","Pass")</f>
        <v>Pass</v>
      </c>
      <c r="V270" s="11" t="str">
        <f>IF(
COUNTIF(ValidationTable[Record_ID],ValidationTable[[#This Row],[Record_ID]])&gt;1,
"Fail",
"Pass"
)</f>
        <v>Pass</v>
      </c>
      <c r="W270" s="11" t="str">
        <f>IF(
COUNTIF(ValidationTable[[#This Row],[RequiredField_Validation]]:ValidationTable[[#This Row],[Duplicate_Validation]],"Fail")&gt;0,
"Fail",
"Pass"
)</f>
        <v>Pass</v>
      </c>
      <c r="X270" s="11" t="str">
        <f>IF(ValidationTable[[#This Row],[Validation_Result]]="Pass","Yes","No")</f>
        <v>Yes</v>
      </c>
    </row>
    <row r="271" spans="1:24">
      <c r="A271" s="11">
        <f>RawTable[[#This Row],[Record_ID]]</f>
        <v>270</v>
      </c>
      <c r="B271" s="11" t="str">
        <f>RawTable[[#This Row],[Payment_Type]]</f>
        <v>Contractor_Fee</v>
      </c>
      <c r="C271" s="11" t="str">
        <f>RawTable[[#This Row],[Entity_Type]]</f>
        <v>Contractor</v>
      </c>
      <c r="D271" s="11" t="str">
        <f>RawTable[[#This Row],[Country]]</f>
        <v>Germany</v>
      </c>
      <c r="E271" s="11" t="str">
        <f>RawTable[[#This Row],[Name]]</f>
        <v>Julia Schmidt</v>
      </c>
      <c r="F271" s="11" t="str">
        <f>RawTable[[#This Row],[Bank_Account]]</f>
        <v>US-RT-000090082-AC-0000414494</v>
      </c>
      <c r="G271" s="11" t="str">
        <f>RawTable[[#This Row],[Month]]</f>
        <v>Jan-2026</v>
      </c>
      <c r="H271" s="11" t="str">
        <f>RawTable[[#This Row],[Currency]]</f>
        <v>EUR</v>
      </c>
      <c r="I271" s="4">
        <f>RawTable[[#This Row],[Net_Amount]]</f>
        <v>4607.5200000000004</v>
      </c>
      <c r="J271" s="2" t="str">
        <f>RawTable[[#This Row],[VAT_Applicable]]</f>
        <v>No</v>
      </c>
      <c r="K271" s="4">
        <f>RawTable[[#This Row],[VAT_Rate]]</f>
        <v>0</v>
      </c>
      <c r="L271" s="4">
        <f>RawTable[[#This Row],[VAT_Amount]]</f>
        <v>0</v>
      </c>
      <c r="M271" s="4">
        <f>RawTable[[#This Row],[Gross_Amount]]</f>
        <v>4607.5200000000004</v>
      </c>
      <c r="N271" s="4">
        <f>RawTable[[#This Row],[Exchange_Rate]]</f>
        <v>0.90888000000000002</v>
      </c>
      <c r="O271" s="4">
        <f>RawTable[[#This Row],[Amount_CHF]]</f>
        <v>4187.68</v>
      </c>
      <c r="P27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7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71" s="11" t="str">
        <f>IF(ValidationTable[[#This Row],[Currency]]="","Fail","Pass")</f>
        <v>Pass</v>
      </c>
      <c r="S271" s="11" t="str">
        <f>IF(
ValidationTable[[#This Row],[Currency]]="CHF",
IF(ValidationTable[[#This Row],[Exchange_Rate]]&lt;&gt;1,"Fail","Pass"),
IF(ValidationTable[[#This Row],[Exchange_Rate]]&lt;=0,"Fail","Pass")
)</f>
        <v>Pass</v>
      </c>
      <c r="T27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71" s="11" t="str">
        <f>IF(LEN(TRIM(ValidationTable[[#This Row],[Bank_Account]]))=0,"Fail","Pass")</f>
        <v>Pass</v>
      </c>
      <c r="V271" s="11" t="str">
        <f>IF(
COUNTIF(ValidationTable[Record_ID],ValidationTable[[#This Row],[Record_ID]])&gt;1,
"Fail",
"Pass"
)</f>
        <v>Pass</v>
      </c>
      <c r="W271" s="11" t="str">
        <f>IF(
COUNTIF(ValidationTable[[#This Row],[RequiredField_Validation]]:ValidationTable[[#This Row],[Duplicate_Validation]],"Fail")&gt;0,
"Fail",
"Pass"
)</f>
        <v>Pass</v>
      </c>
      <c r="X271" s="11" t="str">
        <f>IF(ValidationTable[[#This Row],[Validation_Result]]="Pass","Yes","No")</f>
        <v>Yes</v>
      </c>
    </row>
    <row r="272" spans="1:24">
      <c r="A272" s="11">
        <f>RawTable[[#This Row],[Record_ID]]</f>
        <v>271</v>
      </c>
      <c r="B272" s="11" t="str">
        <f>RawTable[[#This Row],[Payment_Type]]</f>
        <v>Contractor_Fee</v>
      </c>
      <c r="C272" s="11" t="str">
        <f>RawTable[[#This Row],[Entity_Type]]</f>
        <v>Contractor</v>
      </c>
      <c r="D272" s="11" t="str">
        <f>RawTable[[#This Row],[Country]]</f>
        <v>Germany</v>
      </c>
      <c r="E272" s="11" t="str">
        <f>RawTable[[#This Row],[Name]]</f>
        <v>Sara Schmidt</v>
      </c>
      <c r="F272" s="11" t="str">
        <f>RawTable[[#This Row],[Bank_Account]]</f>
        <v>US-RT-000065402-AC-0000300934</v>
      </c>
      <c r="G272" s="11" t="str">
        <f>RawTable[[#This Row],[Month]]</f>
        <v>Jan-2026</v>
      </c>
      <c r="H272" s="11" t="str">
        <f>RawTable[[#This Row],[Currency]]</f>
        <v>EUR</v>
      </c>
      <c r="I272" s="4">
        <f>RawTable[[#This Row],[Net_Amount]]</f>
        <v>4997.28</v>
      </c>
      <c r="J272" s="2" t="str">
        <f>RawTable[[#This Row],[VAT_Applicable]]</f>
        <v>No</v>
      </c>
      <c r="K272" s="4">
        <f>RawTable[[#This Row],[VAT_Rate]]</f>
        <v>0</v>
      </c>
      <c r="L272" s="4">
        <f>RawTable[[#This Row],[VAT_Amount]]</f>
        <v>0</v>
      </c>
      <c r="M272" s="4">
        <f>RawTable[[#This Row],[Gross_Amount]]</f>
        <v>4997.28</v>
      </c>
      <c r="N272" s="4">
        <f>RawTable[[#This Row],[Exchange_Rate]]</f>
        <v>0.90888000000000002</v>
      </c>
      <c r="O272" s="4">
        <f>RawTable[[#This Row],[Amount_CHF]]</f>
        <v>4541.93</v>
      </c>
      <c r="P27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7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72" s="11" t="str">
        <f>IF(ValidationTable[[#This Row],[Currency]]="","Fail","Pass")</f>
        <v>Pass</v>
      </c>
      <c r="S272" s="11" t="str">
        <f>IF(
ValidationTable[[#This Row],[Currency]]="CHF",
IF(ValidationTable[[#This Row],[Exchange_Rate]]&lt;&gt;1,"Fail","Pass"),
IF(ValidationTable[[#This Row],[Exchange_Rate]]&lt;=0,"Fail","Pass")
)</f>
        <v>Pass</v>
      </c>
      <c r="T27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72" s="11" t="str">
        <f>IF(LEN(TRIM(ValidationTable[[#This Row],[Bank_Account]]))=0,"Fail","Pass")</f>
        <v>Pass</v>
      </c>
      <c r="V272" s="11" t="str">
        <f>IF(
COUNTIF(ValidationTable[Record_ID],ValidationTable[[#This Row],[Record_ID]])&gt;1,
"Fail",
"Pass"
)</f>
        <v>Pass</v>
      </c>
      <c r="W272" s="11" t="str">
        <f>IF(
COUNTIF(ValidationTable[[#This Row],[RequiredField_Validation]]:ValidationTable[[#This Row],[Duplicate_Validation]],"Fail")&gt;0,
"Fail",
"Pass"
)</f>
        <v>Pass</v>
      </c>
      <c r="X272" s="11" t="str">
        <f>IF(ValidationTable[[#This Row],[Validation_Result]]="Pass","Yes","No")</f>
        <v>Yes</v>
      </c>
    </row>
    <row r="273" spans="1:24">
      <c r="A273" s="11">
        <f>RawTable[[#This Row],[Record_ID]]</f>
        <v>272</v>
      </c>
      <c r="B273" s="11" t="str">
        <f>RawTable[[#This Row],[Payment_Type]]</f>
        <v>Contractor_Fee</v>
      </c>
      <c r="C273" s="11" t="str">
        <f>RawTable[[#This Row],[Entity_Type]]</f>
        <v>Contractor</v>
      </c>
      <c r="D273" s="11" t="str">
        <f>RawTable[[#This Row],[Country]]</f>
        <v>USA</v>
      </c>
      <c r="E273" s="11" t="str">
        <f>RawTable[[#This Row],[Name]]</f>
        <v>Omar Khan</v>
      </c>
      <c r="F273" s="11" t="str">
        <f>RawTable[[#This Row],[Bank_Account]]</f>
        <v>AE-IBAN-01738272</v>
      </c>
      <c r="G273" s="11" t="str">
        <f>RawTable[[#This Row],[Month]]</f>
        <v>Jan-2026</v>
      </c>
      <c r="H273" s="11" t="str">
        <f>RawTable[[#This Row],[Currency]]</f>
        <v>USD</v>
      </c>
      <c r="I273" s="4">
        <f>RawTable[[#This Row],[Net_Amount]]</f>
        <v>5281.36</v>
      </c>
      <c r="J273" s="2" t="str">
        <f>RawTable[[#This Row],[VAT_Applicable]]</f>
        <v>No</v>
      </c>
      <c r="K273" s="4">
        <f>RawTable[[#This Row],[VAT_Rate]]</f>
        <v>0</v>
      </c>
      <c r="L273" s="4">
        <f>RawTable[[#This Row],[VAT_Amount]]</f>
        <v>0</v>
      </c>
      <c r="M273" s="4">
        <f>RawTable[[#This Row],[Gross_Amount]]</f>
        <v>5281.36</v>
      </c>
      <c r="N273" s="4">
        <f>RawTable[[#This Row],[Exchange_Rate]]</f>
        <v>0.77017999999999998</v>
      </c>
      <c r="O273" s="4">
        <f>RawTable[[#This Row],[Amount_CHF]]</f>
        <v>4067.6</v>
      </c>
      <c r="P27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7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73" s="11" t="str">
        <f>IF(ValidationTable[[#This Row],[Currency]]="","Fail","Pass")</f>
        <v>Pass</v>
      </c>
      <c r="S273" s="11" t="str">
        <f>IF(
ValidationTable[[#This Row],[Currency]]="CHF",
IF(ValidationTable[[#This Row],[Exchange_Rate]]&lt;&gt;1,"Fail","Pass"),
IF(ValidationTable[[#This Row],[Exchange_Rate]]&lt;=0,"Fail","Pass")
)</f>
        <v>Pass</v>
      </c>
      <c r="T27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73" s="11" t="str">
        <f>IF(LEN(TRIM(ValidationTable[[#This Row],[Bank_Account]]))=0,"Fail","Pass")</f>
        <v>Pass</v>
      </c>
      <c r="V273" s="11" t="str">
        <f>IF(
COUNTIF(ValidationTable[Record_ID],ValidationTable[[#This Row],[Record_ID]])&gt;1,
"Fail",
"Pass"
)</f>
        <v>Pass</v>
      </c>
      <c r="W273" s="11" t="str">
        <f>IF(
COUNTIF(ValidationTable[[#This Row],[RequiredField_Validation]]:ValidationTable[[#This Row],[Duplicate_Validation]],"Fail")&gt;0,
"Fail",
"Pass"
)</f>
        <v>Pass</v>
      </c>
      <c r="X273" s="11" t="str">
        <f>IF(ValidationTable[[#This Row],[Validation_Result]]="Pass","Yes","No")</f>
        <v>Yes</v>
      </c>
    </row>
    <row r="274" spans="1:24">
      <c r="A274" s="11">
        <f>RawTable[[#This Row],[Record_ID]]</f>
        <v>273</v>
      </c>
      <c r="B274" s="11" t="str">
        <f>RawTable[[#This Row],[Payment_Type]]</f>
        <v>Contractor_Fee</v>
      </c>
      <c r="C274" s="11" t="str">
        <f>RawTable[[#This Row],[Entity_Type]]</f>
        <v>Contractor</v>
      </c>
      <c r="D274" s="11" t="str">
        <f>RawTable[[#This Row],[Country]]</f>
        <v>UAE</v>
      </c>
      <c r="E274" s="11" t="str">
        <f>RawTable[[#This Row],[Name]]</f>
        <v>Ahmed Schmidt</v>
      </c>
      <c r="F274" s="11" t="str">
        <f>RawTable[[#This Row],[Bank_Account]]</f>
        <v>US-RT-000003702-AC-0000017034</v>
      </c>
      <c r="G274" s="11" t="str">
        <f>RawTable[[#This Row],[Month]]</f>
        <v>Feb-2026</v>
      </c>
      <c r="H274" s="11" t="str">
        <f>RawTable[[#This Row],[Currency]]</f>
        <v>AED</v>
      </c>
      <c r="I274" s="4">
        <f>RawTable[[#This Row],[Net_Amount]]</f>
        <v>17658.080000000002</v>
      </c>
      <c r="J274" s="2" t="str">
        <f>RawTable[[#This Row],[VAT_Applicable]]</f>
        <v>No</v>
      </c>
      <c r="K274" s="4">
        <f>RawTable[[#This Row],[VAT_Rate]]</f>
        <v>0</v>
      </c>
      <c r="L274" s="4">
        <f>RawTable[[#This Row],[VAT_Amount]]</f>
        <v>0</v>
      </c>
      <c r="M274" s="4">
        <f>RawTable[[#This Row],[Gross_Amount]]</f>
        <v>17658.080000000002</v>
      </c>
      <c r="N274" s="4">
        <f>RawTable[[#This Row],[Exchange_Rate]]</f>
        <v>0.21065</v>
      </c>
      <c r="O274" s="4">
        <f>RawTable[[#This Row],[Amount_CHF]]</f>
        <v>3719.67</v>
      </c>
      <c r="P27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7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74" s="11" t="str">
        <f>IF(ValidationTable[[#This Row],[Currency]]="","Fail","Pass")</f>
        <v>Pass</v>
      </c>
      <c r="S274" s="11" t="str">
        <f>IF(
ValidationTable[[#This Row],[Currency]]="CHF",
IF(ValidationTable[[#This Row],[Exchange_Rate]]&lt;&gt;1,"Fail","Pass"),
IF(ValidationTable[[#This Row],[Exchange_Rate]]&lt;=0,"Fail","Pass")
)</f>
        <v>Pass</v>
      </c>
      <c r="T27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74" s="11" t="str">
        <f>IF(LEN(TRIM(ValidationTable[[#This Row],[Bank_Account]]))=0,"Fail","Pass")</f>
        <v>Pass</v>
      </c>
      <c r="V274" s="11" t="str">
        <f>IF(
COUNTIF(ValidationTable[Record_ID],ValidationTable[[#This Row],[Record_ID]])&gt;1,
"Fail",
"Pass"
)</f>
        <v>Pass</v>
      </c>
      <c r="W274" s="11" t="str">
        <f>IF(
COUNTIF(ValidationTable[[#This Row],[RequiredField_Validation]]:ValidationTable[[#This Row],[Duplicate_Validation]],"Fail")&gt;0,
"Fail",
"Pass"
)</f>
        <v>Pass</v>
      </c>
      <c r="X274" s="11" t="str">
        <f>IF(ValidationTable[[#This Row],[Validation_Result]]="Pass","Yes","No")</f>
        <v>Yes</v>
      </c>
    </row>
    <row r="275" spans="1:24">
      <c r="A275" s="11">
        <f>RawTable[[#This Row],[Record_ID]]</f>
        <v>274</v>
      </c>
      <c r="B275" s="11" t="str">
        <f>RawTable[[#This Row],[Payment_Type]]</f>
        <v>Contractor_Fee</v>
      </c>
      <c r="C275" s="11" t="str">
        <f>RawTable[[#This Row],[Entity_Type]]</f>
        <v>Contractor</v>
      </c>
      <c r="D275" s="11" t="str">
        <f>RawTable[[#This Row],[Country]]</f>
        <v>UAE</v>
      </c>
      <c r="E275" s="11" t="str">
        <f>RawTable[[#This Row],[Name]]</f>
        <v>Laura Wilson</v>
      </c>
      <c r="F275" s="11" t="str">
        <f>RawTable[[#This Row],[Bank_Account]]</f>
        <v>CH930000000001159960</v>
      </c>
      <c r="G275" s="11" t="str">
        <f>RawTable[[#This Row],[Month]]</f>
        <v>Jan-2026</v>
      </c>
      <c r="H275" s="11" t="str">
        <f>RawTable[[#This Row],[Currency]]</f>
        <v>AED</v>
      </c>
      <c r="I275" s="4">
        <f>RawTable[[#This Row],[Net_Amount]]</f>
        <v>18113.919999999998</v>
      </c>
      <c r="J275" s="2" t="str">
        <f>RawTable[[#This Row],[VAT_Applicable]]</f>
        <v>No</v>
      </c>
      <c r="K275" s="4">
        <f>RawTable[[#This Row],[VAT_Rate]]</f>
        <v>0</v>
      </c>
      <c r="L275" s="4">
        <f>RawTable[[#This Row],[VAT_Amount]]</f>
        <v>0</v>
      </c>
      <c r="M275" s="4">
        <f>RawTable[[#This Row],[Gross_Amount]]</f>
        <v>18113.919999999998</v>
      </c>
      <c r="N275" s="4">
        <f>RawTable[[#This Row],[Exchange_Rate]]</f>
        <v>0.21065</v>
      </c>
      <c r="O275" s="4">
        <f>RawTable[[#This Row],[Amount_CHF]]</f>
        <v>3815.7</v>
      </c>
      <c r="P27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7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75" s="11" t="str">
        <f>IF(ValidationTable[[#This Row],[Currency]]="","Fail","Pass")</f>
        <v>Pass</v>
      </c>
      <c r="S275" s="11" t="str">
        <f>IF(
ValidationTable[[#This Row],[Currency]]="CHF",
IF(ValidationTable[[#This Row],[Exchange_Rate]]&lt;&gt;1,"Fail","Pass"),
IF(ValidationTable[[#This Row],[Exchange_Rate]]&lt;=0,"Fail","Pass")
)</f>
        <v>Pass</v>
      </c>
      <c r="T27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75" s="11" t="str">
        <f>IF(LEN(TRIM(ValidationTable[[#This Row],[Bank_Account]]))=0,"Fail","Pass")</f>
        <v>Pass</v>
      </c>
      <c r="V275" s="11" t="str">
        <f>IF(
COUNTIF(ValidationTable[Record_ID],ValidationTable[[#This Row],[Record_ID]])&gt;1,
"Fail",
"Pass"
)</f>
        <v>Pass</v>
      </c>
      <c r="W275" s="11" t="str">
        <f>IF(
COUNTIF(ValidationTable[[#This Row],[RequiredField_Validation]]:ValidationTable[[#This Row],[Duplicate_Validation]],"Fail")&gt;0,
"Fail",
"Pass"
)</f>
        <v>Pass</v>
      </c>
      <c r="X275" s="11" t="str">
        <f>IF(ValidationTable[[#This Row],[Validation_Result]]="Pass","Yes","No")</f>
        <v>Yes</v>
      </c>
    </row>
    <row r="276" spans="1:24">
      <c r="A276" s="11">
        <f>RawTable[[#This Row],[Record_ID]]</f>
        <v>275</v>
      </c>
      <c r="B276" s="11" t="str">
        <f>RawTable[[#This Row],[Payment_Type]]</f>
        <v>Contractor_Fee</v>
      </c>
      <c r="C276" s="11" t="str">
        <f>RawTable[[#This Row],[Entity_Type]]</f>
        <v>Contractor</v>
      </c>
      <c r="D276" s="11" t="str">
        <f>RawTable[[#This Row],[Country]]</f>
        <v>USA</v>
      </c>
      <c r="E276" s="11" t="str">
        <f>RawTable[[#This Row],[Name]]</f>
        <v>David Ali</v>
      </c>
      <c r="F276" s="11" t="str">
        <f>RawTable[[#This Row],[Bank_Account]]</f>
        <v>US-RT-000041956-AC-0000193052</v>
      </c>
      <c r="G276" s="11" t="str">
        <f>RawTable[[#This Row],[Month]]</f>
        <v>Mar-2026</v>
      </c>
      <c r="H276" s="11" t="str">
        <f>RawTable[[#This Row],[Currency]]</f>
        <v>USD</v>
      </c>
      <c r="I276" s="4">
        <f>RawTable[[#This Row],[Net_Amount]]</f>
        <v>5892.88</v>
      </c>
      <c r="J276" s="2" t="str">
        <f>RawTable[[#This Row],[VAT_Applicable]]</f>
        <v>No</v>
      </c>
      <c r="K276" s="4">
        <f>RawTable[[#This Row],[VAT_Rate]]</f>
        <v>0</v>
      </c>
      <c r="L276" s="4">
        <f>RawTable[[#This Row],[VAT_Amount]]</f>
        <v>0</v>
      </c>
      <c r="M276" s="4">
        <f>RawTable[[#This Row],[Gross_Amount]]</f>
        <v>5892.88</v>
      </c>
      <c r="N276" s="4">
        <f>RawTable[[#This Row],[Exchange_Rate]]</f>
        <v>0.77017999999999998</v>
      </c>
      <c r="O276" s="4">
        <f>RawTable[[#This Row],[Amount_CHF]]</f>
        <v>4538.58</v>
      </c>
      <c r="P27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7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76" s="11" t="str">
        <f>IF(ValidationTable[[#This Row],[Currency]]="","Fail","Pass")</f>
        <v>Pass</v>
      </c>
      <c r="S276" s="11" t="str">
        <f>IF(
ValidationTable[[#This Row],[Currency]]="CHF",
IF(ValidationTable[[#This Row],[Exchange_Rate]]&lt;&gt;1,"Fail","Pass"),
IF(ValidationTable[[#This Row],[Exchange_Rate]]&lt;=0,"Fail","Pass")
)</f>
        <v>Pass</v>
      </c>
      <c r="T27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76" s="11" t="str">
        <f>IF(LEN(TRIM(ValidationTable[[#This Row],[Bank_Account]]))=0,"Fail","Pass")</f>
        <v>Pass</v>
      </c>
      <c r="V276" s="11" t="str">
        <f>IF(
COUNTIF(ValidationTable[Record_ID],ValidationTable[[#This Row],[Record_ID]])&gt;1,
"Fail",
"Pass"
)</f>
        <v>Pass</v>
      </c>
      <c r="W276" s="11" t="str">
        <f>IF(
COUNTIF(ValidationTable[[#This Row],[RequiredField_Validation]]:ValidationTable[[#This Row],[Duplicate_Validation]],"Fail")&gt;0,
"Fail",
"Pass"
)</f>
        <v>Pass</v>
      </c>
      <c r="X276" s="11" t="str">
        <f>IF(ValidationTable[[#This Row],[Validation_Result]]="Pass","Yes","No")</f>
        <v>Yes</v>
      </c>
    </row>
    <row r="277" spans="1:24">
      <c r="A277" s="11">
        <f>RawTable[[#This Row],[Record_ID]]</f>
        <v>276</v>
      </c>
      <c r="B277" s="11" t="str">
        <f>RawTable[[#This Row],[Payment_Type]]</f>
        <v>Contractor_Fee</v>
      </c>
      <c r="C277" s="11" t="str">
        <f>RawTable[[#This Row],[Entity_Type]]</f>
        <v>Contractor</v>
      </c>
      <c r="D277" s="11" t="str">
        <f>RawTable[[#This Row],[Country]]</f>
        <v>UAE</v>
      </c>
      <c r="E277" s="11" t="str">
        <f>RawTable[[#This Row],[Name]]</f>
        <v>Laura Taylor</v>
      </c>
      <c r="F277" s="11" t="str">
        <f>RawTable[[#This Row],[Bank_Account]]</f>
        <v>DE890000000000977688</v>
      </c>
      <c r="G277" s="11" t="str">
        <f>RawTable[[#This Row],[Month]]</f>
        <v>Feb-2026</v>
      </c>
      <c r="H277" s="11" t="str">
        <f>RawTable[[#This Row],[Currency]]</f>
        <v>AED</v>
      </c>
      <c r="I277" s="4">
        <f>RawTable[[#This Row],[Net_Amount]]</f>
        <v>17506.79</v>
      </c>
      <c r="J277" s="2" t="str">
        <f>RawTable[[#This Row],[VAT_Applicable]]</f>
        <v>No</v>
      </c>
      <c r="K277" s="4">
        <f>RawTable[[#This Row],[VAT_Rate]]</f>
        <v>0</v>
      </c>
      <c r="L277" s="4">
        <f>RawTable[[#This Row],[VAT_Amount]]</f>
        <v>0</v>
      </c>
      <c r="M277" s="4">
        <f>RawTable[[#This Row],[Gross_Amount]]</f>
        <v>17506.79</v>
      </c>
      <c r="N277" s="4">
        <f>RawTable[[#This Row],[Exchange_Rate]]</f>
        <v>0.21065</v>
      </c>
      <c r="O277" s="4">
        <f>RawTable[[#This Row],[Amount_CHF]]</f>
        <v>3687.81</v>
      </c>
      <c r="P27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7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77" s="11" t="str">
        <f>IF(ValidationTable[[#This Row],[Currency]]="","Fail","Pass")</f>
        <v>Pass</v>
      </c>
      <c r="S277" s="11" t="str">
        <f>IF(
ValidationTable[[#This Row],[Currency]]="CHF",
IF(ValidationTable[[#This Row],[Exchange_Rate]]&lt;&gt;1,"Fail","Pass"),
IF(ValidationTable[[#This Row],[Exchange_Rate]]&lt;=0,"Fail","Pass")
)</f>
        <v>Pass</v>
      </c>
      <c r="T27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77" s="11" t="str">
        <f>IF(LEN(TRIM(ValidationTable[[#This Row],[Bank_Account]]))=0,"Fail","Pass")</f>
        <v>Pass</v>
      </c>
      <c r="V277" s="11" t="str">
        <f>IF(
COUNTIF(ValidationTable[Record_ID],ValidationTable[[#This Row],[Record_ID]])&gt;1,
"Fail",
"Pass"
)</f>
        <v>Pass</v>
      </c>
      <c r="W277" s="11" t="str">
        <f>IF(
COUNTIF(ValidationTable[[#This Row],[RequiredField_Validation]]:ValidationTable[[#This Row],[Duplicate_Validation]],"Fail")&gt;0,
"Fail",
"Pass"
)</f>
        <v>Pass</v>
      </c>
      <c r="X277" s="11" t="str">
        <f>IF(ValidationTable[[#This Row],[Validation_Result]]="Pass","Yes","No")</f>
        <v>Yes</v>
      </c>
    </row>
    <row r="278" spans="1:24" hidden="1">
      <c r="A278" s="11">
        <f>RawTable[[#This Row],[Record_ID]]</f>
        <v>277</v>
      </c>
      <c r="B278" s="11" t="str">
        <f>RawTable[[#This Row],[Payment_Type]]</f>
        <v>Contractor_Fee</v>
      </c>
      <c r="C278" s="11" t="str">
        <f>RawTable[[#This Row],[Entity_Type]]</f>
        <v>Contractor</v>
      </c>
      <c r="D278" s="11" t="str">
        <f>RawTable[[#This Row],[Country]]</f>
        <v>USA</v>
      </c>
      <c r="E278" s="11" t="str">
        <f>RawTable[[#This Row],[Name]]</f>
        <v>Sara Taylor</v>
      </c>
      <c r="F278" s="11" t="str">
        <f>RawTable[[#This Row],[Bank_Account]]</f>
        <v>JO-IBAN-00777735</v>
      </c>
      <c r="G278" s="11" t="str">
        <f>RawTable[[#This Row],[Month]]</f>
        <v>Jan-2026</v>
      </c>
      <c r="H278" s="11" t="str">
        <f>RawTable[[#This Row],[Currency]]</f>
        <v>USD</v>
      </c>
      <c r="I278" s="4">
        <f>RawTable[[#This Row],[Net_Amount]]</f>
        <v>6010.17</v>
      </c>
      <c r="J278" s="2" t="str">
        <f>RawTable[[#This Row],[VAT_Applicable]]</f>
        <v>No</v>
      </c>
      <c r="K278" s="4">
        <f>RawTable[[#This Row],[VAT_Rate]]</f>
        <v>0</v>
      </c>
      <c r="L278" s="4">
        <f>RawTable[[#This Row],[VAT_Amount]]</f>
        <v>0</v>
      </c>
      <c r="M278" s="4">
        <f>RawTable[[#This Row],[Gross_Amount]]</f>
        <v>6010.17</v>
      </c>
      <c r="N278" s="4">
        <f>RawTable[[#This Row],[Exchange_Rate]]</f>
        <v>0.77017999999999998</v>
      </c>
      <c r="O278" s="4">
        <f>RawTable[[#This Row],[Amount_CHF]]</f>
        <v>4628.91</v>
      </c>
      <c r="P27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7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78" s="11" t="str">
        <f>IF(ValidationTable[[#This Row],[Currency]]="","Fail","Pass")</f>
        <v>Pass</v>
      </c>
      <c r="S278" s="11" t="str">
        <f>IF(
ValidationTable[[#This Row],[Currency]]="CHF",
IF(ValidationTable[[#This Row],[Exchange_Rate]]&lt;&gt;1,"Fail","Pass"),
IF(ValidationTable[[#This Row],[Exchange_Rate]]&lt;=0,"Fail","Pass")
)</f>
        <v>Pass</v>
      </c>
      <c r="T27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78" s="11" t="str">
        <f>IF(LEN(TRIM(ValidationTable[[#This Row],[Bank_Account]]))=0,"Fail","Pass")</f>
        <v>Pass</v>
      </c>
      <c r="V278" s="11" t="str">
        <f>IF(
COUNTIF(ValidationTable[Record_ID],ValidationTable[[#This Row],[Record_ID]])&gt;1,
"Fail",
"Pass"
)</f>
        <v>Fail</v>
      </c>
      <c r="W278" s="11" t="str">
        <f>IF(
COUNTIF(ValidationTable[[#This Row],[RequiredField_Validation]]:ValidationTable[[#This Row],[Duplicate_Validation]],"Fail")&gt;0,
"Fail",
"Pass"
)</f>
        <v>Fail</v>
      </c>
      <c r="X278" s="11" t="str">
        <f>IF(ValidationTable[[#This Row],[Validation_Result]]="Pass","Yes","No")</f>
        <v>No</v>
      </c>
    </row>
    <row r="279" spans="1:24" hidden="1">
      <c r="A279" s="11">
        <f>RawTable[[#This Row],[Record_ID]]</f>
        <v>277</v>
      </c>
      <c r="B279" s="11" t="str">
        <f>RawTable[[#This Row],[Payment_Type]]</f>
        <v>Contractor_Fee</v>
      </c>
      <c r="C279" s="11" t="str">
        <f>RawTable[[#This Row],[Entity_Type]]</f>
        <v>Contractor</v>
      </c>
      <c r="D279" s="11" t="str">
        <f>RawTable[[#This Row],[Country]]</f>
        <v>USA</v>
      </c>
      <c r="E279" s="11" t="str">
        <f>RawTable[[#This Row],[Name]]</f>
        <v>Julia Khan</v>
      </c>
      <c r="F279" s="11" t="str">
        <f>RawTable[[#This Row],[Bank_Account]]</f>
        <v>CH930000000000962520</v>
      </c>
      <c r="G279" s="11" t="str">
        <f>RawTable[[#This Row],[Month]]</f>
        <v>Jan-2026</v>
      </c>
      <c r="H279" s="11" t="str">
        <f>RawTable[[#This Row],[Currency]]</f>
        <v>USD</v>
      </c>
      <c r="I279" s="4">
        <f>RawTable[[#This Row],[Net_Amount]]</f>
        <v>6114.64</v>
      </c>
      <c r="J279" s="2" t="str">
        <f>RawTable[[#This Row],[VAT_Applicable]]</f>
        <v>No</v>
      </c>
      <c r="K279" s="4">
        <f>RawTable[[#This Row],[VAT_Rate]]</f>
        <v>0</v>
      </c>
      <c r="L279" s="4">
        <f>RawTable[[#This Row],[VAT_Amount]]</f>
        <v>0</v>
      </c>
      <c r="M279" s="4">
        <f>RawTable[[#This Row],[Gross_Amount]]</f>
        <v>6114.64</v>
      </c>
      <c r="N279" s="4">
        <f>RawTable[[#This Row],[Exchange_Rate]]</f>
        <v>0.77017999999999998</v>
      </c>
      <c r="O279" s="4">
        <f>RawTable[[#This Row],[Amount_CHF]]</f>
        <v>4709.37</v>
      </c>
      <c r="P27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7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79" s="11" t="str">
        <f>IF(ValidationTable[[#This Row],[Currency]]="","Fail","Pass")</f>
        <v>Pass</v>
      </c>
      <c r="S279" s="11" t="str">
        <f>IF(
ValidationTable[[#This Row],[Currency]]="CHF",
IF(ValidationTable[[#This Row],[Exchange_Rate]]&lt;&gt;1,"Fail","Pass"),
IF(ValidationTable[[#This Row],[Exchange_Rate]]&lt;=0,"Fail","Pass")
)</f>
        <v>Pass</v>
      </c>
      <c r="T27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79" s="11" t="str">
        <f>IF(LEN(TRIM(ValidationTable[[#This Row],[Bank_Account]]))=0,"Fail","Pass")</f>
        <v>Pass</v>
      </c>
      <c r="V279" s="11" t="str">
        <f>IF(
COUNTIF(ValidationTable[Record_ID],ValidationTable[[#This Row],[Record_ID]])&gt;1,
"Fail",
"Pass"
)</f>
        <v>Fail</v>
      </c>
      <c r="W279" s="11" t="str">
        <f>IF(
COUNTIF(ValidationTable[[#This Row],[RequiredField_Validation]]:ValidationTable[[#This Row],[Duplicate_Validation]],"Fail")&gt;0,
"Fail",
"Pass"
)</f>
        <v>Fail</v>
      </c>
      <c r="X279" s="11" t="str">
        <f>IF(ValidationTable[[#This Row],[Validation_Result]]="Pass","Yes","No")</f>
        <v>No</v>
      </c>
    </row>
    <row r="280" spans="1:24">
      <c r="A280" s="11">
        <f>RawTable[[#This Row],[Record_ID]]</f>
        <v>279</v>
      </c>
      <c r="B280" s="11" t="str">
        <f>RawTable[[#This Row],[Payment_Type]]</f>
        <v>Contractor_Fee</v>
      </c>
      <c r="C280" s="11" t="str">
        <f>RawTable[[#This Row],[Entity_Type]]</f>
        <v>Contractor</v>
      </c>
      <c r="D280" s="11" t="str">
        <f>RawTable[[#This Row],[Country]]</f>
        <v>USA</v>
      </c>
      <c r="E280" s="11" t="str">
        <f>RawTable[[#This Row],[Name]]</f>
        <v>Michael Khan</v>
      </c>
      <c r="F280" s="11" t="str">
        <f>RawTable[[#This Row],[Bank_Account]]</f>
        <v>AE-IBAN-04780248</v>
      </c>
      <c r="G280" s="11" t="str">
        <f>RawTable[[#This Row],[Month]]</f>
        <v>Feb-2026</v>
      </c>
      <c r="H280" s="11" t="str">
        <f>RawTable[[#This Row],[Currency]]</f>
        <v>USD</v>
      </c>
      <c r="I280" s="4">
        <f>RawTable[[#This Row],[Net_Amount]]</f>
        <v>5307.12</v>
      </c>
      <c r="J280" s="2" t="str">
        <f>RawTable[[#This Row],[VAT_Applicable]]</f>
        <v>No</v>
      </c>
      <c r="K280" s="4">
        <f>RawTable[[#This Row],[VAT_Rate]]</f>
        <v>0</v>
      </c>
      <c r="L280" s="4">
        <f>RawTable[[#This Row],[VAT_Amount]]</f>
        <v>0</v>
      </c>
      <c r="M280" s="4">
        <f>RawTable[[#This Row],[Gross_Amount]]</f>
        <v>5307.12</v>
      </c>
      <c r="N280" s="4">
        <f>RawTable[[#This Row],[Exchange_Rate]]</f>
        <v>0.77017999999999998</v>
      </c>
      <c r="O280" s="4">
        <f>RawTable[[#This Row],[Amount_CHF]]</f>
        <v>4087.44</v>
      </c>
      <c r="P28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8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80" s="11" t="str">
        <f>IF(ValidationTable[[#This Row],[Currency]]="","Fail","Pass")</f>
        <v>Pass</v>
      </c>
      <c r="S280" s="11" t="str">
        <f>IF(
ValidationTable[[#This Row],[Currency]]="CHF",
IF(ValidationTable[[#This Row],[Exchange_Rate]]&lt;&gt;1,"Fail","Pass"),
IF(ValidationTable[[#This Row],[Exchange_Rate]]&lt;=0,"Fail","Pass")
)</f>
        <v>Pass</v>
      </c>
      <c r="T28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80" s="11" t="str">
        <f>IF(LEN(TRIM(ValidationTable[[#This Row],[Bank_Account]]))=0,"Fail","Pass")</f>
        <v>Pass</v>
      </c>
      <c r="V280" s="11" t="str">
        <f>IF(
COUNTIF(ValidationTable[Record_ID],ValidationTable[[#This Row],[Record_ID]])&gt;1,
"Fail",
"Pass"
)</f>
        <v>Pass</v>
      </c>
      <c r="W280" s="11" t="str">
        <f>IF(
COUNTIF(ValidationTable[[#This Row],[RequiredField_Validation]]:ValidationTable[[#This Row],[Duplicate_Validation]],"Fail")&gt;0,
"Fail",
"Pass"
)</f>
        <v>Pass</v>
      </c>
      <c r="X280" s="11" t="str">
        <f>IF(ValidationTable[[#This Row],[Validation_Result]]="Pass","Yes","No")</f>
        <v>Yes</v>
      </c>
    </row>
    <row r="281" spans="1:24">
      <c r="A281" s="11">
        <f>RawTable[[#This Row],[Record_ID]]</f>
        <v>280</v>
      </c>
      <c r="B281" s="11" t="str">
        <f>RawTable[[#This Row],[Payment_Type]]</f>
        <v>Contractor_Fee</v>
      </c>
      <c r="C281" s="11" t="str">
        <f>RawTable[[#This Row],[Entity_Type]]</f>
        <v>Contractor</v>
      </c>
      <c r="D281" s="11" t="str">
        <f>RawTable[[#This Row],[Country]]</f>
        <v>USA</v>
      </c>
      <c r="E281" s="11" t="str">
        <f>RawTable[[#This Row],[Name]]</f>
        <v>Laura Ali</v>
      </c>
      <c r="F281" s="11" t="str">
        <f>RawTable[[#This Row],[Bank_Account]]</f>
        <v>CH930000000001752280</v>
      </c>
      <c r="G281" s="11" t="str">
        <f>RawTable[[#This Row],[Month]]</f>
        <v>Feb-2026</v>
      </c>
      <c r="H281" s="11" t="str">
        <f>RawTable[[#This Row],[Currency]]</f>
        <v>USD</v>
      </c>
      <c r="I281" s="4">
        <f>RawTable[[#This Row],[Net_Amount]]</f>
        <v>5696.01</v>
      </c>
      <c r="J281" s="2" t="str">
        <f>RawTable[[#This Row],[VAT_Applicable]]</f>
        <v>No</v>
      </c>
      <c r="K281" s="4">
        <f>RawTable[[#This Row],[VAT_Rate]]</f>
        <v>0</v>
      </c>
      <c r="L281" s="4">
        <f>RawTable[[#This Row],[VAT_Amount]]</f>
        <v>0</v>
      </c>
      <c r="M281" s="4">
        <f>RawTable[[#This Row],[Gross_Amount]]</f>
        <v>5696.01</v>
      </c>
      <c r="N281" s="4">
        <f>RawTable[[#This Row],[Exchange_Rate]]</f>
        <v>0.77017999999999998</v>
      </c>
      <c r="O281" s="4">
        <f>RawTable[[#This Row],[Amount_CHF]]</f>
        <v>4386.95</v>
      </c>
      <c r="P28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8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81" s="11" t="str">
        <f>IF(ValidationTable[[#This Row],[Currency]]="","Fail","Pass")</f>
        <v>Pass</v>
      </c>
      <c r="S281" s="11" t="str">
        <f>IF(
ValidationTable[[#This Row],[Currency]]="CHF",
IF(ValidationTable[[#This Row],[Exchange_Rate]]&lt;&gt;1,"Fail","Pass"),
IF(ValidationTable[[#This Row],[Exchange_Rate]]&lt;=0,"Fail","Pass")
)</f>
        <v>Pass</v>
      </c>
      <c r="T28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81" s="11" t="str">
        <f>IF(LEN(TRIM(ValidationTable[[#This Row],[Bank_Account]]))=0,"Fail","Pass")</f>
        <v>Pass</v>
      </c>
      <c r="V281" s="11" t="str">
        <f>IF(
COUNTIF(ValidationTable[Record_ID],ValidationTable[[#This Row],[Record_ID]])&gt;1,
"Fail",
"Pass"
)</f>
        <v>Pass</v>
      </c>
      <c r="W281" s="11" t="str">
        <f>IF(
COUNTIF(ValidationTable[[#This Row],[RequiredField_Validation]]:ValidationTable[[#This Row],[Duplicate_Validation]],"Fail")&gt;0,
"Fail",
"Pass"
)</f>
        <v>Pass</v>
      </c>
      <c r="X281" s="11" t="str">
        <f>IF(ValidationTable[[#This Row],[Validation_Result]]="Pass","Yes","No")</f>
        <v>Yes</v>
      </c>
    </row>
    <row r="282" spans="1:24" hidden="1">
      <c r="A282" s="11">
        <f>RawTable[[#This Row],[Record_ID]]</f>
        <v>281</v>
      </c>
      <c r="B282" s="11" t="str">
        <f>RawTable[[#This Row],[Payment_Type]]</f>
        <v>Vendor_Invoice</v>
      </c>
      <c r="C282" s="11" t="str">
        <f>RawTable[[#This Row],[Entity_Type]]</f>
        <v>Vendor</v>
      </c>
      <c r="D282" s="11" t="str">
        <f>RawTable[[#This Row],[Country]]</f>
        <v>Switzerland</v>
      </c>
      <c r="E282" s="11" t="str">
        <f>RawTable[[#This Row],[Name]]</f>
        <v>BlueRiver IT Services</v>
      </c>
      <c r="F282" s="11" t="str">
        <f>RawTable[[#This Row],[Bank_Account]]</f>
        <v>CH930000000002295240</v>
      </c>
      <c r="G282" s="11" t="str">
        <f>RawTable[[#This Row],[Month]]</f>
        <v>Feb-2026</v>
      </c>
      <c r="H282" s="11" t="str">
        <f>RawTable[[#This Row],[Currency]]</f>
        <v>CHF</v>
      </c>
      <c r="I282" s="4">
        <f>RawTable[[#This Row],[Net_Amount]]</f>
        <v>5820.75</v>
      </c>
      <c r="J282" s="2" t="str">
        <f>RawTable[[#This Row],[VAT_Applicable]]</f>
        <v>Yes</v>
      </c>
      <c r="K282" s="4">
        <f>RawTable[[#This Row],[VAT_Rate]]</f>
        <v>8.1000000000000003E-2</v>
      </c>
      <c r="L282" s="4">
        <f>RawTable[[#This Row],[VAT_Amount]]</f>
        <v>450</v>
      </c>
      <c r="M282" s="4">
        <f>RawTable[[#This Row],[Gross_Amount]]</f>
        <v>6270.75</v>
      </c>
      <c r="N282" s="4">
        <f>RawTable[[#This Row],[Exchange_Rate]]</f>
        <v>1</v>
      </c>
      <c r="O282" s="4">
        <f>RawTable[[#This Row],[Amount_CHF]]</f>
        <v>6270.75</v>
      </c>
      <c r="P28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8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82" s="11" t="str">
        <f>IF(ValidationTable[[#This Row],[Currency]]="","Fail","Pass")</f>
        <v>Pass</v>
      </c>
      <c r="S282" s="11" t="str">
        <f>IF(
ValidationTable[[#This Row],[Currency]]="CHF",
IF(ValidationTable[[#This Row],[Exchange_Rate]]&lt;&gt;1,"Fail","Pass"),
IF(ValidationTable[[#This Row],[Exchange_Rate]]&lt;=0,"Fail","Pass")
)</f>
        <v>Pass</v>
      </c>
      <c r="T28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Fail</v>
      </c>
      <c r="U282" s="11" t="str">
        <f>IF(LEN(TRIM(ValidationTable[[#This Row],[Bank_Account]]))=0,"Fail","Pass")</f>
        <v>Pass</v>
      </c>
      <c r="V282" s="11" t="str">
        <f>IF(
COUNTIF(ValidationTable[Record_ID],ValidationTable[[#This Row],[Record_ID]])&gt;1,
"Fail",
"Pass"
)</f>
        <v>Pass</v>
      </c>
      <c r="W282" s="11" t="str">
        <f>IF(
COUNTIF(ValidationTable[[#This Row],[RequiredField_Validation]]:ValidationTable[[#This Row],[Duplicate_Validation]],"Fail")&gt;0,
"Fail",
"Pass"
)</f>
        <v>Fail</v>
      </c>
      <c r="X282" s="11" t="str">
        <f>IF(ValidationTable[[#This Row],[Validation_Result]]="Pass","Yes","No")</f>
        <v>No</v>
      </c>
    </row>
    <row r="283" spans="1:24">
      <c r="A283" s="11">
        <f>RawTable[[#This Row],[Record_ID]]</f>
        <v>282</v>
      </c>
      <c r="B283" s="11" t="str">
        <f>RawTable[[#This Row],[Payment_Type]]</f>
        <v>Vendor_Invoice</v>
      </c>
      <c r="C283" s="11" t="str">
        <f>RawTable[[#This Row],[Entity_Type]]</f>
        <v>Vendor</v>
      </c>
      <c r="D283" s="11" t="str">
        <f>RawTable[[#This Row],[Country]]</f>
        <v>Jordan</v>
      </c>
      <c r="E283" s="11" t="str">
        <f>RawTable[[#This Row],[Name]]</f>
        <v>BlueRiver IT Services</v>
      </c>
      <c r="F283" s="11" t="str">
        <f>RawTable[[#This Row],[Bank_Account]]</f>
        <v>CH930000000002295240</v>
      </c>
      <c r="G283" s="11" t="str">
        <f>RawTable[[#This Row],[Month]]</f>
        <v>Jan-2026</v>
      </c>
      <c r="H283" s="11" t="str">
        <f>RawTable[[#This Row],[Currency]]</f>
        <v>JOD</v>
      </c>
      <c r="I283" s="4">
        <f>RawTable[[#This Row],[Net_Amount]]</f>
        <v>6268.5</v>
      </c>
      <c r="J283" s="2" t="str">
        <f>RawTable[[#This Row],[VAT_Applicable]]</f>
        <v>Yes</v>
      </c>
      <c r="K283" s="4">
        <f>RawTable[[#This Row],[VAT_Rate]]</f>
        <v>0.16</v>
      </c>
      <c r="L283" s="4">
        <f>RawTable[[#This Row],[VAT_Amount]]</f>
        <v>1002.96</v>
      </c>
      <c r="M283" s="4">
        <f>RawTable[[#This Row],[Gross_Amount]]</f>
        <v>7271.46</v>
      </c>
      <c r="N283" s="4">
        <f>RawTable[[#This Row],[Exchange_Rate]]</f>
        <v>1.08643</v>
      </c>
      <c r="O283" s="4">
        <f>RawTable[[#This Row],[Amount_CHF]]</f>
        <v>7899.93</v>
      </c>
      <c r="P28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8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83" s="11" t="str">
        <f>IF(ValidationTable[[#This Row],[Currency]]="","Fail","Pass")</f>
        <v>Pass</v>
      </c>
      <c r="S283" s="11" t="str">
        <f>IF(
ValidationTable[[#This Row],[Currency]]="CHF",
IF(ValidationTable[[#This Row],[Exchange_Rate]]&lt;&gt;1,"Fail","Pass"),
IF(ValidationTable[[#This Row],[Exchange_Rate]]&lt;=0,"Fail","Pass")
)</f>
        <v>Pass</v>
      </c>
      <c r="T28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83" s="11" t="str">
        <f>IF(LEN(TRIM(ValidationTable[[#This Row],[Bank_Account]]))=0,"Fail","Pass")</f>
        <v>Pass</v>
      </c>
      <c r="V283" s="11" t="str">
        <f>IF(
COUNTIF(ValidationTable[Record_ID],ValidationTable[[#This Row],[Record_ID]])&gt;1,
"Fail",
"Pass"
)</f>
        <v>Pass</v>
      </c>
      <c r="W283" s="11" t="str">
        <f>IF(
COUNTIF(ValidationTable[[#This Row],[RequiredField_Validation]]:ValidationTable[[#This Row],[Duplicate_Validation]],"Fail")&gt;0,
"Fail",
"Pass"
)</f>
        <v>Pass</v>
      </c>
      <c r="X283" s="11" t="str">
        <f>IF(ValidationTable[[#This Row],[Validation_Result]]="Pass","Yes","No")</f>
        <v>Yes</v>
      </c>
    </row>
    <row r="284" spans="1:24">
      <c r="A284" s="11">
        <f>RawTable[[#This Row],[Record_ID]]</f>
        <v>283</v>
      </c>
      <c r="B284" s="11" t="str">
        <f>RawTable[[#This Row],[Payment_Type]]</f>
        <v>Vendor_Invoice</v>
      </c>
      <c r="C284" s="11" t="str">
        <f>RawTable[[#This Row],[Entity_Type]]</f>
        <v>Vendor</v>
      </c>
      <c r="D284" s="11" t="str">
        <f>RawTable[[#This Row],[Country]]</f>
        <v>Jordan</v>
      </c>
      <c r="E284" s="11" t="str">
        <f>RawTable[[#This Row],[Name]]</f>
        <v>Global Services Ltd</v>
      </c>
      <c r="F284" s="11" t="str">
        <f>RawTable[[#This Row],[Bank_Account]]</f>
        <v>JO-IBAN-01160430</v>
      </c>
      <c r="G284" s="11" t="str">
        <f>RawTable[[#This Row],[Month]]</f>
        <v>Mar-2026</v>
      </c>
      <c r="H284" s="11" t="str">
        <f>RawTable[[#This Row],[Currency]]</f>
        <v>JOD</v>
      </c>
      <c r="I284" s="4">
        <f>RawTable[[#This Row],[Net_Amount]]</f>
        <v>1606.72</v>
      </c>
      <c r="J284" s="2" t="str">
        <f>RawTable[[#This Row],[VAT_Applicable]]</f>
        <v>Yes</v>
      </c>
      <c r="K284" s="4">
        <f>RawTable[[#This Row],[VAT_Rate]]</f>
        <v>0.16</v>
      </c>
      <c r="L284" s="4">
        <f>RawTable[[#This Row],[VAT_Amount]]</f>
        <v>257.0752</v>
      </c>
      <c r="M284" s="4">
        <f>RawTable[[#This Row],[Gross_Amount]]</f>
        <v>1863.7952</v>
      </c>
      <c r="N284" s="4">
        <f>RawTable[[#This Row],[Exchange_Rate]]</f>
        <v>1.08643</v>
      </c>
      <c r="O284" s="4">
        <f>RawTable[[#This Row],[Amount_CHF]]</f>
        <v>2024.88</v>
      </c>
      <c r="P28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8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84" s="11" t="str">
        <f>IF(ValidationTable[[#This Row],[Currency]]="","Fail","Pass")</f>
        <v>Pass</v>
      </c>
      <c r="S284" s="11" t="str">
        <f>IF(
ValidationTable[[#This Row],[Currency]]="CHF",
IF(ValidationTable[[#This Row],[Exchange_Rate]]&lt;&gt;1,"Fail","Pass"),
IF(ValidationTable[[#This Row],[Exchange_Rate]]&lt;=0,"Fail","Pass")
)</f>
        <v>Pass</v>
      </c>
      <c r="T28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84" s="11" t="str">
        <f>IF(LEN(TRIM(ValidationTable[[#This Row],[Bank_Account]]))=0,"Fail","Pass")</f>
        <v>Pass</v>
      </c>
      <c r="V284" s="11" t="str">
        <f>IF(
COUNTIF(ValidationTable[Record_ID],ValidationTable[[#This Row],[Record_ID]])&gt;1,
"Fail",
"Pass"
)</f>
        <v>Pass</v>
      </c>
      <c r="W284" s="11" t="str">
        <f>IF(
COUNTIF(ValidationTable[[#This Row],[RequiredField_Validation]]:ValidationTable[[#This Row],[Duplicate_Validation]],"Fail")&gt;0,
"Fail",
"Pass"
)</f>
        <v>Pass</v>
      </c>
      <c r="X284" s="11" t="str">
        <f>IF(ValidationTable[[#This Row],[Validation_Result]]="Pass","Yes","No")</f>
        <v>Yes</v>
      </c>
    </row>
    <row r="285" spans="1:24">
      <c r="A285" s="11">
        <f>RawTable[[#This Row],[Record_ID]]</f>
        <v>284</v>
      </c>
      <c r="B285" s="11" t="str">
        <f>RawTable[[#This Row],[Payment_Type]]</f>
        <v>Vendor_Invoice</v>
      </c>
      <c r="C285" s="11" t="str">
        <f>RawTable[[#This Row],[Entity_Type]]</f>
        <v>Vendor</v>
      </c>
      <c r="D285" s="11" t="str">
        <f>RawTable[[#This Row],[Country]]</f>
        <v>Switzerland</v>
      </c>
      <c r="E285" s="11" t="str">
        <f>RawTable[[#This Row],[Name]]</f>
        <v>Future Innovations FZ-LLC</v>
      </c>
      <c r="F285" s="11" t="str">
        <f>RawTable[[#This Row],[Bank_Account]]</f>
        <v>CH930000000002344600</v>
      </c>
      <c r="G285" s="11" t="str">
        <f>RawTable[[#This Row],[Month]]</f>
        <v>Mar-2026</v>
      </c>
      <c r="H285" s="11" t="str">
        <f>RawTable[[#This Row],[Currency]]</f>
        <v>CHF</v>
      </c>
      <c r="I285" s="4">
        <f>RawTable[[#This Row],[Net_Amount]]</f>
        <v>5281.38</v>
      </c>
      <c r="J285" s="2" t="str">
        <f>RawTable[[#This Row],[VAT_Applicable]]</f>
        <v>Yes</v>
      </c>
      <c r="K285" s="4">
        <f>RawTable[[#This Row],[VAT_Rate]]</f>
        <v>8.1000000000000003E-2</v>
      </c>
      <c r="L285" s="4">
        <f>RawTable[[#This Row],[VAT_Amount]]</f>
        <v>427.79178000000002</v>
      </c>
      <c r="M285" s="4">
        <f>RawTable[[#This Row],[Gross_Amount]]</f>
        <v>5709.1717800000006</v>
      </c>
      <c r="N285" s="4">
        <f>RawTable[[#This Row],[Exchange_Rate]]</f>
        <v>1</v>
      </c>
      <c r="O285" s="4">
        <f>RawTable[[#This Row],[Amount_CHF]]</f>
        <v>5709.17</v>
      </c>
      <c r="P28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8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85" s="11" t="str">
        <f>IF(ValidationTable[[#This Row],[Currency]]="","Fail","Pass")</f>
        <v>Pass</v>
      </c>
      <c r="S285" s="11" t="str">
        <f>IF(
ValidationTable[[#This Row],[Currency]]="CHF",
IF(ValidationTable[[#This Row],[Exchange_Rate]]&lt;&gt;1,"Fail","Pass"),
IF(ValidationTable[[#This Row],[Exchange_Rate]]&lt;=0,"Fail","Pass")
)</f>
        <v>Pass</v>
      </c>
      <c r="T28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85" s="11" t="str">
        <f>IF(LEN(TRIM(ValidationTable[[#This Row],[Bank_Account]]))=0,"Fail","Pass")</f>
        <v>Pass</v>
      </c>
      <c r="V285" s="11" t="str">
        <f>IF(
COUNTIF(ValidationTable[Record_ID],ValidationTable[[#This Row],[Record_ID]])&gt;1,
"Fail",
"Pass"
)</f>
        <v>Pass</v>
      </c>
      <c r="W285" s="11" t="str">
        <f>IF(
COUNTIF(ValidationTable[[#This Row],[RequiredField_Validation]]:ValidationTable[[#This Row],[Duplicate_Validation]],"Fail")&gt;0,
"Fail",
"Pass"
)</f>
        <v>Pass</v>
      </c>
      <c r="X285" s="11" t="str">
        <f>IF(ValidationTable[[#This Row],[Validation_Result]]="Pass","Yes","No")</f>
        <v>Yes</v>
      </c>
    </row>
    <row r="286" spans="1:24">
      <c r="A286" s="11">
        <f>RawTable[[#This Row],[Record_ID]]</f>
        <v>285</v>
      </c>
      <c r="B286" s="11" t="str">
        <f>RawTable[[#This Row],[Payment_Type]]</f>
        <v>Vendor_Invoice</v>
      </c>
      <c r="C286" s="11" t="str">
        <f>RawTable[[#This Row],[Entity_Type]]</f>
        <v>Vendor</v>
      </c>
      <c r="D286" s="11" t="str">
        <f>RawTable[[#This Row],[Country]]</f>
        <v>USA</v>
      </c>
      <c r="E286" s="11" t="str">
        <f>RawTable[[#This Row],[Name]]</f>
        <v>Future Innovations FZ-LLC</v>
      </c>
      <c r="F286" s="11" t="str">
        <f>RawTable[[#This Row],[Bank_Account]]</f>
        <v>CH930000000002344600</v>
      </c>
      <c r="G286" s="11" t="str">
        <f>RawTable[[#This Row],[Month]]</f>
        <v>Jan-2026</v>
      </c>
      <c r="H286" s="11" t="str">
        <f>RawTable[[#This Row],[Currency]]</f>
        <v>USD</v>
      </c>
      <c r="I286" s="4">
        <f>RawTable[[#This Row],[Net_Amount]]</f>
        <v>5687.64</v>
      </c>
      <c r="J286" s="2" t="str">
        <f>RawTable[[#This Row],[VAT_Applicable]]</f>
        <v>Yes</v>
      </c>
      <c r="K286" s="4">
        <f>RawTable[[#This Row],[VAT_Rate]]</f>
        <v>0.05</v>
      </c>
      <c r="L286" s="4">
        <f>RawTable[[#This Row],[VAT_Amount]]</f>
        <v>284.38200000000001</v>
      </c>
      <c r="M286" s="4">
        <f>RawTable[[#This Row],[Gross_Amount]]</f>
        <v>5972.0219999999999</v>
      </c>
      <c r="N286" s="4">
        <f>RawTable[[#This Row],[Exchange_Rate]]</f>
        <v>0.77017999999999998</v>
      </c>
      <c r="O286" s="4">
        <f>RawTable[[#This Row],[Amount_CHF]]</f>
        <v>4599.53</v>
      </c>
      <c r="P28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8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86" s="11" t="str">
        <f>IF(ValidationTable[[#This Row],[Currency]]="","Fail","Pass")</f>
        <v>Pass</v>
      </c>
      <c r="S286" s="11" t="str">
        <f>IF(
ValidationTable[[#This Row],[Currency]]="CHF",
IF(ValidationTable[[#This Row],[Exchange_Rate]]&lt;&gt;1,"Fail","Pass"),
IF(ValidationTable[[#This Row],[Exchange_Rate]]&lt;=0,"Fail","Pass")
)</f>
        <v>Pass</v>
      </c>
      <c r="T28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86" s="11" t="str">
        <f>IF(LEN(TRIM(ValidationTable[[#This Row],[Bank_Account]]))=0,"Fail","Pass")</f>
        <v>Pass</v>
      </c>
      <c r="V286" s="11" t="str">
        <f>IF(
COUNTIF(ValidationTable[Record_ID],ValidationTable[[#This Row],[Record_ID]])&gt;1,
"Fail",
"Pass"
)</f>
        <v>Pass</v>
      </c>
      <c r="W286" s="11" t="str">
        <f>IF(
COUNTIF(ValidationTable[[#This Row],[RequiredField_Validation]]:ValidationTable[[#This Row],[Duplicate_Validation]],"Fail")&gt;0,
"Fail",
"Pass"
)</f>
        <v>Pass</v>
      </c>
      <c r="X286" s="11" t="str">
        <f>IF(ValidationTable[[#This Row],[Validation_Result]]="Pass","Yes","No")</f>
        <v>Yes</v>
      </c>
    </row>
    <row r="287" spans="1:24">
      <c r="A287" s="11">
        <f>RawTable[[#This Row],[Record_ID]]</f>
        <v>286</v>
      </c>
      <c r="B287" s="11" t="str">
        <f>RawTable[[#This Row],[Payment_Type]]</f>
        <v>Vendor_Invoice</v>
      </c>
      <c r="C287" s="11" t="str">
        <f>RawTable[[#This Row],[Entity_Type]]</f>
        <v>Vendor</v>
      </c>
      <c r="D287" s="11" t="str">
        <f>RawTable[[#This Row],[Country]]</f>
        <v>UAE</v>
      </c>
      <c r="E287" s="11" t="str">
        <f>RawTable[[#This Row],[Name]]</f>
        <v>Global Services Ltd</v>
      </c>
      <c r="F287" s="11" t="str">
        <f>RawTable[[#This Row],[Bank_Account]]</f>
        <v>JO-IBAN-01160430</v>
      </c>
      <c r="G287" s="11" t="str">
        <f>RawTable[[#This Row],[Month]]</f>
        <v>Jan-2026</v>
      </c>
      <c r="H287" s="11" t="str">
        <f>RawTable[[#This Row],[Currency]]</f>
        <v>AED</v>
      </c>
      <c r="I287" s="4">
        <f>RawTable[[#This Row],[Net_Amount]]</f>
        <v>19637.64</v>
      </c>
      <c r="J287" s="2" t="str">
        <f>RawTable[[#This Row],[VAT_Applicable]]</f>
        <v>Yes</v>
      </c>
      <c r="K287" s="4">
        <f>RawTable[[#This Row],[VAT_Rate]]</f>
        <v>0</v>
      </c>
      <c r="L287" s="4">
        <f>RawTable[[#This Row],[VAT_Amount]]</f>
        <v>0</v>
      </c>
      <c r="M287" s="4">
        <f>RawTable[[#This Row],[Gross_Amount]]</f>
        <v>19637.64</v>
      </c>
      <c r="N287" s="4">
        <f>RawTable[[#This Row],[Exchange_Rate]]</f>
        <v>0.21065</v>
      </c>
      <c r="O287" s="4">
        <f>RawTable[[#This Row],[Amount_CHF]]</f>
        <v>4136.67</v>
      </c>
      <c r="P28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8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87" s="11" t="str">
        <f>IF(ValidationTable[[#This Row],[Currency]]="","Fail","Pass")</f>
        <v>Pass</v>
      </c>
      <c r="S287" s="11" t="str">
        <f>IF(
ValidationTable[[#This Row],[Currency]]="CHF",
IF(ValidationTable[[#This Row],[Exchange_Rate]]&lt;&gt;1,"Fail","Pass"),
IF(ValidationTable[[#This Row],[Exchange_Rate]]&lt;=0,"Fail","Pass")
)</f>
        <v>Pass</v>
      </c>
      <c r="T28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87" s="11" t="str">
        <f>IF(LEN(TRIM(ValidationTable[[#This Row],[Bank_Account]]))=0,"Fail","Pass")</f>
        <v>Pass</v>
      </c>
      <c r="V287" s="11" t="str">
        <f>IF(
COUNTIF(ValidationTable[Record_ID],ValidationTable[[#This Row],[Record_ID]])&gt;1,
"Fail",
"Pass"
)</f>
        <v>Pass</v>
      </c>
      <c r="W287" s="11" t="str">
        <f>IF(
COUNTIF(ValidationTable[[#This Row],[RequiredField_Validation]]:ValidationTable[[#This Row],[Duplicate_Validation]],"Fail")&gt;0,
"Fail",
"Pass"
)</f>
        <v>Pass</v>
      </c>
      <c r="X287" s="11" t="str">
        <f>IF(ValidationTable[[#This Row],[Validation_Result]]="Pass","Yes","No")</f>
        <v>Yes</v>
      </c>
    </row>
    <row r="288" spans="1:24">
      <c r="A288" s="11">
        <f>RawTable[[#This Row],[Record_ID]]</f>
        <v>287</v>
      </c>
      <c r="B288" s="11" t="str">
        <f>RawTable[[#This Row],[Payment_Type]]</f>
        <v>Vendor_Invoice</v>
      </c>
      <c r="C288" s="11" t="str">
        <f>RawTable[[#This Row],[Entity_Type]]</f>
        <v>Vendor</v>
      </c>
      <c r="D288" s="11" t="str">
        <f>RawTable[[#This Row],[Country]]</f>
        <v>USA</v>
      </c>
      <c r="E288" s="11" t="str">
        <f>RawTable[[#This Row],[Name]]</f>
        <v>Bright Consulting LLC</v>
      </c>
      <c r="F288" s="11" t="str">
        <f>RawTable[[#This Row],[Bank_Account]]</f>
        <v>US-RT-000118464-AC-0000545088</v>
      </c>
      <c r="G288" s="11" t="str">
        <f>RawTable[[#This Row],[Month]]</f>
        <v>Feb-2026</v>
      </c>
      <c r="H288" s="11" t="str">
        <f>RawTable[[#This Row],[Currency]]</f>
        <v>USD</v>
      </c>
      <c r="I288" s="4">
        <f>RawTable[[#This Row],[Net_Amount]]</f>
        <v>6615.63</v>
      </c>
      <c r="J288" s="2" t="str">
        <f>RawTable[[#This Row],[VAT_Applicable]]</f>
        <v>Yes</v>
      </c>
      <c r="K288" s="4">
        <f>RawTable[[#This Row],[VAT_Rate]]</f>
        <v>0.05</v>
      </c>
      <c r="L288" s="4">
        <f>RawTable[[#This Row],[VAT_Amount]]</f>
        <v>330.78150000000005</v>
      </c>
      <c r="M288" s="4">
        <f>RawTable[[#This Row],[Gross_Amount]]</f>
        <v>6946.4115000000002</v>
      </c>
      <c r="N288" s="4">
        <f>RawTable[[#This Row],[Exchange_Rate]]</f>
        <v>0.77017999999999998</v>
      </c>
      <c r="O288" s="4">
        <f>RawTable[[#This Row],[Amount_CHF]]</f>
        <v>5349.99</v>
      </c>
      <c r="P28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8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88" s="11" t="str">
        <f>IF(ValidationTable[[#This Row],[Currency]]="","Fail","Pass")</f>
        <v>Pass</v>
      </c>
      <c r="S288" s="11" t="str">
        <f>IF(
ValidationTable[[#This Row],[Currency]]="CHF",
IF(ValidationTable[[#This Row],[Exchange_Rate]]&lt;&gt;1,"Fail","Pass"),
IF(ValidationTable[[#This Row],[Exchange_Rate]]&lt;=0,"Fail","Pass")
)</f>
        <v>Pass</v>
      </c>
      <c r="T28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88" s="11" t="str">
        <f>IF(LEN(TRIM(ValidationTable[[#This Row],[Bank_Account]]))=0,"Fail","Pass")</f>
        <v>Pass</v>
      </c>
      <c r="V288" s="11" t="str">
        <f>IF(
COUNTIF(ValidationTable[Record_ID],ValidationTable[[#This Row],[Record_ID]])&gt;1,
"Fail",
"Pass"
)</f>
        <v>Pass</v>
      </c>
      <c r="W288" s="11" t="str">
        <f>IF(
COUNTIF(ValidationTable[[#This Row],[RequiredField_Validation]]:ValidationTable[[#This Row],[Duplicate_Validation]],"Fail")&gt;0,
"Fail",
"Pass"
)</f>
        <v>Pass</v>
      </c>
      <c r="X288" s="11" t="str">
        <f>IF(ValidationTable[[#This Row],[Validation_Result]]="Pass","Yes","No")</f>
        <v>Yes</v>
      </c>
    </row>
    <row r="289" spans="1:24">
      <c r="A289" s="11">
        <f>RawTable[[#This Row],[Record_ID]]</f>
        <v>288</v>
      </c>
      <c r="B289" s="11" t="str">
        <f>RawTable[[#This Row],[Payment_Type]]</f>
        <v>Vendor_Invoice</v>
      </c>
      <c r="C289" s="11" t="str">
        <f>RawTable[[#This Row],[Entity_Type]]</f>
        <v>Vendor</v>
      </c>
      <c r="D289" s="11" t="str">
        <f>RawTable[[#This Row],[Country]]</f>
        <v>Jordan</v>
      </c>
      <c r="E289" s="11" t="str">
        <f>RawTable[[#This Row],[Name]]</f>
        <v>Tech Solutions GmbH</v>
      </c>
      <c r="F289" s="11" t="str">
        <f>RawTable[[#This Row],[Bank_Account]]</f>
        <v>JO-IBAN-01197465</v>
      </c>
      <c r="G289" s="11" t="str">
        <f>RawTable[[#This Row],[Month]]</f>
        <v>Jan-2026</v>
      </c>
      <c r="H289" s="11" t="str">
        <f>RawTable[[#This Row],[Currency]]</f>
        <v>JOD</v>
      </c>
      <c r="I289" s="4">
        <f>RawTable[[#This Row],[Net_Amount]]</f>
        <v>1771.15</v>
      </c>
      <c r="J289" s="2" t="str">
        <f>RawTable[[#This Row],[VAT_Applicable]]</f>
        <v>Yes</v>
      </c>
      <c r="K289" s="4">
        <f>RawTable[[#This Row],[VAT_Rate]]</f>
        <v>0.16</v>
      </c>
      <c r="L289" s="4">
        <f>RawTable[[#This Row],[VAT_Amount]]</f>
        <v>283.38400000000001</v>
      </c>
      <c r="M289" s="4">
        <f>RawTable[[#This Row],[Gross_Amount]]</f>
        <v>2054.5340000000001</v>
      </c>
      <c r="N289" s="4">
        <f>RawTable[[#This Row],[Exchange_Rate]]</f>
        <v>1.08643</v>
      </c>
      <c r="O289" s="4">
        <f>RawTable[[#This Row],[Amount_CHF]]</f>
        <v>2232.11</v>
      </c>
      <c r="P28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8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89" s="11" t="str">
        <f>IF(ValidationTable[[#This Row],[Currency]]="","Fail","Pass")</f>
        <v>Pass</v>
      </c>
      <c r="S289" s="11" t="str">
        <f>IF(
ValidationTable[[#This Row],[Currency]]="CHF",
IF(ValidationTable[[#This Row],[Exchange_Rate]]&lt;&gt;1,"Fail","Pass"),
IF(ValidationTable[[#This Row],[Exchange_Rate]]&lt;=0,"Fail","Pass")
)</f>
        <v>Pass</v>
      </c>
      <c r="T28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89" s="11" t="str">
        <f>IF(LEN(TRIM(ValidationTable[[#This Row],[Bank_Account]]))=0,"Fail","Pass")</f>
        <v>Pass</v>
      </c>
      <c r="V289" s="11" t="str">
        <f>IF(
COUNTIF(ValidationTable[Record_ID],ValidationTable[[#This Row],[Record_ID]])&gt;1,
"Fail",
"Pass"
)</f>
        <v>Pass</v>
      </c>
      <c r="W289" s="11" t="str">
        <f>IF(
COUNTIF(ValidationTable[[#This Row],[RequiredField_Validation]]:ValidationTable[[#This Row],[Duplicate_Validation]],"Fail")&gt;0,
"Fail",
"Pass"
)</f>
        <v>Pass</v>
      </c>
      <c r="X289" s="11" t="str">
        <f>IF(ValidationTable[[#This Row],[Validation_Result]]="Pass","Yes","No")</f>
        <v>Yes</v>
      </c>
    </row>
    <row r="290" spans="1:24">
      <c r="A290" s="11">
        <f>RawTable[[#This Row],[Record_ID]]</f>
        <v>289</v>
      </c>
      <c r="B290" s="11" t="str">
        <f>RawTable[[#This Row],[Payment_Type]]</f>
        <v>Vendor_Invoice</v>
      </c>
      <c r="C290" s="11" t="str">
        <f>RawTable[[#This Row],[Entity_Type]]</f>
        <v>Vendor</v>
      </c>
      <c r="D290" s="11" t="str">
        <f>RawTable[[#This Row],[Country]]</f>
        <v>Switzerland</v>
      </c>
      <c r="E290" s="11" t="str">
        <f>RawTable[[#This Row],[Name]]</f>
        <v>Tech Solutions GmbH</v>
      </c>
      <c r="F290" s="11" t="str">
        <f>RawTable[[#This Row],[Bank_Account]]</f>
        <v>JO-IBAN-01197465</v>
      </c>
      <c r="G290" s="11" t="str">
        <f>RawTable[[#This Row],[Month]]</f>
        <v>Mar-2026</v>
      </c>
      <c r="H290" s="11" t="str">
        <f>RawTable[[#This Row],[Currency]]</f>
        <v>CHF</v>
      </c>
      <c r="I290" s="4">
        <f>RawTable[[#This Row],[Net_Amount]]</f>
        <v>6395.81</v>
      </c>
      <c r="J290" s="2" t="str">
        <f>RawTable[[#This Row],[VAT_Applicable]]</f>
        <v>Yes</v>
      </c>
      <c r="K290" s="4">
        <f>RawTable[[#This Row],[VAT_Rate]]</f>
        <v>8.1000000000000003E-2</v>
      </c>
      <c r="L290" s="4">
        <f>RawTable[[#This Row],[VAT_Amount]]</f>
        <v>518.06061</v>
      </c>
      <c r="M290" s="4">
        <f>RawTable[[#This Row],[Gross_Amount]]</f>
        <v>6913.8706099999999</v>
      </c>
      <c r="N290" s="4">
        <f>RawTable[[#This Row],[Exchange_Rate]]</f>
        <v>1</v>
      </c>
      <c r="O290" s="4">
        <f>RawTable[[#This Row],[Amount_CHF]]</f>
        <v>6913.87</v>
      </c>
      <c r="P29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9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90" s="11" t="str">
        <f>IF(ValidationTable[[#This Row],[Currency]]="","Fail","Pass")</f>
        <v>Pass</v>
      </c>
      <c r="S290" s="11" t="str">
        <f>IF(
ValidationTable[[#This Row],[Currency]]="CHF",
IF(ValidationTable[[#This Row],[Exchange_Rate]]&lt;&gt;1,"Fail","Pass"),
IF(ValidationTable[[#This Row],[Exchange_Rate]]&lt;=0,"Fail","Pass")
)</f>
        <v>Pass</v>
      </c>
      <c r="T29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90" s="11" t="str">
        <f>IF(LEN(TRIM(ValidationTable[[#This Row],[Bank_Account]]))=0,"Fail","Pass")</f>
        <v>Pass</v>
      </c>
      <c r="V290" s="11" t="str">
        <f>IF(
COUNTIF(ValidationTable[Record_ID],ValidationTable[[#This Row],[Record_ID]])&gt;1,
"Fail",
"Pass"
)</f>
        <v>Pass</v>
      </c>
      <c r="W290" s="11" t="str">
        <f>IF(
COUNTIF(ValidationTable[[#This Row],[RequiredField_Validation]]:ValidationTable[[#This Row],[Duplicate_Validation]],"Fail")&gt;0,
"Fail",
"Pass"
)</f>
        <v>Pass</v>
      </c>
      <c r="X290" s="11" t="str">
        <f>IF(ValidationTable[[#This Row],[Validation_Result]]="Pass","Yes","No")</f>
        <v>Yes</v>
      </c>
    </row>
    <row r="291" spans="1:24">
      <c r="A291" s="11">
        <f>RawTable[[#This Row],[Record_ID]]</f>
        <v>290</v>
      </c>
      <c r="B291" s="11" t="str">
        <f>RawTable[[#This Row],[Payment_Type]]</f>
        <v>Vendor_Invoice</v>
      </c>
      <c r="C291" s="11" t="str">
        <f>RawTable[[#This Row],[Entity_Type]]</f>
        <v>Vendor</v>
      </c>
      <c r="D291" s="11" t="str">
        <f>RawTable[[#This Row],[Country]]</f>
        <v>Germany</v>
      </c>
      <c r="E291" s="11" t="str">
        <f>RawTable[[#This Row],[Name]]</f>
        <v>BlueRiver IT Services</v>
      </c>
      <c r="F291" s="11" t="str">
        <f>RawTable[[#This Row],[Bank_Account]]</f>
        <v>CH930000000002295240</v>
      </c>
      <c r="G291" s="11" t="str">
        <f>RawTable[[#This Row],[Month]]</f>
        <v>Jan-2026</v>
      </c>
      <c r="H291" s="11" t="str">
        <f>RawTable[[#This Row],[Currency]]</f>
        <v>EUR</v>
      </c>
      <c r="I291" s="4">
        <f>RawTable[[#This Row],[Net_Amount]]</f>
        <v>5373</v>
      </c>
      <c r="J291" s="2" t="str">
        <f>RawTable[[#This Row],[VAT_Applicable]]</f>
        <v>Yes</v>
      </c>
      <c r="K291" s="4">
        <f>RawTable[[#This Row],[VAT_Rate]]</f>
        <v>0.19</v>
      </c>
      <c r="L291" s="4">
        <f>RawTable[[#This Row],[VAT_Amount]]</f>
        <v>1020.87</v>
      </c>
      <c r="M291" s="4">
        <f>RawTable[[#This Row],[Gross_Amount]]</f>
        <v>6393.87</v>
      </c>
      <c r="N291" s="4">
        <f>RawTable[[#This Row],[Exchange_Rate]]</f>
        <v>0.90888000000000002</v>
      </c>
      <c r="O291" s="4">
        <f>RawTable[[#This Row],[Amount_CHF]]</f>
        <v>5811.26</v>
      </c>
      <c r="P29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9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91" s="11" t="str">
        <f>IF(ValidationTable[[#This Row],[Currency]]="","Fail","Pass")</f>
        <v>Pass</v>
      </c>
      <c r="S291" s="11" t="str">
        <f>IF(
ValidationTable[[#This Row],[Currency]]="CHF",
IF(ValidationTable[[#This Row],[Exchange_Rate]]&lt;&gt;1,"Fail","Pass"),
IF(ValidationTable[[#This Row],[Exchange_Rate]]&lt;=0,"Fail","Pass")
)</f>
        <v>Pass</v>
      </c>
      <c r="T29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91" s="11" t="str">
        <f>IF(LEN(TRIM(ValidationTable[[#This Row],[Bank_Account]]))=0,"Fail","Pass")</f>
        <v>Pass</v>
      </c>
      <c r="V291" s="11" t="str">
        <f>IF(
COUNTIF(ValidationTable[Record_ID],ValidationTable[[#This Row],[Record_ID]])&gt;1,
"Fail",
"Pass"
)</f>
        <v>Pass</v>
      </c>
      <c r="W291" s="11" t="str">
        <f>IF(
COUNTIF(ValidationTable[[#This Row],[RequiredField_Validation]]:ValidationTable[[#This Row],[Duplicate_Validation]],"Fail")&gt;0,
"Fail",
"Pass"
)</f>
        <v>Pass</v>
      </c>
      <c r="X291" s="11" t="str">
        <f>IF(ValidationTable[[#This Row],[Validation_Result]]="Pass","Yes","No")</f>
        <v>Yes</v>
      </c>
    </row>
    <row r="292" spans="1:24">
      <c r="A292" s="11">
        <f>RawTable[[#This Row],[Record_ID]]</f>
        <v>291</v>
      </c>
      <c r="B292" s="11" t="str">
        <f>RawTable[[#This Row],[Payment_Type]]</f>
        <v>Vendor_Invoice</v>
      </c>
      <c r="C292" s="11" t="str">
        <f>RawTable[[#This Row],[Entity_Type]]</f>
        <v>Vendor</v>
      </c>
      <c r="D292" s="11" t="str">
        <f>RawTable[[#This Row],[Country]]</f>
        <v>UAE</v>
      </c>
      <c r="E292" s="11" t="str">
        <f>RawTable[[#This Row],[Name]]</f>
        <v>Bright Consulting LLC</v>
      </c>
      <c r="F292" s="11" t="str">
        <f>RawTable[[#This Row],[Bank_Account]]</f>
        <v>US-RT-000118464-AC-0000545088</v>
      </c>
      <c r="G292" s="11" t="str">
        <f>RawTable[[#This Row],[Month]]</f>
        <v>Jan-2026</v>
      </c>
      <c r="H292" s="11" t="str">
        <f>RawTable[[#This Row],[Currency]]</f>
        <v>AED</v>
      </c>
      <c r="I292" s="4">
        <f>RawTable[[#This Row],[Net_Amount]]</f>
        <v>20791.98</v>
      </c>
      <c r="J292" s="2" t="str">
        <f>RawTable[[#This Row],[VAT_Applicable]]</f>
        <v>Yes</v>
      </c>
      <c r="K292" s="4">
        <f>RawTable[[#This Row],[VAT_Rate]]</f>
        <v>0</v>
      </c>
      <c r="L292" s="4">
        <f>RawTable[[#This Row],[VAT_Amount]]</f>
        <v>0</v>
      </c>
      <c r="M292" s="4">
        <f>RawTable[[#This Row],[Gross_Amount]]</f>
        <v>20791.98</v>
      </c>
      <c r="N292" s="4">
        <f>RawTable[[#This Row],[Exchange_Rate]]</f>
        <v>0.21065</v>
      </c>
      <c r="O292" s="4">
        <f>RawTable[[#This Row],[Amount_CHF]]</f>
        <v>4379.83</v>
      </c>
      <c r="P29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9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92" s="11" t="str">
        <f>IF(ValidationTable[[#This Row],[Currency]]="","Fail","Pass")</f>
        <v>Pass</v>
      </c>
      <c r="S292" s="11" t="str">
        <f>IF(
ValidationTable[[#This Row],[Currency]]="CHF",
IF(ValidationTable[[#This Row],[Exchange_Rate]]&lt;&gt;1,"Fail","Pass"),
IF(ValidationTable[[#This Row],[Exchange_Rate]]&lt;=0,"Fail","Pass")
)</f>
        <v>Pass</v>
      </c>
      <c r="T29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92" s="11" t="str">
        <f>IF(LEN(TRIM(ValidationTable[[#This Row],[Bank_Account]]))=0,"Fail","Pass")</f>
        <v>Pass</v>
      </c>
      <c r="V292" s="11" t="str">
        <f>IF(
COUNTIF(ValidationTable[Record_ID],ValidationTable[[#This Row],[Record_ID]])&gt;1,
"Fail",
"Pass"
)</f>
        <v>Pass</v>
      </c>
      <c r="W292" s="11" t="str">
        <f>IF(
COUNTIF(ValidationTable[[#This Row],[RequiredField_Validation]]:ValidationTable[[#This Row],[Duplicate_Validation]],"Fail")&gt;0,
"Fail",
"Pass"
)</f>
        <v>Pass</v>
      </c>
      <c r="X292" s="11" t="str">
        <f>IF(ValidationTable[[#This Row],[Validation_Result]]="Pass","Yes","No")</f>
        <v>Yes</v>
      </c>
    </row>
    <row r="293" spans="1:24">
      <c r="A293" s="11">
        <f>RawTable[[#This Row],[Record_ID]]</f>
        <v>292</v>
      </c>
      <c r="B293" s="11" t="str">
        <f>RawTable[[#This Row],[Payment_Type]]</f>
        <v>Vendor_Invoice</v>
      </c>
      <c r="C293" s="11" t="str">
        <f>RawTable[[#This Row],[Entity_Type]]</f>
        <v>Vendor</v>
      </c>
      <c r="D293" s="11" t="str">
        <f>RawTable[[#This Row],[Country]]</f>
        <v>USA</v>
      </c>
      <c r="E293" s="11" t="str">
        <f>RawTable[[#This Row],[Name]]</f>
        <v>Sunrise Media Agency</v>
      </c>
      <c r="F293" s="11" t="str">
        <f>RawTable[[#This Row],[Bank_Account]]</f>
        <v>US-RT-000120932-AC-0000556444</v>
      </c>
      <c r="G293" s="11" t="str">
        <f>RawTable[[#This Row],[Month]]</f>
        <v>Mar-2026</v>
      </c>
      <c r="H293" s="11" t="str">
        <f>RawTable[[#This Row],[Currency]]</f>
        <v>USD</v>
      </c>
      <c r="I293" s="4">
        <f>RawTable[[#This Row],[Net_Amount]]</f>
        <v>5673.78</v>
      </c>
      <c r="J293" s="2" t="str">
        <f>RawTable[[#This Row],[VAT_Applicable]]</f>
        <v>Yes</v>
      </c>
      <c r="K293" s="4">
        <f>RawTable[[#This Row],[VAT_Rate]]</f>
        <v>0.05</v>
      </c>
      <c r="L293" s="4">
        <f>RawTable[[#This Row],[VAT_Amount]]</f>
        <v>283.68900000000002</v>
      </c>
      <c r="M293" s="4">
        <f>RawTable[[#This Row],[Gross_Amount]]</f>
        <v>5957.4690000000001</v>
      </c>
      <c r="N293" s="4">
        <f>RawTable[[#This Row],[Exchange_Rate]]</f>
        <v>0.77017999999999998</v>
      </c>
      <c r="O293" s="4">
        <f>RawTable[[#This Row],[Amount_CHF]]</f>
        <v>4588.32</v>
      </c>
      <c r="P29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9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93" s="11" t="str">
        <f>IF(ValidationTable[[#This Row],[Currency]]="","Fail","Pass")</f>
        <v>Pass</v>
      </c>
      <c r="S293" s="11" t="str">
        <f>IF(
ValidationTable[[#This Row],[Currency]]="CHF",
IF(ValidationTable[[#This Row],[Exchange_Rate]]&lt;&gt;1,"Fail","Pass"),
IF(ValidationTable[[#This Row],[Exchange_Rate]]&lt;=0,"Fail","Pass")
)</f>
        <v>Pass</v>
      </c>
      <c r="T29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93" s="11" t="str">
        <f>IF(LEN(TRIM(ValidationTable[[#This Row],[Bank_Account]]))=0,"Fail","Pass")</f>
        <v>Pass</v>
      </c>
      <c r="V293" s="11" t="str">
        <f>IF(
COUNTIF(ValidationTable[Record_ID],ValidationTable[[#This Row],[Record_ID]])&gt;1,
"Fail",
"Pass"
)</f>
        <v>Pass</v>
      </c>
      <c r="W293" s="11" t="str">
        <f>IF(
COUNTIF(ValidationTable[[#This Row],[RequiredField_Validation]]:ValidationTable[[#This Row],[Duplicate_Validation]],"Fail")&gt;0,
"Fail",
"Pass"
)</f>
        <v>Pass</v>
      </c>
      <c r="X293" s="11" t="str">
        <f>IF(ValidationTable[[#This Row],[Validation_Result]]="Pass","Yes","No")</f>
        <v>Yes</v>
      </c>
    </row>
    <row r="294" spans="1:24">
      <c r="A294" s="11">
        <f>RawTable[[#This Row],[Record_ID]]</f>
        <v>293</v>
      </c>
      <c r="B294" s="11" t="str">
        <f>RawTable[[#This Row],[Payment_Type]]</f>
        <v>Vendor_Invoice</v>
      </c>
      <c r="C294" s="11" t="str">
        <f>RawTable[[#This Row],[Entity_Type]]</f>
        <v>Vendor</v>
      </c>
      <c r="D294" s="11" t="str">
        <f>RawTable[[#This Row],[Country]]</f>
        <v>USA</v>
      </c>
      <c r="E294" s="11" t="str">
        <f>RawTable[[#This Row],[Name]]</f>
        <v>BlueRiver IT Services</v>
      </c>
      <c r="F294" s="11" t="str">
        <f>RawTable[[#This Row],[Bank_Account]]</f>
        <v>CH930000000002295240</v>
      </c>
      <c r="G294" s="11" t="str">
        <f>RawTable[[#This Row],[Month]]</f>
        <v>Jan-2026</v>
      </c>
      <c r="H294" s="11" t="str">
        <f>RawTable[[#This Row],[Currency]]</f>
        <v>USD</v>
      </c>
      <c r="I294" s="4">
        <f>RawTable[[#This Row],[Net_Amount]]</f>
        <v>6268.5</v>
      </c>
      <c r="J294" s="2" t="str">
        <f>RawTable[[#This Row],[VAT_Applicable]]</f>
        <v>Yes</v>
      </c>
      <c r="K294" s="4">
        <f>RawTable[[#This Row],[VAT_Rate]]</f>
        <v>0.05</v>
      </c>
      <c r="L294" s="4">
        <f>RawTable[[#This Row],[VAT_Amount]]</f>
        <v>313.42500000000001</v>
      </c>
      <c r="M294" s="4">
        <f>RawTable[[#This Row],[Gross_Amount]]</f>
        <v>6581.9250000000002</v>
      </c>
      <c r="N294" s="4">
        <f>RawTable[[#This Row],[Exchange_Rate]]</f>
        <v>0.77017999999999998</v>
      </c>
      <c r="O294" s="4">
        <f>RawTable[[#This Row],[Amount_CHF]]</f>
        <v>5069.2700000000004</v>
      </c>
      <c r="P29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9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94" s="11" t="str">
        <f>IF(ValidationTable[[#This Row],[Currency]]="","Fail","Pass")</f>
        <v>Pass</v>
      </c>
      <c r="S294" s="11" t="str">
        <f>IF(
ValidationTable[[#This Row],[Currency]]="CHF",
IF(ValidationTable[[#This Row],[Exchange_Rate]]&lt;&gt;1,"Fail","Pass"),
IF(ValidationTable[[#This Row],[Exchange_Rate]]&lt;=0,"Fail","Pass")
)</f>
        <v>Pass</v>
      </c>
      <c r="T29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94" s="11" t="str">
        <f>IF(LEN(TRIM(ValidationTable[[#This Row],[Bank_Account]]))=0,"Fail","Pass")</f>
        <v>Pass</v>
      </c>
      <c r="V294" s="11" t="str">
        <f>IF(
COUNTIF(ValidationTable[Record_ID],ValidationTable[[#This Row],[Record_ID]])&gt;1,
"Fail",
"Pass"
)</f>
        <v>Pass</v>
      </c>
      <c r="W294" s="11" t="str">
        <f>IF(
COUNTIF(ValidationTable[[#This Row],[RequiredField_Validation]]:ValidationTable[[#This Row],[Duplicate_Validation]],"Fail")&gt;0,
"Fail",
"Pass"
)</f>
        <v>Pass</v>
      </c>
      <c r="X294" s="11" t="str">
        <f>IF(ValidationTable[[#This Row],[Validation_Result]]="Pass","Yes","No")</f>
        <v>Yes</v>
      </c>
    </row>
    <row r="295" spans="1:24">
      <c r="A295" s="11">
        <f>RawTable[[#This Row],[Record_ID]]</f>
        <v>294</v>
      </c>
      <c r="B295" s="11" t="str">
        <f>RawTable[[#This Row],[Payment_Type]]</f>
        <v>Vendor_Invoice</v>
      </c>
      <c r="C295" s="11" t="str">
        <f>RawTable[[#This Row],[Entity_Type]]</f>
        <v>Vendor</v>
      </c>
      <c r="D295" s="11" t="str">
        <f>RawTable[[#This Row],[Country]]</f>
        <v>Jordan</v>
      </c>
      <c r="E295" s="11" t="str">
        <f>RawTable[[#This Row],[Name]]</f>
        <v>BlueRiver IT Services</v>
      </c>
      <c r="F295" s="11" t="str">
        <f>RawTable[[#This Row],[Bank_Account]]</f>
        <v>CH930000000002295240</v>
      </c>
      <c r="G295" s="11" t="str">
        <f>RawTable[[#This Row],[Month]]</f>
        <v>Feb-2026</v>
      </c>
      <c r="H295" s="11" t="str">
        <f>RawTable[[#This Row],[Currency]]</f>
        <v>JOD</v>
      </c>
      <c r="I295" s="4">
        <f>RawTable[[#This Row],[Net_Amount]]</f>
        <v>1611.9</v>
      </c>
      <c r="J295" s="2" t="str">
        <f>RawTable[[#This Row],[VAT_Applicable]]</f>
        <v>Yes</v>
      </c>
      <c r="K295" s="4">
        <f>RawTable[[#This Row],[VAT_Rate]]</f>
        <v>0.16</v>
      </c>
      <c r="L295" s="4">
        <f>RawTable[[#This Row],[VAT_Amount]]</f>
        <v>257.904</v>
      </c>
      <c r="M295" s="4">
        <f>RawTable[[#This Row],[Gross_Amount]]</f>
        <v>1869.8040000000001</v>
      </c>
      <c r="N295" s="4">
        <f>RawTable[[#This Row],[Exchange_Rate]]</f>
        <v>1.08643</v>
      </c>
      <c r="O295" s="4">
        <f>RawTable[[#This Row],[Amount_CHF]]</f>
        <v>2031.41</v>
      </c>
      <c r="P29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9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95" s="11" t="str">
        <f>IF(ValidationTable[[#This Row],[Currency]]="","Fail","Pass")</f>
        <v>Pass</v>
      </c>
      <c r="S295" s="11" t="str">
        <f>IF(
ValidationTable[[#This Row],[Currency]]="CHF",
IF(ValidationTable[[#This Row],[Exchange_Rate]]&lt;&gt;1,"Fail","Pass"),
IF(ValidationTable[[#This Row],[Exchange_Rate]]&lt;=0,"Fail","Pass")
)</f>
        <v>Pass</v>
      </c>
      <c r="T29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95" s="11" t="str">
        <f>IF(LEN(TRIM(ValidationTable[[#This Row],[Bank_Account]]))=0,"Fail","Pass")</f>
        <v>Pass</v>
      </c>
      <c r="V295" s="11" t="str">
        <f>IF(
COUNTIF(ValidationTable[Record_ID],ValidationTable[[#This Row],[Record_ID]])&gt;1,
"Fail",
"Pass"
)</f>
        <v>Pass</v>
      </c>
      <c r="W295" s="11" t="str">
        <f>IF(
COUNTIF(ValidationTable[[#This Row],[RequiredField_Validation]]:ValidationTable[[#This Row],[Duplicate_Validation]],"Fail")&gt;0,
"Fail",
"Pass"
)</f>
        <v>Pass</v>
      </c>
      <c r="X295" s="11" t="str">
        <f>IF(ValidationTable[[#This Row],[Validation_Result]]="Pass","Yes","No")</f>
        <v>Yes</v>
      </c>
    </row>
    <row r="296" spans="1:24">
      <c r="A296" s="11">
        <f>RawTable[[#This Row],[Record_ID]]</f>
        <v>295</v>
      </c>
      <c r="B296" s="11" t="str">
        <f>RawTable[[#This Row],[Payment_Type]]</f>
        <v>Vendor_Invoice</v>
      </c>
      <c r="C296" s="11" t="str">
        <f>RawTable[[#This Row],[Entity_Type]]</f>
        <v>Vendor</v>
      </c>
      <c r="D296" s="11" t="str">
        <f>RawTable[[#This Row],[Country]]</f>
        <v>Germany</v>
      </c>
      <c r="E296" s="11" t="str">
        <f>RawTable[[#This Row],[Name]]</f>
        <v>Global Services Ltd</v>
      </c>
      <c r="F296" s="11" t="str">
        <f>RawTable[[#This Row],[Bank_Account]]</f>
        <v>JO-IBAN-01160430</v>
      </c>
      <c r="G296" s="11" t="str">
        <f>RawTable[[#This Row],[Month]]</f>
        <v>Mar-2026</v>
      </c>
      <c r="H296" s="11" t="str">
        <f>RawTable[[#This Row],[Currency]]</f>
        <v>EUR</v>
      </c>
      <c r="I296" s="4">
        <f>RawTable[[#This Row],[Net_Amount]]</f>
        <v>5355.72</v>
      </c>
      <c r="J296" s="2" t="str">
        <f>RawTable[[#This Row],[VAT_Applicable]]</f>
        <v>Yes</v>
      </c>
      <c r="K296" s="4">
        <f>RawTable[[#This Row],[VAT_Rate]]</f>
        <v>0.19</v>
      </c>
      <c r="L296" s="4">
        <f>RawTable[[#This Row],[VAT_Amount]]</f>
        <v>1017.5868</v>
      </c>
      <c r="M296" s="4">
        <f>RawTable[[#This Row],[Gross_Amount]]</f>
        <v>6373.3068000000003</v>
      </c>
      <c r="N296" s="4">
        <f>RawTable[[#This Row],[Exchange_Rate]]</f>
        <v>0.90888000000000002</v>
      </c>
      <c r="O296" s="4">
        <f>RawTable[[#This Row],[Amount_CHF]]</f>
        <v>5792.57</v>
      </c>
      <c r="P29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9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96" s="11" t="str">
        <f>IF(ValidationTable[[#This Row],[Currency]]="","Fail","Pass")</f>
        <v>Pass</v>
      </c>
      <c r="S296" s="11" t="str">
        <f>IF(
ValidationTable[[#This Row],[Currency]]="CHF",
IF(ValidationTable[[#This Row],[Exchange_Rate]]&lt;&gt;1,"Fail","Pass"),
IF(ValidationTable[[#This Row],[Exchange_Rate]]&lt;=0,"Fail","Pass")
)</f>
        <v>Pass</v>
      </c>
      <c r="T29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96" s="11" t="str">
        <f>IF(LEN(TRIM(ValidationTable[[#This Row],[Bank_Account]]))=0,"Fail","Pass")</f>
        <v>Pass</v>
      </c>
      <c r="V296" s="11" t="str">
        <f>IF(
COUNTIF(ValidationTable[Record_ID],ValidationTable[[#This Row],[Record_ID]])&gt;1,
"Fail",
"Pass"
)</f>
        <v>Pass</v>
      </c>
      <c r="W296" s="11" t="str">
        <f>IF(
COUNTIF(ValidationTable[[#This Row],[RequiredField_Validation]]:ValidationTable[[#This Row],[Duplicate_Validation]],"Fail")&gt;0,
"Fail",
"Pass"
)</f>
        <v>Pass</v>
      </c>
      <c r="X296" s="11" t="str">
        <f>IF(ValidationTable[[#This Row],[Validation_Result]]="Pass","Yes","No")</f>
        <v>Yes</v>
      </c>
    </row>
    <row r="297" spans="1:24">
      <c r="A297" s="11">
        <f>RawTable[[#This Row],[Record_ID]]</f>
        <v>296</v>
      </c>
      <c r="B297" s="11" t="str">
        <f>RawTable[[#This Row],[Payment_Type]]</f>
        <v>Vendor_Invoice</v>
      </c>
      <c r="C297" s="11" t="str">
        <f>RawTable[[#This Row],[Entity_Type]]</f>
        <v>Vendor</v>
      </c>
      <c r="D297" s="11" t="str">
        <f>RawTable[[#This Row],[Country]]</f>
        <v>Jordan</v>
      </c>
      <c r="E297" s="11" t="str">
        <f>RawTable[[#This Row],[Name]]</f>
        <v>Impact Partners</v>
      </c>
      <c r="F297" s="11" t="str">
        <f>RawTable[[#This Row],[Bank_Account]]</f>
        <v>JO-IBAN-01222155</v>
      </c>
      <c r="G297" s="11" t="str">
        <f>RawTable[[#This Row],[Month]]</f>
        <v>Jan-2026</v>
      </c>
      <c r="H297" s="11" t="str">
        <f>RawTable[[#This Row],[Currency]]</f>
        <v>JOD</v>
      </c>
      <c r="I297" s="4">
        <f>RawTable[[#This Row],[Net_Amount]]</f>
        <v>1734.86</v>
      </c>
      <c r="J297" s="2" t="str">
        <f>RawTable[[#This Row],[VAT_Applicable]]</f>
        <v>Yes</v>
      </c>
      <c r="K297" s="4">
        <f>RawTable[[#This Row],[VAT_Rate]]</f>
        <v>0.16</v>
      </c>
      <c r="L297" s="4">
        <f>RawTable[[#This Row],[VAT_Amount]]</f>
        <v>277.57760000000002</v>
      </c>
      <c r="M297" s="4">
        <f>RawTable[[#This Row],[Gross_Amount]]</f>
        <v>2012.4376</v>
      </c>
      <c r="N297" s="4">
        <f>RawTable[[#This Row],[Exchange_Rate]]</f>
        <v>1.08643</v>
      </c>
      <c r="O297" s="4">
        <f>RawTable[[#This Row],[Amount_CHF]]</f>
        <v>2186.37</v>
      </c>
      <c r="P29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9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97" s="11" t="str">
        <f>IF(ValidationTable[[#This Row],[Currency]]="","Fail","Pass")</f>
        <v>Pass</v>
      </c>
      <c r="S297" s="11" t="str">
        <f>IF(
ValidationTable[[#This Row],[Currency]]="CHF",
IF(ValidationTable[[#This Row],[Exchange_Rate]]&lt;&gt;1,"Fail","Pass"),
IF(ValidationTable[[#This Row],[Exchange_Rate]]&lt;=0,"Fail","Pass")
)</f>
        <v>Pass</v>
      </c>
      <c r="T29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97" s="11" t="str">
        <f>IF(LEN(TRIM(ValidationTable[[#This Row],[Bank_Account]]))=0,"Fail","Pass")</f>
        <v>Pass</v>
      </c>
      <c r="V297" s="11" t="str">
        <f>IF(
COUNTIF(ValidationTable[Record_ID],ValidationTable[[#This Row],[Record_ID]])&gt;1,
"Fail",
"Pass"
)</f>
        <v>Pass</v>
      </c>
      <c r="W297" s="11" t="str">
        <f>IF(
COUNTIF(ValidationTable[[#This Row],[RequiredField_Validation]]:ValidationTable[[#This Row],[Duplicate_Validation]],"Fail")&gt;0,
"Fail",
"Pass"
)</f>
        <v>Pass</v>
      </c>
      <c r="X297" s="11" t="str">
        <f>IF(ValidationTable[[#This Row],[Validation_Result]]="Pass","Yes","No")</f>
        <v>Yes</v>
      </c>
    </row>
    <row r="298" spans="1:24">
      <c r="A298" s="11">
        <f>RawTable[[#This Row],[Record_ID]]</f>
        <v>297</v>
      </c>
      <c r="B298" s="11" t="str">
        <f>RawTable[[#This Row],[Payment_Type]]</f>
        <v>Vendor_Invoice</v>
      </c>
      <c r="C298" s="11" t="str">
        <f>RawTable[[#This Row],[Entity_Type]]</f>
        <v>Vendor</v>
      </c>
      <c r="D298" s="11" t="str">
        <f>RawTable[[#This Row],[Country]]</f>
        <v>UAE</v>
      </c>
      <c r="E298" s="11" t="str">
        <f>RawTable[[#This Row],[Name]]</f>
        <v>Tech Solutions GmbH</v>
      </c>
      <c r="F298" s="11" t="str">
        <f>RawTable[[#This Row],[Bank_Account]]</f>
        <v>JO-IBAN-01197465</v>
      </c>
      <c r="G298" s="11" t="str">
        <f>RawTable[[#This Row],[Month]]</f>
        <v>Feb-2026</v>
      </c>
      <c r="H298" s="11" t="str">
        <f>RawTable[[#This Row],[Currency]]</f>
        <v>AED</v>
      </c>
      <c r="I298" s="4">
        <f>RawTable[[#This Row],[Net_Amount]]</f>
        <v>21647.34</v>
      </c>
      <c r="J298" s="2" t="str">
        <f>RawTable[[#This Row],[VAT_Applicable]]</f>
        <v>Yes</v>
      </c>
      <c r="K298" s="4">
        <f>RawTable[[#This Row],[VAT_Rate]]</f>
        <v>0</v>
      </c>
      <c r="L298" s="4">
        <f>RawTable[[#This Row],[VAT_Amount]]</f>
        <v>0</v>
      </c>
      <c r="M298" s="4">
        <f>RawTable[[#This Row],[Gross_Amount]]</f>
        <v>21647.34</v>
      </c>
      <c r="N298" s="4">
        <f>RawTable[[#This Row],[Exchange_Rate]]</f>
        <v>0.21065</v>
      </c>
      <c r="O298" s="4">
        <f>RawTable[[#This Row],[Amount_CHF]]</f>
        <v>4560.01</v>
      </c>
      <c r="P29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9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98" s="11" t="str">
        <f>IF(ValidationTable[[#This Row],[Currency]]="","Fail","Pass")</f>
        <v>Pass</v>
      </c>
      <c r="S298" s="11" t="str">
        <f>IF(
ValidationTable[[#This Row],[Currency]]="CHF",
IF(ValidationTable[[#This Row],[Exchange_Rate]]&lt;&gt;1,"Fail","Pass"),
IF(ValidationTable[[#This Row],[Exchange_Rate]]&lt;=0,"Fail","Pass")
)</f>
        <v>Pass</v>
      </c>
      <c r="T29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98" s="11" t="str">
        <f>IF(LEN(TRIM(ValidationTable[[#This Row],[Bank_Account]]))=0,"Fail","Pass")</f>
        <v>Pass</v>
      </c>
      <c r="V298" s="11" t="str">
        <f>IF(
COUNTIF(ValidationTable[Record_ID],ValidationTable[[#This Row],[Record_ID]])&gt;1,
"Fail",
"Pass"
)</f>
        <v>Pass</v>
      </c>
      <c r="W298" s="11" t="str">
        <f>IF(
COUNTIF(ValidationTable[[#This Row],[RequiredField_Validation]]:ValidationTable[[#This Row],[Duplicate_Validation]],"Fail")&gt;0,
"Fail",
"Pass"
)</f>
        <v>Pass</v>
      </c>
      <c r="X298" s="11" t="str">
        <f>IF(ValidationTable[[#This Row],[Validation_Result]]="Pass","Yes","No")</f>
        <v>Yes</v>
      </c>
    </row>
    <row r="299" spans="1:24">
      <c r="A299" s="11">
        <f>RawTable[[#This Row],[Record_ID]]</f>
        <v>298</v>
      </c>
      <c r="B299" s="11" t="str">
        <f>RawTable[[#This Row],[Payment_Type]]</f>
        <v>Vendor_Invoice</v>
      </c>
      <c r="C299" s="11" t="str">
        <f>RawTable[[#This Row],[Entity_Type]]</f>
        <v>Vendor</v>
      </c>
      <c r="D299" s="11" t="str">
        <f>RawTable[[#This Row],[Country]]</f>
        <v>Switzerland</v>
      </c>
      <c r="E299" s="11" t="str">
        <f>RawTable[[#This Row],[Name]]</f>
        <v>Future Innovations FZ-LLC</v>
      </c>
      <c r="F299" s="11" t="str">
        <f>RawTable[[#This Row],[Bank_Account]]</f>
        <v>CH930000000002344600</v>
      </c>
      <c r="G299" s="11" t="str">
        <f>RawTable[[#This Row],[Month]]</f>
        <v>Jan-2026</v>
      </c>
      <c r="H299" s="11" t="str">
        <f>RawTable[[#This Row],[Currency]]</f>
        <v>CHF</v>
      </c>
      <c r="I299" s="4">
        <f>RawTable[[#This Row],[Net_Amount]]</f>
        <v>5334.19</v>
      </c>
      <c r="J299" s="2" t="str">
        <f>RawTable[[#This Row],[VAT_Applicable]]</f>
        <v>Yes</v>
      </c>
      <c r="K299" s="4">
        <f>RawTable[[#This Row],[VAT_Rate]]</f>
        <v>8.1000000000000003E-2</v>
      </c>
      <c r="L299" s="4">
        <f>RawTable[[#This Row],[VAT_Amount]]</f>
        <v>432.06939</v>
      </c>
      <c r="M299" s="4">
        <f>RawTable[[#This Row],[Gross_Amount]]</f>
        <v>5766.2593899999993</v>
      </c>
      <c r="N299" s="4">
        <f>RawTable[[#This Row],[Exchange_Rate]]</f>
        <v>1</v>
      </c>
      <c r="O299" s="4">
        <f>RawTable[[#This Row],[Amount_CHF]]</f>
        <v>5766.26</v>
      </c>
      <c r="P29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29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299" s="11" t="str">
        <f>IF(ValidationTable[[#This Row],[Currency]]="","Fail","Pass")</f>
        <v>Pass</v>
      </c>
      <c r="S299" s="11" t="str">
        <f>IF(
ValidationTable[[#This Row],[Currency]]="CHF",
IF(ValidationTable[[#This Row],[Exchange_Rate]]&lt;&gt;1,"Fail","Pass"),
IF(ValidationTable[[#This Row],[Exchange_Rate]]&lt;=0,"Fail","Pass")
)</f>
        <v>Pass</v>
      </c>
      <c r="T29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299" s="11" t="str">
        <f>IF(LEN(TRIM(ValidationTable[[#This Row],[Bank_Account]]))=0,"Fail","Pass")</f>
        <v>Pass</v>
      </c>
      <c r="V299" s="11" t="str">
        <f>IF(
COUNTIF(ValidationTable[Record_ID],ValidationTable[[#This Row],[Record_ID]])&gt;1,
"Fail",
"Pass"
)</f>
        <v>Pass</v>
      </c>
      <c r="W299" s="11" t="str">
        <f>IF(
COUNTIF(ValidationTable[[#This Row],[RequiredField_Validation]]:ValidationTable[[#This Row],[Duplicate_Validation]],"Fail")&gt;0,
"Fail",
"Pass"
)</f>
        <v>Pass</v>
      </c>
      <c r="X299" s="11" t="str">
        <f>IF(ValidationTable[[#This Row],[Validation_Result]]="Pass","Yes","No")</f>
        <v>Yes</v>
      </c>
    </row>
    <row r="300" spans="1:24">
      <c r="A300" s="11">
        <f>RawTable[[#This Row],[Record_ID]]</f>
        <v>299</v>
      </c>
      <c r="B300" s="11" t="str">
        <f>RawTable[[#This Row],[Payment_Type]]</f>
        <v>Vendor_Invoice</v>
      </c>
      <c r="C300" s="11" t="str">
        <f>RawTable[[#This Row],[Entity_Type]]</f>
        <v>Vendor</v>
      </c>
      <c r="D300" s="11" t="str">
        <f>RawTable[[#This Row],[Country]]</f>
        <v>Jordan</v>
      </c>
      <c r="E300" s="11" t="str">
        <f>RawTable[[#This Row],[Name]]</f>
        <v>Tech Solutions GmbH</v>
      </c>
      <c r="F300" s="11" t="str">
        <f>RawTable[[#This Row],[Bank_Account]]</f>
        <v>JO-IBAN-01197465</v>
      </c>
      <c r="G300" s="11" t="str">
        <f>RawTable[[#This Row],[Month]]</f>
        <v>Jan-2026</v>
      </c>
      <c r="H300" s="11" t="str">
        <f>RawTable[[#This Row],[Currency]]</f>
        <v>JOD</v>
      </c>
      <c r="I300" s="4">
        <f>RawTable[[#This Row],[Net_Amount]]</f>
        <v>1788.86</v>
      </c>
      <c r="J300" s="2" t="str">
        <f>RawTable[[#This Row],[VAT_Applicable]]</f>
        <v>Yes</v>
      </c>
      <c r="K300" s="4">
        <f>RawTable[[#This Row],[VAT_Rate]]</f>
        <v>0.16</v>
      </c>
      <c r="L300" s="4">
        <f>RawTable[[#This Row],[VAT_Amount]]</f>
        <v>286.2176</v>
      </c>
      <c r="M300" s="4">
        <f>RawTable[[#This Row],[Gross_Amount]]</f>
        <v>2075.0776000000001</v>
      </c>
      <c r="N300" s="4">
        <f>RawTable[[#This Row],[Exchange_Rate]]</f>
        <v>1.08643</v>
      </c>
      <c r="O300" s="4">
        <f>RawTable[[#This Row],[Amount_CHF]]</f>
        <v>2254.4299999999998</v>
      </c>
      <c r="P30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0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00" s="11" t="str">
        <f>IF(ValidationTable[[#This Row],[Currency]]="","Fail","Pass")</f>
        <v>Pass</v>
      </c>
      <c r="S300" s="11" t="str">
        <f>IF(
ValidationTable[[#This Row],[Currency]]="CHF",
IF(ValidationTable[[#This Row],[Exchange_Rate]]&lt;&gt;1,"Fail","Pass"),
IF(ValidationTable[[#This Row],[Exchange_Rate]]&lt;=0,"Fail","Pass")
)</f>
        <v>Pass</v>
      </c>
      <c r="T30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00" s="11" t="str">
        <f>IF(LEN(TRIM(ValidationTable[[#This Row],[Bank_Account]]))=0,"Fail","Pass")</f>
        <v>Pass</v>
      </c>
      <c r="V300" s="11" t="str">
        <f>IF(
COUNTIF(ValidationTable[Record_ID],ValidationTable[[#This Row],[Record_ID]])&gt;1,
"Fail",
"Pass"
)</f>
        <v>Pass</v>
      </c>
      <c r="W300" s="11" t="str">
        <f>IF(
COUNTIF(ValidationTable[[#This Row],[RequiredField_Validation]]:ValidationTable[[#This Row],[Duplicate_Validation]],"Fail")&gt;0,
"Fail",
"Pass"
)</f>
        <v>Pass</v>
      </c>
      <c r="X300" s="11" t="str">
        <f>IF(ValidationTable[[#This Row],[Validation_Result]]="Pass","Yes","No")</f>
        <v>Yes</v>
      </c>
    </row>
    <row r="301" spans="1:24">
      <c r="A301" s="11">
        <f>RawTable[[#This Row],[Record_ID]]</f>
        <v>300</v>
      </c>
      <c r="B301" s="11" t="str">
        <f>RawTable[[#This Row],[Payment_Type]]</f>
        <v>Vendor_Invoice</v>
      </c>
      <c r="C301" s="11" t="str">
        <f>RawTable[[#This Row],[Entity_Type]]</f>
        <v>Vendor</v>
      </c>
      <c r="D301" s="11" t="str">
        <f>RawTable[[#This Row],[Country]]</f>
        <v>USA</v>
      </c>
      <c r="E301" s="11" t="str">
        <f>RawTable[[#This Row],[Name]]</f>
        <v>Future Innovations FZ-LLC</v>
      </c>
      <c r="F301" s="11" t="str">
        <f>RawTable[[#This Row],[Bank_Account]]</f>
        <v>CH930000000002344600</v>
      </c>
      <c r="G301" s="11" t="str">
        <f>RawTable[[#This Row],[Month]]</f>
        <v>Mar-2026</v>
      </c>
      <c r="H301" s="11" t="str">
        <f>RawTable[[#This Row],[Currency]]</f>
        <v>USD</v>
      </c>
      <c r="I301" s="4">
        <f>RawTable[[#This Row],[Net_Amount]]</f>
        <v>5744.52</v>
      </c>
      <c r="J301" s="2" t="str">
        <f>RawTable[[#This Row],[VAT_Applicable]]</f>
        <v>Yes</v>
      </c>
      <c r="K301" s="4">
        <f>RawTable[[#This Row],[VAT_Rate]]</f>
        <v>0.05</v>
      </c>
      <c r="L301" s="4">
        <f>RawTable[[#This Row],[VAT_Amount]]</f>
        <v>287.22600000000006</v>
      </c>
      <c r="M301" s="4">
        <f>RawTable[[#This Row],[Gross_Amount]]</f>
        <v>6031.7460000000001</v>
      </c>
      <c r="N301" s="4">
        <f>RawTable[[#This Row],[Exchange_Rate]]</f>
        <v>0.77017999999999998</v>
      </c>
      <c r="O301" s="4">
        <f>RawTable[[#This Row],[Amount_CHF]]</f>
        <v>4645.53</v>
      </c>
      <c r="P30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0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01" s="11" t="str">
        <f>IF(ValidationTable[[#This Row],[Currency]]="","Fail","Pass")</f>
        <v>Pass</v>
      </c>
      <c r="S301" s="11" t="str">
        <f>IF(
ValidationTable[[#This Row],[Currency]]="CHF",
IF(ValidationTable[[#This Row],[Exchange_Rate]]&lt;&gt;1,"Fail","Pass"),
IF(ValidationTable[[#This Row],[Exchange_Rate]]&lt;=0,"Fail","Pass")
)</f>
        <v>Pass</v>
      </c>
      <c r="T30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01" s="11" t="str">
        <f>IF(LEN(TRIM(ValidationTable[[#This Row],[Bank_Account]]))=0,"Fail","Pass")</f>
        <v>Pass</v>
      </c>
      <c r="V301" s="11" t="str">
        <f>IF(
COUNTIF(ValidationTable[Record_ID],ValidationTable[[#This Row],[Record_ID]])&gt;1,
"Fail",
"Pass"
)</f>
        <v>Pass</v>
      </c>
      <c r="W301" s="11" t="str">
        <f>IF(
COUNTIF(ValidationTable[[#This Row],[RequiredField_Validation]]:ValidationTable[[#This Row],[Duplicate_Validation]],"Fail")&gt;0,
"Fail",
"Pass"
)</f>
        <v>Pass</v>
      </c>
      <c r="X301" s="11" t="str">
        <f>IF(ValidationTable[[#This Row],[Validation_Result]]="Pass","Yes","No")</f>
        <v>Yes</v>
      </c>
    </row>
    <row r="302" spans="1:24">
      <c r="A302" s="11">
        <f>RawTable[[#This Row],[Record_ID]]</f>
        <v>301</v>
      </c>
      <c r="B302" s="11" t="str">
        <f>RawTable[[#This Row],[Payment_Type]]</f>
        <v>Vendor_Invoice</v>
      </c>
      <c r="C302" s="11" t="str">
        <f>RawTable[[#This Row],[Entity_Type]]</f>
        <v>Vendor</v>
      </c>
      <c r="D302" s="11" t="str">
        <f>RawTable[[#This Row],[Country]]</f>
        <v>Jordan</v>
      </c>
      <c r="E302" s="11" t="str">
        <f>RawTable[[#This Row],[Name]]</f>
        <v>Impact Partners</v>
      </c>
      <c r="F302" s="11" t="str">
        <f>RawTable[[#This Row],[Bank_Account]]</f>
        <v>JO-IBAN-01222155</v>
      </c>
      <c r="G302" s="11" t="str">
        <f>RawTable[[#This Row],[Month]]</f>
        <v>Feb-2026</v>
      </c>
      <c r="H302" s="11" t="str">
        <f>RawTable[[#This Row],[Currency]]</f>
        <v>JOD</v>
      </c>
      <c r="I302" s="4">
        <f>RawTable[[#This Row],[Net_Amount]]</f>
        <v>1752.21</v>
      </c>
      <c r="J302" s="2" t="str">
        <f>RawTable[[#This Row],[VAT_Applicable]]</f>
        <v>Yes</v>
      </c>
      <c r="K302" s="4">
        <f>RawTable[[#This Row],[VAT_Rate]]</f>
        <v>0.16</v>
      </c>
      <c r="L302" s="4">
        <f>RawTable[[#This Row],[VAT_Amount]]</f>
        <v>280.35360000000003</v>
      </c>
      <c r="M302" s="4">
        <f>RawTable[[#This Row],[Gross_Amount]]</f>
        <v>2032.5636</v>
      </c>
      <c r="N302" s="4">
        <f>RawTable[[#This Row],[Exchange_Rate]]</f>
        <v>1.08643</v>
      </c>
      <c r="O302" s="4">
        <f>RawTable[[#This Row],[Amount_CHF]]</f>
        <v>2208.2399999999998</v>
      </c>
      <c r="P30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0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02" s="11" t="str">
        <f>IF(ValidationTable[[#This Row],[Currency]]="","Fail","Pass")</f>
        <v>Pass</v>
      </c>
      <c r="S302" s="11" t="str">
        <f>IF(
ValidationTable[[#This Row],[Currency]]="CHF",
IF(ValidationTable[[#This Row],[Exchange_Rate]]&lt;&gt;1,"Fail","Pass"),
IF(ValidationTable[[#This Row],[Exchange_Rate]]&lt;=0,"Fail","Pass")
)</f>
        <v>Pass</v>
      </c>
      <c r="T30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02" s="11" t="str">
        <f>IF(LEN(TRIM(ValidationTable[[#This Row],[Bank_Account]]))=0,"Fail","Pass")</f>
        <v>Pass</v>
      </c>
      <c r="V302" s="11" t="str">
        <f>IF(
COUNTIF(ValidationTable[Record_ID],ValidationTable[[#This Row],[Record_ID]])&gt;1,
"Fail",
"Pass"
)</f>
        <v>Pass</v>
      </c>
      <c r="W302" s="11" t="str">
        <f>IF(
COUNTIF(ValidationTable[[#This Row],[RequiredField_Validation]]:ValidationTable[[#This Row],[Duplicate_Validation]],"Fail")&gt;0,
"Fail",
"Pass"
)</f>
        <v>Pass</v>
      </c>
      <c r="X302" s="11" t="str">
        <f>IF(ValidationTable[[#This Row],[Validation_Result]]="Pass","Yes","No")</f>
        <v>Yes</v>
      </c>
    </row>
    <row r="303" spans="1:24">
      <c r="A303" s="11">
        <f>RawTable[[#This Row],[Record_ID]]</f>
        <v>302</v>
      </c>
      <c r="B303" s="11" t="str">
        <f>RawTable[[#This Row],[Payment_Type]]</f>
        <v>Vendor_Invoice</v>
      </c>
      <c r="C303" s="11" t="str">
        <f>RawTable[[#This Row],[Entity_Type]]</f>
        <v>Vendor</v>
      </c>
      <c r="D303" s="11" t="str">
        <f>RawTable[[#This Row],[Country]]</f>
        <v>Switzerland</v>
      </c>
      <c r="E303" s="11" t="str">
        <f>RawTable[[#This Row],[Name]]</f>
        <v>Sunrise Media Agency</v>
      </c>
      <c r="F303" s="11" t="str">
        <f>RawTable[[#This Row],[Bank_Account]]</f>
        <v>US-RT-000120932-AC-0000556444</v>
      </c>
      <c r="G303" s="11" t="str">
        <f>RawTable[[#This Row],[Month]]</f>
        <v>Feb-2026</v>
      </c>
      <c r="H303" s="11" t="str">
        <f>RawTable[[#This Row],[Currency]]</f>
        <v>CHF</v>
      </c>
      <c r="I303" s="4">
        <f>RawTable[[#This Row],[Net_Amount]]</f>
        <v>5268.51</v>
      </c>
      <c r="J303" s="2" t="str">
        <f>RawTable[[#This Row],[VAT_Applicable]]</f>
        <v>Yes</v>
      </c>
      <c r="K303" s="4">
        <f>RawTable[[#This Row],[VAT_Rate]]</f>
        <v>8.1000000000000003E-2</v>
      </c>
      <c r="L303" s="4">
        <f>RawTable[[#This Row],[VAT_Amount]]</f>
        <v>426.74931000000004</v>
      </c>
      <c r="M303" s="4">
        <f>RawTable[[#This Row],[Gross_Amount]]</f>
        <v>5695.2593100000004</v>
      </c>
      <c r="N303" s="4">
        <f>RawTable[[#This Row],[Exchange_Rate]]</f>
        <v>1</v>
      </c>
      <c r="O303" s="4">
        <f>RawTable[[#This Row],[Amount_CHF]]</f>
        <v>5695.26</v>
      </c>
      <c r="P30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0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03" s="11" t="str">
        <f>IF(ValidationTable[[#This Row],[Currency]]="","Fail","Pass")</f>
        <v>Pass</v>
      </c>
      <c r="S303" s="11" t="str">
        <f>IF(
ValidationTable[[#This Row],[Currency]]="CHF",
IF(ValidationTable[[#This Row],[Exchange_Rate]]&lt;&gt;1,"Fail","Pass"),
IF(ValidationTable[[#This Row],[Exchange_Rate]]&lt;=0,"Fail","Pass")
)</f>
        <v>Pass</v>
      </c>
      <c r="T30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03" s="11" t="str">
        <f>IF(LEN(TRIM(ValidationTable[[#This Row],[Bank_Account]]))=0,"Fail","Pass")</f>
        <v>Pass</v>
      </c>
      <c r="V303" s="11" t="str">
        <f>IF(
COUNTIF(ValidationTable[Record_ID],ValidationTable[[#This Row],[Record_ID]])&gt;1,
"Fail",
"Pass"
)</f>
        <v>Pass</v>
      </c>
      <c r="W303" s="11" t="str">
        <f>IF(
COUNTIF(ValidationTable[[#This Row],[RequiredField_Validation]]:ValidationTable[[#This Row],[Duplicate_Validation]],"Fail")&gt;0,
"Fail",
"Pass"
)</f>
        <v>Pass</v>
      </c>
      <c r="X303" s="11" t="str">
        <f>IF(ValidationTable[[#This Row],[Validation_Result]]="Pass","Yes","No")</f>
        <v>Yes</v>
      </c>
    </row>
    <row r="304" spans="1:24">
      <c r="A304" s="11">
        <f>RawTable[[#This Row],[Record_ID]]</f>
        <v>303</v>
      </c>
      <c r="B304" s="11" t="str">
        <f>RawTable[[#This Row],[Payment_Type]]</f>
        <v>Vendor_Invoice</v>
      </c>
      <c r="C304" s="11" t="str">
        <f>RawTable[[#This Row],[Entity_Type]]</f>
        <v>Vendor</v>
      </c>
      <c r="D304" s="11" t="str">
        <f>RawTable[[#This Row],[Country]]</f>
        <v>USA</v>
      </c>
      <c r="E304" s="11" t="str">
        <f>RawTable[[#This Row],[Name]]</f>
        <v>Future Innovations FZ-LLC</v>
      </c>
      <c r="F304" s="11" t="str">
        <f>RawTable[[#This Row],[Bank_Account]]</f>
        <v>CH930000000002344600</v>
      </c>
      <c r="G304" s="11" t="str">
        <f>RawTable[[#This Row],[Month]]</f>
        <v>Feb-2026</v>
      </c>
      <c r="H304" s="11" t="str">
        <f>RawTable[[#This Row],[Currency]]</f>
        <v>USD</v>
      </c>
      <c r="I304" s="4">
        <f>RawTable[[#This Row],[Net_Amount]]</f>
        <v>5801.97</v>
      </c>
      <c r="J304" s="2" t="str">
        <f>RawTable[[#This Row],[VAT_Applicable]]</f>
        <v>Yes</v>
      </c>
      <c r="K304" s="4">
        <f>RawTable[[#This Row],[VAT_Rate]]</f>
        <v>0.05</v>
      </c>
      <c r="L304" s="4">
        <f>RawTable[[#This Row],[VAT_Amount]]</f>
        <v>290.0985</v>
      </c>
      <c r="M304" s="4">
        <f>RawTable[[#This Row],[Gross_Amount]]</f>
        <v>6092.0685000000003</v>
      </c>
      <c r="N304" s="4">
        <f>RawTable[[#This Row],[Exchange_Rate]]</f>
        <v>0.77017999999999998</v>
      </c>
      <c r="O304" s="4">
        <f>RawTable[[#This Row],[Amount_CHF]]</f>
        <v>4691.99</v>
      </c>
      <c r="P30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0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04" s="11" t="str">
        <f>IF(ValidationTable[[#This Row],[Currency]]="","Fail","Pass")</f>
        <v>Pass</v>
      </c>
      <c r="S304" s="11" t="str">
        <f>IF(
ValidationTable[[#This Row],[Currency]]="CHF",
IF(ValidationTable[[#This Row],[Exchange_Rate]]&lt;&gt;1,"Fail","Pass"),
IF(ValidationTable[[#This Row],[Exchange_Rate]]&lt;=0,"Fail","Pass")
)</f>
        <v>Pass</v>
      </c>
      <c r="T30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04" s="11" t="str">
        <f>IF(LEN(TRIM(ValidationTable[[#This Row],[Bank_Account]]))=0,"Fail","Pass")</f>
        <v>Pass</v>
      </c>
      <c r="V304" s="11" t="str">
        <f>IF(
COUNTIF(ValidationTable[Record_ID],ValidationTable[[#This Row],[Record_ID]])&gt;1,
"Fail",
"Pass"
)</f>
        <v>Pass</v>
      </c>
      <c r="W304" s="11" t="str">
        <f>IF(
COUNTIF(ValidationTable[[#This Row],[RequiredField_Validation]]:ValidationTable[[#This Row],[Duplicate_Validation]],"Fail")&gt;0,
"Fail",
"Pass"
)</f>
        <v>Pass</v>
      </c>
      <c r="X304" s="11" t="str">
        <f>IF(ValidationTable[[#This Row],[Validation_Result]]="Pass","Yes","No")</f>
        <v>Yes</v>
      </c>
    </row>
    <row r="305" spans="1:24">
      <c r="A305" s="11">
        <f>RawTable[[#This Row],[Record_ID]]</f>
        <v>304</v>
      </c>
      <c r="B305" s="11" t="str">
        <f>RawTable[[#This Row],[Payment_Type]]</f>
        <v>Vendor_Invoice</v>
      </c>
      <c r="C305" s="11" t="str">
        <f>RawTable[[#This Row],[Entity_Type]]</f>
        <v>Vendor</v>
      </c>
      <c r="D305" s="11" t="str">
        <f>RawTable[[#This Row],[Country]]</f>
        <v>Germany</v>
      </c>
      <c r="E305" s="11" t="str">
        <f>RawTable[[#This Row],[Name]]</f>
        <v>Tech Solutions GmbH</v>
      </c>
      <c r="F305" s="11" t="str">
        <f>RawTable[[#This Row],[Bank_Account]]</f>
        <v>JO-IBAN-01197465</v>
      </c>
      <c r="G305" s="11" t="str">
        <f>RawTable[[#This Row],[Month]]</f>
        <v>Feb-2026</v>
      </c>
      <c r="H305" s="11" t="str">
        <f>RawTable[[#This Row],[Currency]]</f>
        <v>EUR</v>
      </c>
      <c r="I305" s="4">
        <f>RawTable[[#This Row],[Net_Amount]]</f>
        <v>5903.82</v>
      </c>
      <c r="J305" s="2" t="str">
        <f>RawTable[[#This Row],[VAT_Applicable]]</f>
        <v>Yes</v>
      </c>
      <c r="K305" s="4">
        <f>RawTable[[#This Row],[VAT_Rate]]</f>
        <v>0.19</v>
      </c>
      <c r="L305" s="4">
        <f>RawTable[[#This Row],[VAT_Amount]]</f>
        <v>1121.7257999999999</v>
      </c>
      <c r="M305" s="4">
        <f>RawTable[[#This Row],[Gross_Amount]]</f>
        <v>7025.5457999999999</v>
      </c>
      <c r="N305" s="4">
        <f>RawTable[[#This Row],[Exchange_Rate]]</f>
        <v>0.90888000000000002</v>
      </c>
      <c r="O305" s="4">
        <f>RawTable[[#This Row],[Amount_CHF]]</f>
        <v>6385.38</v>
      </c>
      <c r="P305" s="4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05" s="4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05" s="40" t="str">
        <f>IF(ValidationTable[[#This Row],[Currency]]="","Fail","Pass")</f>
        <v>Pass</v>
      </c>
      <c r="S305" s="40" t="str">
        <f>IF(
ValidationTable[[#This Row],[Currency]]="CHF",
IF(ValidationTable[[#This Row],[Exchange_Rate]]&lt;&gt;1,"Fail","Pass"),
IF(ValidationTable[[#This Row],[Exchange_Rate]]&lt;=0,"Fail","Pass")
)</f>
        <v>Pass</v>
      </c>
      <c r="T305" s="4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05" s="11" t="str">
        <f>IF(LEN(TRIM(ValidationTable[[#This Row],[Bank_Account]]))=0,"Fail","Pass")</f>
        <v>Pass</v>
      </c>
      <c r="V305" s="40" t="str">
        <f>IF(
COUNTIF(ValidationTable[Record_ID],ValidationTable[[#This Row],[Record_ID]])&gt;1,
"Fail",
"Pass"
)</f>
        <v>Pass</v>
      </c>
      <c r="W305" s="11" t="str">
        <f>IF(
COUNTIF(ValidationTable[[#This Row],[RequiredField_Validation]]:ValidationTable[[#This Row],[Duplicate_Validation]],"Fail")&gt;0,
"Fail",
"Pass"
)</f>
        <v>Pass</v>
      </c>
      <c r="X305" s="11" t="str">
        <f>IF(ValidationTable[[#This Row],[Validation_Result]]="Pass","Yes","No")</f>
        <v>Yes</v>
      </c>
    </row>
    <row r="306" spans="1:24">
      <c r="A306" s="11">
        <f>RawTable[[#This Row],[Record_ID]]</f>
        <v>305</v>
      </c>
      <c r="B306" s="11" t="str">
        <f>RawTable[[#This Row],[Payment_Type]]</f>
        <v>Vendor_Invoice</v>
      </c>
      <c r="C306" s="11" t="str">
        <f>RawTable[[#This Row],[Entity_Type]]</f>
        <v>Vendor</v>
      </c>
      <c r="D306" s="11" t="str">
        <f>RawTable[[#This Row],[Country]]</f>
        <v>Jordan</v>
      </c>
      <c r="E306" s="11" t="str">
        <f>RawTable[[#This Row],[Name]]</f>
        <v>Global Services Ltd</v>
      </c>
      <c r="F306" s="11" t="str">
        <f>RawTable[[#This Row],[Bank_Account]]</f>
        <v>JO-IBAN-01160430</v>
      </c>
      <c r="G306" s="11" t="str">
        <f>RawTable[[#This Row],[Month]]</f>
        <v>Jan-2026</v>
      </c>
      <c r="H306" s="11" t="str">
        <f>RawTable[[#This Row],[Currency]]</f>
        <v>JOD</v>
      </c>
      <c r="I306" s="4">
        <f>RawTable[[#This Row],[Net_Amount]]</f>
        <v>1622.79</v>
      </c>
      <c r="J306" s="2" t="str">
        <f>RawTable[[#This Row],[VAT_Applicable]]</f>
        <v>Yes</v>
      </c>
      <c r="K306" s="4">
        <f>RawTable[[#This Row],[VAT_Rate]]</f>
        <v>0.16</v>
      </c>
      <c r="L306" s="4">
        <f>RawTable[[#This Row],[VAT_Amount]]</f>
        <v>259.64639999999997</v>
      </c>
      <c r="M306" s="4">
        <f>RawTable[[#This Row],[Gross_Amount]]</f>
        <v>1882.4364</v>
      </c>
      <c r="N306" s="4">
        <f>RawTable[[#This Row],[Exchange_Rate]]</f>
        <v>1.08643</v>
      </c>
      <c r="O306" s="4">
        <f>RawTable[[#This Row],[Amount_CHF]]</f>
        <v>2045.14</v>
      </c>
      <c r="P306" s="4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06" s="4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06" s="40" t="str">
        <f>IF(ValidationTable[[#This Row],[Currency]]="","Fail","Pass")</f>
        <v>Pass</v>
      </c>
      <c r="S306" s="40" t="str">
        <f>IF(
ValidationTable[[#This Row],[Currency]]="CHF",
IF(ValidationTable[[#This Row],[Exchange_Rate]]&lt;&gt;1,"Fail","Pass"),
IF(ValidationTable[[#This Row],[Exchange_Rate]]&lt;=0,"Fail","Pass")
)</f>
        <v>Pass</v>
      </c>
      <c r="T306" s="4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06" s="11" t="str">
        <f>IF(LEN(TRIM(ValidationTable[[#This Row],[Bank_Account]]))=0,"Fail","Pass")</f>
        <v>Pass</v>
      </c>
      <c r="V306" s="40" t="str">
        <f>IF(
COUNTIF(ValidationTable[Record_ID],ValidationTable[[#This Row],[Record_ID]])&gt;1,
"Fail",
"Pass"
)</f>
        <v>Pass</v>
      </c>
      <c r="W306" s="11" t="str">
        <f>IF(
COUNTIF(ValidationTable[[#This Row],[RequiredField_Validation]]:ValidationTable[[#This Row],[Duplicate_Validation]],"Fail")&gt;0,
"Fail",
"Pass"
)</f>
        <v>Pass</v>
      </c>
      <c r="X306" s="11" t="str">
        <f>IF(ValidationTable[[#This Row],[Validation_Result]]="Pass","Yes","No")</f>
        <v>Yes</v>
      </c>
    </row>
    <row r="307" spans="1:24">
      <c r="A307" s="11">
        <f>RawTable[[#This Row],[Record_ID]]</f>
        <v>306</v>
      </c>
      <c r="B307" s="11" t="str">
        <f>RawTable[[#This Row],[Payment_Type]]</f>
        <v>Vendor_Invoice</v>
      </c>
      <c r="C307" s="11" t="str">
        <f>RawTable[[#This Row],[Entity_Type]]</f>
        <v>Vendor</v>
      </c>
      <c r="D307" s="11" t="str">
        <f>RawTable[[#This Row],[Country]]</f>
        <v>UAE</v>
      </c>
      <c r="E307" s="11" t="str">
        <f>RawTable[[#This Row],[Name]]</f>
        <v>NorthStar Logistics</v>
      </c>
      <c r="F307" s="11" t="str">
        <f>RawTable[[#This Row],[Bank_Account]]</f>
        <v>AE-IBAN-05432100</v>
      </c>
      <c r="G307" s="11" t="str">
        <f>RawTable[[#This Row],[Month]]</f>
        <v>Feb-2026</v>
      </c>
      <c r="H307" s="11" t="str">
        <f>RawTable[[#This Row],[Currency]]</f>
        <v>AED</v>
      </c>
      <c r="I307" s="4">
        <f>RawTable[[#This Row],[Net_Amount]]</f>
        <v>19954.439999999999</v>
      </c>
      <c r="J307" s="2" t="str">
        <f>RawTable[[#This Row],[VAT_Applicable]]</f>
        <v>Yes</v>
      </c>
      <c r="K307" s="4">
        <f>RawTable[[#This Row],[VAT_Rate]]</f>
        <v>0</v>
      </c>
      <c r="L307" s="4">
        <f>RawTable[[#This Row],[VAT_Amount]]</f>
        <v>0</v>
      </c>
      <c r="M307" s="4">
        <f>RawTable[[#This Row],[Gross_Amount]]</f>
        <v>19954.439999999999</v>
      </c>
      <c r="N307" s="4">
        <f>RawTable[[#This Row],[Exchange_Rate]]</f>
        <v>0.21065</v>
      </c>
      <c r="O307" s="4">
        <f>RawTable[[#This Row],[Amount_CHF]]</f>
        <v>4203.3999999999996</v>
      </c>
      <c r="P307" s="4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07" s="4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07" s="40" t="str">
        <f>IF(ValidationTable[[#This Row],[Currency]]="","Fail","Pass")</f>
        <v>Pass</v>
      </c>
      <c r="S307" s="40" t="str">
        <f>IF(
ValidationTable[[#This Row],[Currency]]="CHF",
IF(ValidationTable[[#This Row],[Exchange_Rate]]&lt;&gt;1,"Fail","Pass"),
IF(ValidationTable[[#This Row],[Exchange_Rate]]&lt;=0,"Fail","Pass")
)</f>
        <v>Pass</v>
      </c>
      <c r="T307" s="4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07" s="11" t="str">
        <f>IF(LEN(TRIM(ValidationTable[[#This Row],[Bank_Account]]))=0,"Fail","Pass")</f>
        <v>Pass</v>
      </c>
      <c r="V307" s="40" t="str">
        <f>IF(
COUNTIF(ValidationTable[Record_ID],ValidationTable[[#This Row],[Record_ID]])&gt;1,
"Fail",
"Pass"
)</f>
        <v>Pass</v>
      </c>
      <c r="W307" s="11" t="str">
        <f>IF(
COUNTIF(ValidationTable[[#This Row],[RequiredField_Validation]]:ValidationTable[[#This Row],[Duplicate_Validation]],"Fail")&gt;0,
"Fail",
"Pass"
)</f>
        <v>Pass</v>
      </c>
      <c r="X307" s="11" t="str">
        <f>IF(ValidationTable[[#This Row],[Validation_Result]]="Pass","Yes","No")</f>
        <v>Yes</v>
      </c>
    </row>
    <row r="308" spans="1:24">
      <c r="A308" s="11">
        <f>RawTable[[#This Row],[Record_ID]]</f>
        <v>307</v>
      </c>
      <c r="B308" s="11" t="str">
        <f>RawTable[[#This Row],[Payment_Type]]</f>
        <v>Vendor_Invoice</v>
      </c>
      <c r="C308" s="11" t="str">
        <f>RawTable[[#This Row],[Entity_Type]]</f>
        <v>Vendor</v>
      </c>
      <c r="D308" s="11" t="str">
        <f>RawTable[[#This Row],[Country]]</f>
        <v>USA</v>
      </c>
      <c r="E308" s="11" t="str">
        <f>RawTable[[#This Row],[Name]]</f>
        <v>BlueRiver IT Services</v>
      </c>
      <c r="F308" s="11" t="str">
        <f>RawTable[[#This Row],[Bank_Account]]</f>
        <v>CH930000000002295240</v>
      </c>
      <c r="G308" s="11" t="str">
        <f>RawTable[[#This Row],[Month]]</f>
        <v>Feb-2026</v>
      </c>
      <c r="H308" s="11" t="str">
        <f>RawTable[[#This Row],[Currency]]</f>
        <v>USD</v>
      </c>
      <c r="I308" s="4">
        <f>RawTable[[#This Row],[Net_Amount]]</f>
        <v>6331.19</v>
      </c>
      <c r="J308" s="2" t="str">
        <f>RawTable[[#This Row],[VAT_Applicable]]</f>
        <v>Yes</v>
      </c>
      <c r="K308" s="4">
        <f>RawTable[[#This Row],[VAT_Rate]]</f>
        <v>0.05</v>
      </c>
      <c r="L308" s="4">
        <f>RawTable[[#This Row],[VAT_Amount]]</f>
        <v>316.55950000000001</v>
      </c>
      <c r="M308" s="4">
        <f>RawTable[[#This Row],[Gross_Amount]]</f>
        <v>6647.7494999999999</v>
      </c>
      <c r="N308" s="4">
        <f>RawTable[[#This Row],[Exchange_Rate]]</f>
        <v>0.77017999999999998</v>
      </c>
      <c r="O308" s="4">
        <f>RawTable[[#This Row],[Amount_CHF]]</f>
        <v>5119.96</v>
      </c>
      <c r="P308" s="4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08" s="4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08" s="40" t="str">
        <f>IF(ValidationTable[[#This Row],[Currency]]="","Fail","Pass")</f>
        <v>Pass</v>
      </c>
      <c r="S308" s="40" t="str">
        <f>IF(
ValidationTable[[#This Row],[Currency]]="CHF",
IF(ValidationTable[[#This Row],[Exchange_Rate]]&lt;&gt;1,"Fail","Pass"),
IF(ValidationTable[[#This Row],[Exchange_Rate]]&lt;=0,"Fail","Pass")
)</f>
        <v>Pass</v>
      </c>
      <c r="T308" s="4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08" s="11" t="str">
        <f>IF(LEN(TRIM(ValidationTable[[#This Row],[Bank_Account]]))=0,"Fail","Pass")</f>
        <v>Pass</v>
      </c>
      <c r="V308" s="40" t="str">
        <f>IF(
COUNTIF(ValidationTable[Record_ID],ValidationTable[[#This Row],[Record_ID]])&gt;1,
"Fail",
"Pass"
)</f>
        <v>Pass</v>
      </c>
      <c r="W308" s="11" t="str">
        <f>IF(
COUNTIF(ValidationTable[[#This Row],[RequiredField_Validation]]:ValidationTable[[#This Row],[Duplicate_Validation]],"Fail")&gt;0,
"Fail",
"Pass"
)</f>
        <v>Pass</v>
      </c>
      <c r="X308" s="11" t="str">
        <f>IF(ValidationTable[[#This Row],[Validation_Result]]="Pass","Yes","No")</f>
        <v>Yes</v>
      </c>
    </row>
    <row r="309" spans="1:24">
      <c r="A309" s="11">
        <f>RawTable[[#This Row],[Record_ID]]</f>
        <v>308</v>
      </c>
      <c r="B309" s="11" t="str">
        <f>RawTable[[#This Row],[Payment_Type]]</f>
        <v>Vendor_Invoice</v>
      </c>
      <c r="C309" s="11" t="str">
        <f>RawTable[[#This Row],[Entity_Type]]</f>
        <v>Vendor</v>
      </c>
      <c r="D309" s="11" t="str">
        <f>RawTable[[#This Row],[Country]]</f>
        <v>USA</v>
      </c>
      <c r="E309" s="11" t="str">
        <f>RawTable[[#This Row],[Name]]</f>
        <v>BlueRiver IT Services</v>
      </c>
      <c r="F309" s="11" t="str">
        <f>RawTable[[#This Row],[Bank_Account]]</f>
        <v>CH930000000002295240</v>
      </c>
      <c r="G309" s="11" t="str">
        <f>RawTable[[#This Row],[Month]]</f>
        <v>Jan-2026</v>
      </c>
      <c r="H309" s="11" t="str">
        <f>RawTable[[#This Row],[Currency]]</f>
        <v>USD</v>
      </c>
      <c r="I309" s="4">
        <f>RawTable[[#This Row],[Net_Amount]]</f>
        <v>6394.5</v>
      </c>
      <c r="J309" s="2" t="str">
        <f>RawTable[[#This Row],[VAT_Applicable]]</f>
        <v>Yes</v>
      </c>
      <c r="K309" s="4">
        <f>RawTable[[#This Row],[VAT_Rate]]</f>
        <v>0.05</v>
      </c>
      <c r="L309" s="4">
        <f>RawTable[[#This Row],[VAT_Amount]]</f>
        <v>319.72500000000002</v>
      </c>
      <c r="M309" s="4">
        <f>RawTable[[#This Row],[Gross_Amount]]</f>
        <v>6714.2250000000004</v>
      </c>
      <c r="N309" s="4">
        <f>RawTable[[#This Row],[Exchange_Rate]]</f>
        <v>0.77017999999999998</v>
      </c>
      <c r="O309" s="4">
        <f>RawTable[[#This Row],[Amount_CHF]]</f>
        <v>5171.16</v>
      </c>
      <c r="P309" s="4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09" s="4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09" s="40" t="str">
        <f>IF(ValidationTable[[#This Row],[Currency]]="","Fail","Pass")</f>
        <v>Pass</v>
      </c>
      <c r="S309" s="40" t="str">
        <f>IF(
ValidationTable[[#This Row],[Currency]]="CHF",
IF(ValidationTable[[#This Row],[Exchange_Rate]]&lt;&gt;1,"Fail","Pass"),
IF(ValidationTable[[#This Row],[Exchange_Rate]]&lt;=0,"Fail","Pass")
)</f>
        <v>Pass</v>
      </c>
      <c r="T309" s="4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09" s="11" t="str">
        <f>IF(LEN(TRIM(ValidationTable[[#This Row],[Bank_Account]]))=0,"Fail","Pass")</f>
        <v>Pass</v>
      </c>
      <c r="V309" s="40" t="str">
        <f>IF(
COUNTIF(ValidationTable[Record_ID],ValidationTable[[#This Row],[Record_ID]])&gt;1,
"Fail",
"Pass"
)</f>
        <v>Pass</v>
      </c>
      <c r="W309" s="11" t="str">
        <f>IF(
COUNTIF(ValidationTable[[#This Row],[RequiredField_Validation]]:ValidationTable[[#This Row],[Duplicate_Validation]],"Fail")&gt;0,
"Fail",
"Pass"
)</f>
        <v>Pass</v>
      </c>
      <c r="X309" s="11" t="str">
        <f>IF(ValidationTable[[#This Row],[Validation_Result]]="Pass","Yes","No")</f>
        <v>Yes</v>
      </c>
    </row>
    <row r="310" spans="1:24">
      <c r="A310" s="11">
        <f>RawTable[[#This Row],[Record_ID]]</f>
        <v>309</v>
      </c>
      <c r="B310" s="11" t="str">
        <f>RawTable[[#This Row],[Payment_Type]]</f>
        <v>Vendor_Invoice</v>
      </c>
      <c r="C310" s="11" t="str">
        <f>RawTable[[#This Row],[Entity_Type]]</f>
        <v>Vendor</v>
      </c>
      <c r="D310" s="11" t="str">
        <f>RawTable[[#This Row],[Country]]</f>
        <v>Jordan</v>
      </c>
      <c r="E310" s="11" t="str">
        <f>RawTable[[#This Row],[Name]]</f>
        <v>Tech Solutions GmbH</v>
      </c>
      <c r="F310" s="11" t="str">
        <f>RawTable[[#This Row],[Bank_Account]]</f>
        <v>JO-IBAN-01197465</v>
      </c>
      <c r="G310" s="11" t="str">
        <f>RawTable[[#This Row],[Month]]</f>
        <v>Feb-2026</v>
      </c>
      <c r="H310" s="11" t="str">
        <f>RawTable[[#This Row],[Currency]]</f>
        <v>JOD</v>
      </c>
      <c r="I310" s="4">
        <f>RawTable[[#This Row],[Net_Amount]]</f>
        <v>1806.75</v>
      </c>
      <c r="J310" s="2" t="str">
        <f>RawTable[[#This Row],[VAT_Applicable]]</f>
        <v>Yes</v>
      </c>
      <c r="K310" s="4">
        <f>RawTable[[#This Row],[VAT_Rate]]</f>
        <v>0.16</v>
      </c>
      <c r="L310" s="4">
        <f>RawTable[[#This Row],[VAT_Amount]]</f>
        <v>289.08</v>
      </c>
      <c r="M310" s="4">
        <f>RawTable[[#This Row],[Gross_Amount]]</f>
        <v>2095.83</v>
      </c>
      <c r="N310" s="4">
        <f>RawTable[[#This Row],[Exchange_Rate]]</f>
        <v>1.08643</v>
      </c>
      <c r="O310" s="4">
        <f>RawTable[[#This Row],[Amount_CHF]]</f>
        <v>2276.9699999999998</v>
      </c>
      <c r="P310" s="4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10" s="4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10" s="40" t="str">
        <f>IF(ValidationTable[[#This Row],[Currency]]="","Fail","Pass")</f>
        <v>Pass</v>
      </c>
      <c r="S310" s="40" t="str">
        <f>IF(
ValidationTable[[#This Row],[Currency]]="CHF",
IF(ValidationTable[[#This Row],[Exchange_Rate]]&lt;&gt;1,"Fail","Pass"),
IF(ValidationTable[[#This Row],[Exchange_Rate]]&lt;=0,"Fail","Pass")
)</f>
        <v>Pass</v>
      </c>
      <c r="T310" s="4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10" s="40" t="str">
        <f>IF(LEN(TRIM(ValidationTable[[#This Row],[Bank_Account]]))=0,"Fail","Pass")</f>
        <v>Pass</v>
      </c>
      <c r="V310" s="40" t="str">
        <f>IF(
COUNTIF(ValidationTable[Record_ID],ValidationTable[[#This Row],[Record_ID]])&gt;1,
"Fail",
"Pass"
)</f>
        <v>Pass</v>
      </c>
      <c r="W310" s="11" t="str">
        <f>IF(
COUNTIF(ValidationTable[[#This Row],[RequiredField_Validation]]:ValidationTable[[#This Row],[Duplicate_Validation]],"Fail")&gt;0,
"Fail",
"Pass"
)</f>
        <v>Pass</v>
      </c>
      <c r="X310" s="11" t="str">
        <f>IF(ValidationTable[[#This Row],[Validation_Result]]="Pass","Yes","No")</f>
        <v>Yes</v>
      </c>
    </row>
    <row r="311" spans="1:24">
      <c r="A311" s="11">
        <f>RawTable[[#This Row],[Record_ID]]</f>
        <v>310</v>
      </c>
      <c r="B311" s="11" t="str">
        <f>RawTable[[#This Row],[Payment_Type]]</f>
        <v>Vendor_Invoice</v>
      </c>
      <c r="C311" s="11" t="str">
        <f>RawTable[[#This Row],[Entity_Type]]</f>
        <v>Vendor</v>
      </c>
      <c r="D311" s="11" t="str">
        <f>RawTable[[#This Row],[Country]]</f>
        <v>UAE</v>
      </c>
      <c r="E311" s="11" t="str">
        <f>RawTable[[#This Row],[Name]]</f>
        <v>Sunrise Media Agency</v>
      </c>
      <c r="F311" s="11" t="str">
        <f>RawTable[[#This Row],[Bank_Account]]</f>
        <v>US-RT-000120932-AC-0000556444</v>
      </c>
      <c r="G311" s="11" t="str">
        <f>RawTable[[#This Row],[Month]]</f>
        <v>Jan-2026</v>
      </c>
      <c r="H311" s="11" t="str">
        <f>RawTable[[#This Row],[Currency]]</f>
        <v>AED</v>
      </c>
      <c r="I311" s="4">
        <f>RawTable[[#This Row],[Net_Amount]]</f>
        <v>17831.88</v>
      </c>
      <c r="J311" s="2" t="str">
        <f>RawTable[[#This Row],[VAT_Applicable]]</f>
        <v>Yes</v>
      </c>
      <c r="K311" s="4">
        <f>RawTable[[#This Row],[VAT_Rate]]</f>
        <v>0</v>
      </c>
      <c r="L311" s="4">
        <f>RawTable[[#This Row],[VAT_Amount]]</f>
        <v>0</v>
      </c>
      <c r="M311" s="4">
        <f>RawTable[[#This Row],[Gross_Amount]]</f>
        <v>17831.88</v>
      </c>
      <c r="N311" s="4">
        <f>RawTable[[#This Row],[Exchange_Rate]]</f>
        <v>0.21065</v>
      </c>
      <c r="O311" s="4">
        <f>RawTable[[#This Row],[Amount_CHF]]</f>
        <v>3756.29</v>
      </c>
      <c r="P311" s="4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11" s="4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11" s="40" t="str">
        <f>IF(ValidationTable[[#This Row],[Currency]]="","Fail","Pass")</f>
        <v>Pass</v>
      </c>
      <c r="S311" s="40" t="str">
        <f>IF(
ValidationTable[[#This Row],[Currency]]="CHF",
IF(ValidationTable[[#This Row],[Exchange_Rate]]&lt;&gt;1,"Fail","Pass"),
IF(ValidationTable[[#This Row],[Exchange_Rate]]&lt;=0,"Fail","Pass")
)</f>
        <v>Pass</v>
      </c>
      <c r="T311" s="4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11" s="40" t="str">
        <f>IF(LEN(TRIM(ValidationTable[[#This Row],[Bank_Account]]))=0,"Fail","Pass")</f>
        <v>Pass</v>
      </c>
      <c r="V311" s="40" t="str">
        <f>IF(
COUNTIF(ValidationTable[Record_ID],ValidationTable[[#This Row],[Record_ID]])&gt;1,
"Fail",
"Pass"
)</f>
        <v>Pass</v>
      </c>
      <c r="W311" s="11" t="str">
        <f>IF(
COUNTIF(ValidationTable[[#This Row],[RequiredField_Validation]]:ValidationTable[[#This Row],[Duplicate_Validation]],"Fail")&gt;0,
"Fail",
"Pass"
)</f>
        <v>Pass</v>
      </c>
      <c r="X311" s="11" t="str">
        <f>IF(ValidationTable[[#This Row],[Validation_Result]]="Pass","Yes","No")</f>
        <v>Yes</v>
      </c>
    </row>
    <row r="312" spans="1:24">
      <c r="A312" s="11">
        <f>RawTable[[#This Row],[Record_ID]]</f>
        <v>311</v>
      </c>
      <c r="B312" s="11" t="str">
        <f>RawTable[[#This Row],[Payment_Type]]</f>
        <v>Vendor_Invoice</v>
      </c>
      <c r="C312" s="11" t="str">
        <f>RawTable[[#This Row],[Entity_Type]]</f>
        <v>Vendor</v>
      </c>
      <c r="D312" s="11" t="str">
        <f>RawTable[[#This Row],[Country]]</f>
        <v>Jordan</v>
      </c>
      <c r="E312" s="11" t="str">
        <f>RawTable[[#This Row],[Name]]</f>
        <v>Future Innovations FZ-LLC</v>
      </c>
      <c r="F312" s="11" t="str">
        <f>RawTable[[#This Row],[Bank_Account]]</f>
        <v>CH930000000002344600</v>
      </c>
      <c r="G312" s="11" t="str">
        <f>RawTable[[#This Row],[Month]]</f>
        <v>Mar-2026</v>
      </c>
      <c r="H312" s="11" t="str">
        <f>RawTable[[#This Row],[Currency]]</f>
        <v>JOD</v>
      </c>
      <c r="I312" s="4">
        <f>RawTable[[#This Row],[Net_Amount]]</f>
        <v>5687.64</v>
      </c>
      <c r="J312" s="2" t="str">
        <f>RawTable[[#This Row],[VAT_Applicable]]</f>
        <v>Yes</v>
      </c>
      <c r="K312" s="4">
        <f>RawTable[[#This Row],[VAT_Rate]]</f>
        <v>0.16</v>
      </c>
      <c r="L312" s="4">
        <f>RawTable[[#This Row],[VAT_Amount]]</f>
        <v>910.02240000000006</v>
      </c>
      <c r="M312" s="4">
        <f>RawTable[[#This Row],[Gross_Amount]]</f>
        <v>6597.6624000000002</v>
      </c>
      <c r="N312" s="4">
        <f>RawTable[[#This Row],[Exchange_Rate]]</f>
        <v>1.08643</v>
      </c>
      <c r="O312" s="4">
        <f>RawTable[[#This Row],[Amount_CHF]]</f>
        <v>7167.9</v>
      </c>
      <c r="P312" s="4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12" s="4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12" s="40" t="str">
        <f>IF(ValidationTable[[#This Row],[Currency]]="","Fail","Pass")</f>
        <v>Pass</v>
      </c>
      <c r="S312" s="40" t="str">
        <f>IF(
ValidationTable[[#This Row],[Currency]]="CHF",
IF(ValidationTable[[#This Row],[Exchange_Rate]]&lt;&gt;1,"Fail","Pass"),
IF(ValidationTable[[#This Row],[Exchange_Rate]]&lt;=0,"Fail","Pass")
)</f>
        <v>Pass</v>
      </c>
      <c r="T312" s="4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12" s="40" t="str">
        <f>IF(LEN(TRIM(ValidationTable[[#This Row],[Bank_Account]]))=0,"Fail","Pass")</f>
        <v>Pass</v>
      </c>
      <c r="V312" s="40" t="str">
        <f>IF(
COUNTIF(ValidationTable[Record_ID],ValidationTable[[#This Row],[Record_ID]])&gt;1,
"Fail",
"Pass"
)</f>
        <v>Pass</v>
      </c>
      <c r="W312" s="11" t="str">
        <f>IF(
COUNTIF(ValidationTable[[#This Row],[RequiredField_Validation]]:ValidationTable[[#This Row],[Duplicate_Validation]],"Fail")&gt;0,
"Fail",
"Pass"
)</f>
        <v>Pass</v>
      </c>
      <c r="X312" s="11" t="str">
        <f>IF(ValidationTable[[#This Row],[Validation_Result]]="Pass","Yes","No")</f>
        <v>Yes</v>
      </c>
    </row>
    <row r="313" spans="1:24">
      <c r="A313" s="11">
        <f>RawTable[[#This Row],[Record_ID]]</f>
        <v>312</v>
      </c>
      <c r="B313" s="11" t="str">
        <f>RawTable[[#This Row],[Payment_Type]]</f>
        <v>Vendor_Invoice</v>
      </c>
      <c r="C313" s="11" t="str">
        <f>RawTable[[#This Row],[Entity_Type]]</f>
        <v>Vendor</v>
      </c>
      <c r="D313" s="11" t="str">
        <f>RawTable[[#This Row],[Country]]</f>
        <v>Jordan</v>
      </c>
      <c r="E313" s="11" t="str">
        <f>RawTable[[#This Row],[Name]]</f>
        <v>Sunrise Media Agency</v>
      </c>
      <c r="F313" s="11" t="str">
        <f>RawTable[[#This Row],[Bank_Account]]</f>
        <v>US-RT-000120932-AC-0000556444</v>
      </c>
      <c r="G313" s="11" t="str">
        <f>RawTable[[#This Row],[Month]]</f>
        <v>Jan-2026</v>
      </c>
      <c r="H313" s="11" t="str">
        <f>RawTable[[#This Row],[Currency]]</f>
        <v>JOD</v>
      </c>
      <c r="I313" s="4">
        <f>RawTable[[#This Row],[Net_Amount]]</f>
        <v>1458.97</v>
      </c>
      <c r="J313" s="2" t="str">
        <f>RawTable[[#This Row],[VAT_Applicable]]</f>
        <v>Yes</v>
      </c>
      <c r="K313" s="4">
        <f>RawTable[[#This Row],[VAT_Rate]]</f>
        <v>0.16</v>
      </c>
      <c r="L313" s="4">
        <f>RawTable[[#This Row],[VAT_Amount]]</f>
        <v>233.43520000000001</v>
      </c>
      <c r="M313" s="4">
        <f>RawTable[[#This Row],[Gross_Amount]]</f>
        <v>1692.4052000000001</v>
      </c>
      <c r="N313" s="4">
        <f>RawTable[[#This Row],[Exchange_Rate]]</f>
        <v>1.08643</v>
      </c>
      <c r="O313" s="4">
        <f>RawTable[[#This Row],[Amount_CHF]]</f>
        <v>1838.68</v>
      </c>
      <c r="P313" s="4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13" s="4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13" s="40" t="str">
        <f>IF(ValidationTable[[#This Row],[Currency]]="","Fail","Pass")</f>
        <v>Pass</v>
      </c>
      <c r="S313" s="40" t="str">
        <f>IF(
ValidationTable[[#This Row],[Currency]]="CHF",
IF(ValidationTable[[#This Row],[Exchange_Rate]]&lt;&gt;1,"Fail","Pass"),
IF(ValidationTable[[#This Row],[Exchange_Rate]]&lt;=0,"Fail","Pass")
)</f>
        <v>Pass</v>
      </c>
      <c r="T313" s="4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13" s="40" t="str">
        <f>IF(LEN(TRIM(ValidationTable[[#This Row],[Bank_Account]]))=0,"Fail","Pass")</f>
        <v>Pass</v>
      </c>
      <c r="V313" s="40" t="str">
        <f>IF(
COUNTIF(ValidationTable[Record_ID],ValidationTable[[#This Row],[Record_ID]])&gt;1,
"Fail",
"Pass"
)</f>
        <v>Pass</v>
      </c>
      <c r="W313" s="11" t="str">
        <f>IF(
COUNTIF(ValidationTable[[#This Row],[RequiredField_Validation]]:ValidationTable[[#This Row],[Duplicate_Validation]],"Fail")&gt;0,
"Fail",
"Pass"
)</f>
        <v>Pass</v>
      </c>
      <c r="X313" s="11" t="str">
        <f>IF(ValidationTable[[#This Row],[Validation_Result]]="Pass","Yes","No")</f>
        <v>Yes</v>
      </c>
    </row>
    <row r="314" spans="1:24">
      <c r="A314" s="11">
        <f>RawTable[[#This Row],[Record_ID]]</f>
        <v>313</v>
      </c>
      <c r="B314" s="11" t="str">
        <f>RawTable[[#This Row],[Payment_Type]]</f>
        <v>Vendor_Invoice</v>
      </c>
      <c r="C314" s="11" t="str">
        <f>RawTable[[#This Row],[Entity_Type]]</f>
        <v>Vendor</v>
      </c>
      <c r="D314" s="11" t="str">
        <f>RawTable[[#This Row],[Country]]</f>
        <v>UAE</v>
      </c>
      <c r="E314" s="11" t="str">
        <f>RawTable[[#This Row],[Name]]</f>
        <v>NorthStar Logistics</v>
      </c>
      <c r="F314" s="11" t="str">
        <f>RawTable[[#This Row],[Bank_Account]]</f>
        <v>AE-IBAN-05432100</v>
      </c>
      <c r="G314" s="11" t="str">
        <f>RawTable[[#This Row],[Month]]</f>
        <v>Feb-2026</v>
      </c>
      <c r="H314" s="11" t="str">
        <f>RawTable[[#This Row],[Currency]]</f>
        <v>AED</v>
      </c>
      <c r="I314" s="4">
        <f>RawTable[[#This Row],[Net_Amount]]</f>
        <v>20153.98</v>
      </c>
      <c r="J314" s="2" t="str">
        <f>RawTable[[#This Row],[VAT_Applicable]]</f>
        <v>Yes</v>
      </c>
      <c r="K314" s="4">
        <f>RawTable[[#This Row],[VAT_Rate]]</f>
        <v>0</v>
      </c>
      <c r="L314" s="4">
        <f>RawTable[[#This Row],[VAT_Amount]]</f>
        <v>0</v>
      </c>
      <c r="M314" s="4">
        <f>RawTable[[#This Row],[Gross_Amount]]</f>
        <v>20153.98</v>
      </c>
      <c r="N314" s="4">
        <f>RawTable[[#This Row],[Exchange_Rate]]</f>
        <v>0.21065</v>
      </c>
      <c r="O314" s="4">
        <f>RawTable[[#This Row],[Amount_CHF]]</f>
        <v>4245.4399999999996</v>
      </c>
      <c r="P314" s="4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14" s="4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14" s="40" t="str">
        <f>IF(ValidationTable[[#This Row],[Currency]]="","Fail","Pass")</f>
        <v>Pass</v>
      </c>
      <c r="S314" s="40" t="str">
        <f>IF(
ValidationTable[[#This Row],[Currency]]="CHF",
IF(ValidationTable[[#This Row],[Exchange_Rate]]&lt;&gt;1,"Fail","Pass"),
IF(ValidationTable[[#This Row],[Exchange_Rate]]&lt;=0,"Fail","Pass")
)</f>
        <v>Pass</v>
      </c>
      <c r="T314" s="4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14" s="40" t="str">
        <f>IF(LEN(TRIM(ValidationTable[[#This Row],[Bank_Account]]))=0,"Fail","Pass")</f>
        <v>Pass</v>
      </c>
      <c r="V314" s="40" t="str">
        <f>IF(
COUNTIF(ValidationTable[Record_ID],ValidationTable[[#This Row],[Record_ID]])&gt;1,
"Fail",
"Pass"
)</f>
        <v>Pass</v>
      </c>
      <c r="W314" s="11" t="str">
        <f>IF(
COUNTIF(ValidationTable[[#This Row],[RequiredField_Validation]]:ValidationTable[[#This Row],[Duplicate_Validation]],"Fail")&gt;0,
"Fail",
"Pass"
)</f>
        <v>Pass</v>
      </c>
      <c r="X314" s="11" t="str">
        <f>IF(ValidationTable[[#This Row],[Validation_Result]]="Pass","Yes","No")</f>
        <v>Yes</v>
      </c>
    </row>
    <row r="315" spans="1:24" hidden="1">
      <c r="A315" s="11">
        <f>RawTable[[#This Row],[Record_ID]]</f>
        <v>314</v>
      </c>
      <c r="C315" s="11" t="str">
        <f>RawTable[[#This Row],[Entity_Type]]</f>
        <v>Vendor</v>
      </c>
      <c r="D315" s="11" t="str">
        <f>RawTable[[#This Row],[Country]]</f>
        <v>UAE</v>
      </c>
      <c r="E315" s="11" t="str">
        <f>RawTable[[#This Row],[Name]]</f>
        <v>Sunrise Media Agency</v>
      </c>
      <c r="F315" s="11" t="str">
        <f>RawTable[[#This Row],[Bank_Account]]</f>
        <v>US-RT-000120932-AC-0000556444</v>
      </c>
      <c r="G315" s="11" t="str">
        <f>RawTable[[#This Row],[Month]]</f>
        <v>Mar-2026</v>
      </c>
      <c r="H315" s="11" t="str">
        <f>RawTable[[#This Row],[Currency]]</f>
        <v>AED</v>
      </c>
      <c r="I315" s="4">
        <f>RawTable[[#This Row],[Net_Amount]]</f>
        <v>18010.2</v>
      </c>
      <c r="J315" s="2" t="str">
        <f>RawTable[[#This Row],[VAT_Applicable]]</f>
        <v>No</v>
      </c>
      <c r="K315" s="4">
        <f>RawTable[[#This Row],[VAT_Rate]]</f>
        <v>0</v>
      </c>
      <c r="L315" s="4">
        <f>RawTable[[#This Row],[VAT_Amount]]</f>
        <v>0</v>
      </c>
      <c r="M315" s="4">
        <f>RawTable[[#This Row],[Gross_Amount]]</f>
        <v>18010.2</v>
      </c>
      <c r="N315" s="4">
        <f>RawTable[[#This Row],[Exchange_Rate]]</f>
        <v>0.21065</v>
      </c>
      <c r="O315" s="4">
        <f>RawTable[[#This Row],[Amount_CHF]]</f>
        <v>3793.85</v>
      </c>
      <c r="P315" s="4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Fail</v>
      </c>
      <c r="Q315" s="4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15" s="40" t="str">
        <f>IF(ValidationTable[[#This Row],[Currency]]="","Fail","Pass")</f>
        <v>Pass</v>
      </c>
      <c r="S315" s="40" t="str">
        <f>IF(
ValidationTable[[#This Row],[Currency]]="CHF",
IF(ValidationTable[[#This Row],[Exchange_Rate]]&lt;&gt;1,"Fail","Pass"),
IF(ValidationTable[[#This Row],[Exchange_Rate]]&lt;=0,"Fail","Pass")
)</f>
        <v>Pass</v>
      </c>
      <c r="T315" s="4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15" s="40" t="str">
        <f>IF(LEN(TRIM(ValidationTable[[#This Row],[Bank_Account]]))=0,"Fail","Pass")</f>
        <v>Pass</v>
      </c>
      <c r="V315" s="40" t="str">
        <f>IF(
COUNTIF(ValidationTable[Record_ID],ValidationTable[[#This Row],[Record_ID]])&gt;1,
"Fail",
"Pass"
)</f>
        <v>Pass</v>
      </c>
      <c r="W315" s="11" t="str">
        <f>IF(
COUNTIF(ValidationTable[[#This Row],[RequiredField_Validation]]:ValidationTable[[#This Row],[Duplicate_Validation]],"Fail")&gt;0,
"Fail",
"Pass"
)</f>
        <v>Fail</v>
      </c>
      <c r="X315" s="11" t="str">
        <f>IF(ValidationTable[[#This Row],[Validation_Result]]="Pass","Yes","No")</f>
        <v>No</v>
      </c>
    </row>
    <row r="316" spans="1:24">
      <c r="A316" s="11">
        <f>RawTable[[#This Row],[Record_ID]]</f>
        <v>315</v>
      </c>
      <c r="B316" s="11" t="str">
        <f>RawTable[[#This Row],[Payment_Type]]</f>
        <v>Vendor_Invoice</v>
      </c>
      <c r="C316" s="11" t="str">
        <f>RawTable[[#This Row],[Entity_Type]]</f>
        <v>Vendor</v>
      </c>
      <c r="D316" s="11" t="str">
        <f>RawTable[[#This Row],[Country]]</f>
        <v>Jordan</v>
      </c>
      <c r="E316" s="11" t="str">
        <f>RawTable[[#This Row],[Name]]</f>
        <v>Global Services Ltd</v>
      </c>
      <c r="F316" s="11" t="str">
        <f>RawTable[[#This Row],[Bank_Account]]</f>
        <v>JO-IBAN-01160430</v>
      </c>
      <c r="G316" s="11" t="str">
        <f>RawTable[[#This Row],[Month]]</f>
        <v>Jan-2026</v>
      </c>
      <c r="H316" s="11" t="str">
        <f>RawTable[[#This Row],[Currency]]</f>
        <v>JOD</v>
      </c>
      <c r="I316" s="4">
        <f>RawTable[[#This Row],[Net_Amount]]</f>
        <v>1639.02</v>
      </c>
      <c r="J316" s="2" t="str">
        <f>RawTable[[#This Row],[VAT_Applicable]]</f>
        <v>Yes</v>
      </c>
      <c r="K316" s="4">
        <f>RawTable[[#This Row],[VAT_Rate]]</f>
        <v>0.16</v>
      </c>
      <c r="L316" s="4">
        <f>RawTable[[#This Row],[VAT_Amount]]</f>
        <v>262.2432</v>
      </c>
      <c r="M316" s="4">
        <f>RawTable[[#This Row],[Gross_Amount]]</f>
        <v>1901.2631999999999</v>
      </c>
      <c r="N316" s="4">
        <f>RawTable[[#This Row],[Exchange_Rate]]</f>
        <v>1.08643</v>
      </c>
      <c r="O316" s="4">
        <f>RawTable[[#This Row],[Amount_CHF]]</f>
        <v>2065.59</v>
      </c>
      <c r="P316" s="4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16" s="4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16" s="40" t="str">
        <f>IF(ValidationTable[[#This Row],[Currency]]="","Fail","Pass")</f>
        <v>Pass</v>
      </c>
      <c r="S316" s="40" t="str">
        <f>IF(
ValidationTable[[#This Row],[Currency]]="CHF",
IF(ValidationTable[[#This Row],[Exchange_Rate]]&lt;&gt;1,"Fail","Pass"),
IF(ValidationTable[[#This Row],[Exchange_Rate]]&lt;=0,"Fail","Pass")
)</f>
        <v>Pass</v>
      </c>
      <c r="T316" s="4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16" s="40" t="str">
        <f>IF(LEN(TRIM(ValidationTable[[#This Row],[Bank_Account]]))=0,"Fail","Pass")</f>
        <v>Pass</v>
      </c>
      <c r="V316" s="40" t="str">
        <f>IF(
COUNTIF(ValidationTable[Record_ID],ValidationTable[[#This Row],[Record_ID]])&gt;1,
"Fail",
"Pass"
)</f>
        <v>Pass</v>
      </c>
      <c r="W316" s="11" t="str">
        <f>IF(
COUNTIF(ValidationTable[[#This Row],[RequiredField_Validation]]:ValidationTable[[#This Row],[Duplicate_Validation]],"Fail")&gt;0,
"Fail",
"Pass"
)</f>
        <v>Pass</v>
      </c>
      <c r="X316" s="11" t="str">
        <f>IF(ValidationTable[[#This Row],[Validation_Result]]="Pass","Yes","No")</f>
        <v>Yes</v>
      </c>
    </row>
    <row r="317" spans="1:24">
      <c r="A317" s="11">
        <f>RawTable[[#This Row],[Record_ID]]</f>
        <v>316</v>
      </c>
      <c r="B317" s="11" t="str">
        <f>RawTable[[#This Row],[Payment_Type]]</f>
        <v>Vendor_Invoice</v>
      </c>
      <c r="C317" s="11" t="str">
        <f>RawTable[[#This Row],[Entity_Type]]</f>
        <v>Vendor</v>
      </c>
      <c r="D317" s="11" t="str">
        <f>RawTable[[#This Row],[Country]]</f>
        <v>USA</v>
      </c>
      <c r="E317" s="11" t="str">
        <f>RawTable[[#This Row],[Name]]</f>
        <v>Bright Consulting LLC</v>
      </c>
      <c r="F317" s="11" t="str">
        <f>RawTable[[#This Row],[Bank_Account]]</f>
        <v>US-RT-000118464-AC-0000545088</v>
      </c>
      <c r="G317" s="11" t="str">
        <f>RawTable[[#This Row],[Month]]</f>
        <v>Jan-2026</v>
      </c>
      <c r="H317" s="11" t="str">
        <f>RawTable[[#This Row],[Currency]]</f>
        <v>USD</v>
      </c>
      <c r="I317" s="4">
        <f>RawTable[[#This Row],[Net_Amount]]</f>
        <v>6681.79</v>
      </c>
      <c r="J317" s="2" t="str">
        <f>RawTable[[#This Row],[VAT_Applicable]]</f>
        <v>Yes</v>
      </c>
      <c r="K317" s="4">
        <f>RawTable[[#This Row],[VAT_Rate]]</f>
        <v>0.05</v>
      </c>
      <c r="L317" s="4">
        <f>RawTable[[#This Row],[VAT_Amount]]</f>
        <v>334.08950000000004</v>
      </c>
      <c r="M317" s="4">
        <f>RawTable[[#This Row],[Gross_Amount]]</f>
        <v>7015.8795</v>
      </c>
      <c r="N317" s="4">
        <f>RawTable[[#This Row],[Exchange_Rate]]</f>
        <v>0.77017999999999998</v>
      </c>
      <c r="O317" s="4">
        <f>RawTable[[#This Row],[Amount_CHF]]</f>
        <v>5403.49</v>
      </c>
      <c r="P317" s="4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17" s="4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17" s="40" t="str">
        <f>IF(ValidationTable[[#This Row],[Currency]]="","Fail","Pass")</f>
        <v>Pass</v>
      </c>
      <c r="S317" s="40" t="str">
        <f>IF(
ValidationTable[[#This Row],[Currency]]="CHF",
IF(ValidationTable[[#This Row],[Exchange_Rate]]&lt;&gt;1,"Fail","Pass"),
IF(ValidationTable[[#This Row],[Exchange_Rate]]&lt;=0,"Fail","Pass")
)</f>
        <v>Pass</v>
      </c>
      <c r="T317" s="4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17" s="40" t="str">
        <f>IF(LEN(TRIM(ValidationTable[[#This Row],[Bank_Account]]))=0,"Fail","Pass")</f>
        <v>Pass</v>
      </c>
      <c r="V317" s="40" t="str">
        <f>IF(
COUNTIF(ValidationTable[Record_ID],ValidationTable[[#This Row],[Record_ID]])&gt;1,
"Fail",
"Pass"
)</f>
        <v>Pass</v>
      </c>
      <c r="W317" s="11" t="str">
        <f>IF(
COUNTIF(ValidationTable[[#This Row],[RequiredField_Validation]]:ValidationTable[[#This Row],[Duplicate_Validation]],"Fail")&gt;0,
"Fail",
"Pass"
)</f>
        <v>Pass</v>
      </c>
      <c r="X317" s="11" t="str">
        <f>IF(ValidationTable[[#This Row],[Validation_Result]]="Pass","Yes","No")</f>
        <v>Yes</v>
      </c>
    </row>
    <row r="318" spans="1:24">
      <c r="A318" s="11">
        <f>RawTable[[#This Row],[Record_ID]]</f>
        <v>317</v>
      </c>
      <c r="B318" s="11" t="str">
        <f>RawTable[[#This Row],[Payment_Type]]</f>
        <v>Vendor_Invoice</v>
      </c>
      <c r="C318" s="11" t="str">
        <f>RawTable[[#This Row],[Entity_Type]]</f>
        <v>Vendor</v>
      </c>
      <c r="D318" s="11" t="str">
        <f>RawTable[[#This Row],[Country]]</f>
        <v>USA</v>
      </c>
      <c r="E318" s="11" t="str">
        <f>RawTable[[#This Row],[Name]]</f>
        <v>Impact Partners</v>
      </c>
      <c r="F318" s="11" t="str">
        <f>RawTable[[#This Row],[Bank_Account]]</f>
        <v>JO-IBAN-01222155</v>
      </c>
      <c r="G318" s="11" t="str">
        <f>RawTable[[#This Row],[Month]]</f>
        <v>Jan-2026</v>
      </c>
      <c r="H318" s="11" t="str">
        <f>RawTable[[#This Row],[Currency]]</f>
        <v>USD</v>
      </c>
      <c r="I318" s="4">
        <f>RawTable[[#This Row],[Net_Amount]]</f>
        <v>6746.67</v>
      </c>
      <c r="J318" s="2" t="str">
        <f>RawTable[[#This Row],[VAT_Applicable]]</f>
        <v>Yes</v>
      </c>
      <c r="K318" s="4">
        <f>RawTable[[#This Row],[VAT_Rate]]</f>
        <v>0.05</v>
      </c>
      <c r="L318" s="4">
        <f>RawTable[[#This Row],[VAT_Amount]]</f>
        <v>337.33350000000002</v>
      </c>
      <c r="M318" s="4">
        <f>RawTable[[#This Row],[Gross_Amount]]</f>
        <v>7084.0034999999998</v>
      </c>
      <c r="N318" s="4">
        <f>RawTable[[#This Row],[Exchange_Rate]]</f>
        <v>0.77017999999999998</v>
      </c>
      <c r="O318" s="4">
        <f>RawTable[[#This Row],[Amount_CHF]]</f>
        <v>5455.96</v>
      </c>
      <c r="P318" s="4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18" s="4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18" s="40" t="str">
        <f>IF(ValidationTable[[#This Row],[Currency]]="","Fail","Pass")</f>
        <v>Pass</v>
      </c>
      <c r="S318" s="40" t="str">
        <f>IF(
ValidationTable[[#This Row],[Currency]]="CHF",
IF(ValidationTable[[#This Row],[Exchange_Rate]]&lt;&gt;1,"Fail","Pass"),
IF(ValidationTable[[#This Row],[Exchange_Rate]]&lt;=0,"Fail","Pass")
)</f>
        <v>Pass</v>
      </c>
      <c r="T318" s="4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18" s="40" t="str">
        <f>IF(LEN(TRIM(ValidationTable[[#This Row],[Bank_Account]]))=0,"Fail","Pass")</f>
        <v>Pass</v>
      </c>
      <c r="V318" s="40" t="str">
        <f>IF(
COUNTIF(ValidationTable[Record_ID],ValidationTable[[#This Row],[Record_ID]])&gt;1,
"Fail",
"Pass"
)</f>
        <v>Pass</v>
      </c>
      <c r="W318" s="11" t="str">
        <f>IF(
COUNTIF(ValidationTable[[#This Row],[RequiredField_Validation]]:ValidationTable[[#This Row],[Duplicate_Validation]],"Fail")&gt;0,
"Fail",
"Pass"
)</f>
        <v>Pass</v>
      </c>
      <c r="X318" s="11" t="str">
        <f>IF(ValidationTable[[#This Row],[Validation_Result]]="Pass","Yes","No")</f>
        <v>Yes</v>
      </c>
    </row>
    <row r="319" spans="1:24">
      <c r="A319" s="11">
        <f>RawTable[[#This Row],[Record_ID]]</f>
        <v>318</v>
      </c>
      <c r="B319" s="11" t="str">
        <f>RawTable[[#This Row],[Payment_Type]]</f>
        <v>Vendor_Invoice</v>
      </c>
      <c r="C319" s="11" t="str">
        <f>RawTable[[#This Row],[Entity_Type]]</f>
        <v>Vendor</v>
      </c>
      <c r="D319" s="11" t="str">
        <f>RawTable[[#This Row],[Country]]</f>
        <v>Switzerland</v>
      </c>
      <c r="E319" s="11" t="str">
        <f>RawTable[[#This Row],[Name]]</f>
        <v>Impact Partners</v>
      </c>
      <c r="F319" s="11" t="str">
        <f>RawTable[[#This Row],[Bank_Account]]</f>
        <v>JO-IBAN-01222155</v>
      </c>
      <c r="G319" s="11" t="str">
        <f>RawTable[[#This Row],[Month]]</f>
        <v>Feb-2026</v>
      </c>
      <c r="H319" s="11" t="str">
        <f>RawTable[[#This Row],[Currency]]</f>
        <v>CHF</v>
      </c>
      <c r="I319" s="4">
        <f>RawTable[[#This Row],[Net_Amount]]</f>
        <v>6264.76</v>
      </c>
      <c r="J319" s="2" t="str">
        <f>RawTable[[#This Row],[VAT_Applicable]]</f>
        <v>Yes</v>
      </c>
      <c r="K319" s="4">
        <f>RawTable[[#This Row],[VAT_Rate]]</f>
        <v>8.1000000000000003E-2</v>
      </c>
      <c r="L319" s="4">
        <f>RawTable[[#This Row],[VAT_Amount]]</f>
        <v>507.44556000000006</v>
      </c>
      <c r="M319" s="4">
        <f>RawTable[[#This Row],[Gross_Amount]]</f>
        <v>6772.2055600000003</v>
      </c>
      <c r="N319" s="4">
        <f>RawTable[[#This Row],[Exchange_Rate]]</f>
        <v>1</v>
      </c>
      <c r="O319" s="4">
        <f>RawTable[[#This Row],[Amount_CHF]]</f>
        <v>6772.21</v>
      </c>
      <c r="P319" s="4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19" s="4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19" s="40" t="str">
        <f>IF(ValidationTable[[#This Row],[Currency]]="","Fail","Pass")</f>
        <v>Pass</v>
      </c>
      <c r="S319" s="40" t="str">
        <f>IF(
ValidationTable[[#This Row],[Currency]]="CHF",
IF(ValidationTable[[#This Row],[Exchange_Rate]]&lt;&gt;1,"Fail","Pass"),
IF(ValidationTable[[#This Row],[Exchange_Rate]]&lt;=0,"Fail","Pass")
)</f>
        <v>Pass</v>
      </c>
      <c r="T319" s="4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19" s="40" t="str">
        <f>IF(LEN(TRIM(ValidationTable[[#This Row],[Bank_Account]]))=0,"Fail","Pass")</f>
        <v>Pass</v>
      </c>
      <c r="V319" s="40" t="str">
        <f>IF(
COUNTIF(ValidationTable[Record_ID],ValidationTable[[#This Row],[Record_ID]])&gt;1,
"Fail",
"Pass"
)</f>
        <v>Pass</v>
      </c>
      <c r="W319" s="11" t="str">
        <f>IF(
COUNTIF(ValidationTable[[#This Row],[RequiredField_Validation]]:ValidationTable[[#This Row],[Duplicate_Validation]],"Fail")&gt;0,
"Fail",
"Pass"
)</f>
        <v>Pass</v>
      </c>
      <c r="X319" s="11" t="str">
        <f>IF(ValidationTable[[#This Row],[Validation_Result]]="Pass","Yes","No")</f>
        <v>Yes</v>
      </c>
    </row>
    <row r="320" spans="1:24">
      <c r="A320" s="11">
        <f>RawTable[[#This Row],[Record_ID]]</f>
        <v>319</v>
      </c>
      <c r="B320" s="11" t="str">
        <f>RawTable[[#This Row],[Payment_Type]]</f>
        <v>Vendor_Invoice</v>
      </c>
      <c r="C320" s="11" t="str">
        <f>RawTable[[#This Row],[Entity_Type]]</f>
        <v>Vendor</v>
      </c>
      <c r="D320" s="11" t="str">
        <f>RawTable[[#This Row],[Country]]</f>
        <v>Germany</v>
      </c>
      <c r="E320" s="11" t="str">
        <f>RawTable[[#This Row],[Name]]</f>
        <v>Global Services Ltd</v>
      </c>
      <c r="F320" s="11" t="str">
        <f>RawTable[[#This Row],[Bank_Account]]</f>
        <v>JO-IBAN-01160430</v>
      </c>
      <c r="G320" s="11" t="str">
        <f>RawTable[[#This Row],[Month]]</f>
        <v>Feb-2026</v>
      </c>
      <c r="H320" s="11" t="str">
        <f>RawTable[[#This Row],[Currency]]</f>
        <v>EUR</v>
      </c>
      <c r="I320" s="4">
        <f>RawTable[[#This Row],[Net_Amount]]</f>
        <v>5409.28</v>
      </c>
      <c r="J320" s="2" t="str">
        <f>RawTable[[#This Row],[VAT_Applicable]]</f>
        <v>Yes</v>
      </c>
      <c r="K320" s="4">
        <f>RawTable[[#This Row],[VAT_Rate]]</f>
        <v>0.19</v>
      </c>
      <c r="L320" s="4">
        <f>RawTable[[#This Row],[VAT_Amount]]</f>
        <v>1027.7631999999999</v>
      </c>
      <c r="M320" s="4">
        <f>RawTable[[#This Row],[Gross_Amount]]</f>
        <v>6437.0432000000001</v>
      </c>
      <c r="N320" s="4">
        <f>RawTable[[#This Row],[Exchange_Rate]]</f>
        <v>0.90888000000000002</v>
      </c>
      <c r="O320" s="4">
        <f>RawTable[[#This Row],[Amount_CHF]]</f>
        <v>5850.5</v>
      </c>
      <c r="P320" s="4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20" s="4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20" s="40" t="str">
        <f>IF(ValidationTable[[#This Row],[Currency]]="","Fail","Pass")</f>
        <v>Pass</v>
      </c>
      <c r="S320" s="40" t="str">
        <f>IF(
ValidationTable[[#This Row],[Currency]]="CHF",
IF(ValidationTable[[#This Row],[Exchange_Rate]]&lt;&gt;1,"Fail","Pass"),
IF(ValidationTable[[#This Row],[Exchange_Rate]]&lt;=0,"Fail","Pass")
)</f>
        <v>Pass</v>
      </c>
      <c r="T320" s="4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20" s="40" t="str">
        <f>IF(LEN(TRIM(ValidationTable[[#This Row],[Bank_Account]]))=0,"Fail","Pass")</f>
        <v>Pass</v>
      </c>
      <c r="V320" s="40" t="str">
        <f>IF(
COUNTIF(ValidationTable[Record_ID],ValidationTable[[#This Row],[Record_ID]])&gt;1,
"Fail",
"Pass"
)</f>
        <v>Pass</v>
      </c>
      <c r="W320" s="11" t="str">
        <f>IF(
COUNTIF(ValidationTable[[#This Row],[RequiredField_Validation]]:ValidationTable[[#This Row],[Duplicate_Validation]],"Fail")&gt;0,
"Fail",
"Pass"
)</f>
        <v>Pass</v>
      </c>
      <c r="X320" s="11" t="str">
        <f>IF(ValidationTable[[#This Row],[Validation_Result]]="Pass","Yes","No")</f>
        <v>Yes</v>
      </c>
    </row>
    <row r="321" spans="1:24">
      <c r="A321" s="11">
        <f>RawTable[[#This Row],[Record_ID]]</f>
        <v>320</v>
      </c>
      <c r="B321" s="11" t="str">
        <f>RawTable[[#This Row],[Payment_Type]]</f>
        <v>Vendor_Invoice</v>
      </c>
      <c r="C321" s="11" t="str">
        <f>RawTable[[#This Row],[Entity_Type]]</f>
        <v>Vendor</v>
      </c>
      <c r="D321" s="11" t="str">
        <f>RawTable[[#This Row],[Country]]</f>
        <v>Jordan</v>
      </c>
      <c r="E321" s="11" t="str">
        <f>RawTable[[#This Row],[Name]]</f>
        <v>Tech Solutions GmbH</v>
      </c>
      <c r="F321" s="11" t="str">
        <f>RawTable[[#This Row],[Bank_Account]]</f>
        <v>JO-IBAN-01197465</v>
      </c>
      <c r="G321" s="11" t="str">
        <f>RawTable[[#This Row],[Month]]</f>
        <v>Feb-2026</v>
      </c>
      <c r="H321" s="11" t="str">
        <f>RawTable[[#This Row],[Currency]]</f>
        <v>JOD</v>
      </c>
      <c r="I321" s="4">
        <f>RawTable[[#This Row],[Net_Amount]]</f>
        <v>1824.82</v>
      </c>
      <c r="J321" s="2" t="str">
        <f>RawTable[[#This Row],[VAT_Applicable]]</f>
        <v>Yes</v>
      </c>
      <c r="K321" s="4">
        <f>RawTable[[#This Row],[VAT_Rate]]</f>
        <v>0.16</v>
      </c>
      <c r="L321" s="4">
        <f>RawTable[[#This Row],[VAT_Amount]]</f>
        <v>291.97120000000001</v>
      </c>
      <c r="M321" s="4">
        <f>RawTable[[#This Row],[Gross_Amount]]</f>
        <v>2116.7912000000001</v>
      </c>
      <c r="N321" s="4">
        <f>RawTable[[#This Row],[Exchange_Rate]]</f>
        <v>1.08643</v>
      </c>
      <c r="O321" s="4">
        <f>RawTable[[#This Row],[Amount_CHF]]</f>
        <v>2299.75</v>
      </c>
      <c r="P321" s="4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21" s="4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21" s="40" t="str">
        <f>IF(ValidationTable[[#This Row],[Currency]]="","Fail","Pass")</f>
        <v>Pass</v>
      </c>
      <c r="S321" s="40" t="str">
        <f>IF(
ValidationTable[[#This Row],[Currency]]="CHF",
IF(ValidationTable[[#This Row],[Exchange_Rate]]&lt;&gt;1,"Fail","Pass"),
IF(ValidationTable[[#This Row],[Exchange_Rate]]&lt;=0,"Fail","Pass")
)</f>
        <v>Pass</v>
      </c>
      <c r="T321" s="4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21" s="40" t="str">
        <f>IF(LEN(TRIM(ValidationTable[[#This Row],[Bank_Account]]))=0,"Fail","Pass")</f>
        <v>Pass</v>
      </c>
      <c r="V321" s="40" t="str">
        <f>IF(
COUNTIF(ValidationTable[Record_ID],ValidationTable[[#This Row],[Record_ID]])&gt;1,
"Fail",
"Pass"
)</f>
        <v>Pass</v>
      </c>
      <c r="W321" s="11" t="str">
        <f>IF(
COUNTIF(ValidationTable[[#This Row],[RequiredField_Validation]]:ValidationTable[[#This Row],[Duplicate_Validation]],"Fail")&gt;0,
"Fail",
"Pass"
)</f>
        <v>Pass</v>
      </c>
      <c r="X321" s="11" t="str">
        <f>IF(ValidationTable[[#This Row],[Validation_Result]]="Pass","Yes","No")</f>
        <v>Yes</v>
      </c>
    </row>
    <row r="322" spans="1:24">
      <c r="A322" s="11">
        <f>RawTable[[#This Row],[Record_ID]]</f>
        <v>321</v>
      </c>
      <c r="B322" s="11" t="str">
        <f>RawTable[[#This Row],[Payment_Type]]</f>
        <v>Grant_Disbursement</v>
      </c>
      <c r="C322" s="11" t="str">
        <f>RawTable[[#This Row],[Entity_Type]]</f>
        <v>Sub-Grantee</v>
      </c>
      <c r="D322" s="11" t="str">
        <f>RawTable[[#This Row],[Country]]</f>
        <v>Switzerland</v>
      </c>
      <c r="E322" s="11" t="str">
        <f>RawTable[[#This Row],[Name]]</f>
        <v>Safe Spaces NGO</v>
      </c>
      <c r="F322" s="11" t="str">
        <f>RawTable[[#This Row],[Bank_Account]]</f>
        <v>CH930000000002492680</v>
      </c>
      <c r="G322" s="11" t="str">
        <f>RawTable[[#This Row],[Month]]</f>
        <v>Jan-2026</v>
      </c>
      <c r="H322" s="11" t="str">
        <f>RawTable[[#This Row],[Currency]]</f>
        <v>CHF</v>
      </c>
      <c r="I322" s="4">
        <f>RawTable[[#This Row],[Net_Amount]]</f>
        <v>54496</v>
      </c>
      <c r="J322" s="2" t="str">
        <f>RawTable[[#This Row],[VAT_Applicable]]</f>
        <v>No</v>
      </c>
      <c r="K322" s="4">
        <f>RawTable[[#This Row],[VAT_Rate]]</f>
        <v>0</v>
      </c>
      <c r="L322" s="4">
        <f>RawTable[[#This Row],[VAT_Amount]]</f>
        <v>0</v>
      </c>
      <c r="M322" s="4">
        <f>RawTable[[#This Row],[Gross_Amount]]</f>
        <v>54496</v>
      </c>
      <c r="N322" s="4">
        <f>RawTable[[#This Row],[Exchange_Rate]]</f>
        <v>1</v>
      </c>
      <c r="O322" s="4">
        <f>RawTable[[#This Row],[Amount_CHF]]</f>
        <v>54496</v>
      </c>
      <c r="P322" s="4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22" s="4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22" s="40" t="str">
        <f>IF(ValidationTable[[#This Row],[Currency]]="","Fail","Pass")</f>
        <v>Pass</v>
      </c>
      <c r="S322" s="40" t="str">
        <f>IF(
ValidationTable[[#This Row],[Currency]]="CHF",
IF(ValidationTable[[#This Row],[Exchange_Rate]]&lt;&gt;1,"Fail","Pass"),
IF(ValidationTable[[#This Row],[Exchange_Rate]]&lt;=0,"Fail","Pass")
)</f>
        <v>Pass</v>
      </c>
      <c r="T322" s="4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22" s="40" t="str">
        <f>IF(LEN(TRIM(ValidationTable[[#This Row],[Bank_Account]]))=0,"Fail","Pass")</f>
        <v>Pass</v>
      </c>
      <c r="V322" s="40" t="str">
        <f>IF(
COUNTIF(ValidationTable[Record_ID],ValidationTable[[#This Row],[Record_ID]])&gt;1,
"Fail",
"Pass"
)</f>
        <v>Pass</v>
      </c>
      <c r="W322" s="11" t="str">
        <f>IF(
COUNTIF(ValidationTable[[#This Row],[RequiredField_Validation]]:ValidationTable[[#This Row],[Duplicate_Validation]],"Fail")&gt;0,
"Fail",
"Pass"
)</f>
        <v>Pass</v>
      </c>
      <c r="X322" s="11" t="str">
        <f>IF(ValidationTable[[#This Row],[Validation_Result]]="Pass","Yes","No")</f>
        <v>Yes</v>
      </c>
    </row>
    <row r="323" spans="1:24">
      <c r="A323" s="11">
        <f>RawTable[[#This Row],[Record_ID]]</f>
        <v>322</v>
      </c>
      <c r="B323" s="11" t="str">
        <f>RawTable[[#This Row],[Payment_Type]]</f>
        <v>Grant_Disbursement</v>
      </c>
      <c r="C323" s="11" t="str">
        <f>RawTable[[#This Row],[Entity_Type]]</f>
        <v>Sub-Grantee</v>
      </c>
      <c r="D323" s="11" t="str">
        <f>RawTable[[#This Row],[Country]]</f>
        <v>USA</v>
      </c>
      <c r="E323" s="11" t="str">
        <f>RawTable[[#This Row],[Name]]</f>
        <v>Health Access Initiative</v>
      </c>
      <c r="F323" s="11" t="str">
        <f>RawTable[[#This Row],[Bank_Account]]</f>
        <v>US-RT-000125868-AC-0000579156</v>
      </c>
      <c r="G323" s="11" t="str">
        <f>RawTable[[#This Row],[Month]]</f>
        <v>Jan-2026</v>
      </c>
      <c r="H323" s="11" t="str">
        <f>RawTable[[#This Row],[Currency]]</f>
        <v>USD</v>
      </c>
      <c r="I323" s="4">
        <f>RawTable[[#This Row],[Net_Amount]]</f>
        <v>61275.199999999997</v>
      </c>
      <c r="J323" s="2" t="str">
        <f>RawTable[[#This Row],[VAT_Applicable]]</f>
        <v>No</v>
      </c>
      <c r="K323" s="4">
        <f>RawTable[[#This Row],[VAT_Rate]]</f>
        <v>0</v>
      </c>
      <c r="L323" s="4">
        <f>RawTable[[#This Row],[VAT_Amount]]</f>
        <v>0</v>
      </c>
      <c r="M323" s="4">
        <f>RawTable[[#This Row],[Gross_Amount]]</f>
        <v>61275.199999999997</v>
      </c>
      <c r="N323" s="4">
        <f>RawTable[[#This Row],[Exchange_Rate]]</f>
        <v>0.77017999999999998</v>
      </c>
      <c r="O323" s="4">
        <f>RawTable[[#This Row],[Amount_CHF]]</f>
        <v>47192.93</v>
      </c>
      <c r="P323" s="4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23" s="4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23" s="40" t="str">
        <f>IF(ValidationTable[[#This Row],[Currency]]="","Fail","Pass")</f>
        <v>Pass</v>
      </c>
      <c r="S323" s="40" t="str">
        <f>IF(
ValidationTable[[#This Row],[Currency]]="CHF",
IF(ValidationTable[[#This Row],[Exchange_Rate]]&lt;&gt;1,"Fail","Pass"),
IF(ValidationTable[[#This Row],[Exchange_Rate]]&lt;=0,"Fail","Pass")
)</f>
        <v>Pass</v>
      </c>
      <c r="T323" s="4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23" s="40" t="str">
        <f>IF(LEN(TRIM(ValidationTable[[#This Row],[Bank_Account]]))=0,"Fail","Pass")</f>
        <v>Pass</v>
      </c>
      <c r="V323" s="40" t="str">
        <f>IF(
COUNTIF(ValidationTable[Record_ID],ValidationTable[[#This Row],[Record_ID]])&gt;1,
"Fail",
"Pass"
)</f>
        <v>Pass</v>
      </c>
      <c r="W323" s="11" t="str">
        <f>IF(
COUNTIF(ValidationTable[[#This Row],[RequiredField_Validation]]:ValidationTable[[#This Row],[Duplicate_Validation]],"Fail")&gt;0,
"Fail",
"Pass"
)</f>
        <v>Pass</v>
      </c>
      <c r="X323" s="11" t="str">
        <f>IF(ValidationTable[[#This Row],[Validation_Result]]="Pass","Yes","No")</f>
        <v>Yes</v>
      </c>
    </row>
    <row r="324" spans="1:24">
      <c r="A324" s="11">
        <f>RawTable[[#This Row],[Record_ID]]</f>
        <v>323</v>
      </c>
      <c r="B324" s="11" t="str">
        <f>RawTable[[#This Row],[Payment_Type]]</f>
        <v>Grant_Disbursement</v>
      </c>
      <c r="C324" s="11" t="str">
        <f>RawTable[[#This Row],[Entity_Type]]</f>
        <v>Sub-Grantee</v>
      </c>
      <c r="D324" s="11" t="str">
        <f>RawTable[[#This Row],[Country]]</f>
        <v>Germany</v>
      </c>
      <c r="E324" s="11" t="str">
        <f>RawTable[[#This Row],[Name]]</f>
        <v>Inclusive Futures Org</v>
      </c>
      <c r="F324" s="11" t="str">
        <f>RawTable[[#This Row],[Bank_Account]]</f>
        <v>DE890000000001398637</v>
      </c>
      <c r="G324" s="11" t="str">
        <f>RawTable[[#This Row],[Month]]</f>
        <v>Jan-2026</v>
      </c>
      <c r="H324" s="11" t="str">
        <f>RawTable[[#This Row],[Currency]]</f>
        <v>EUR</v>
      </c>
      <c r="I324" s="4">
        <f>RawTable[[#This Row],[Net_Amount]]</f>
        <v>51427.199999999997</v>
      </c>
      <c r="J324" s="2" t="str">
        <f>RawTable[[#This Row],[VAT_Applicable]]</f>
        <v>No</v>
      </c>
      <c r="K324" s="4">
        <f>RawTable[[#This Row],[VAT_Rate]]</f>
        <v>0</v>
      </c>
      <c r="L324" s="4">
        <f>RawTable[[#This Row],[VAT_Amount]]</f>
        <v>0</v>
      </c>
      <c r="M324" s="4">
        <f>RawTable[[#This Row],[Gross_Amount]]</f>
        <v>51427.199999999997</v>
      </c>
      <c r="N324" s="4">
        <f>RawTable[[#This Row],[Exchange_Rate]]</f>
        <v>0.90888000000000002</v>
      </c>
      <c r="O324" s="4">
        <f>RawTable[[#This Row],[Amount_CHF]]</f>
        <v>46741.15</v>
      </c>
      <c r="P324" s="4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24" s="4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24" s="40" t="str">
        <f>IF(ValidationTable[[#This Row],[Currency]]="","Fail","Pass")</f>
        <v>Pass</v>
      </c>
      <c r="S324" s="40" t="str">
        <f>IF(
ValidationTable[[#This Row],[Currency]]="CHF",
IF(ValidationTable[[#This Row],[Exchange_Rate]]&lt;&gt;1,"Fail","Pass"),
IF(ValidationTable[[#This Row],[Exchange_Rate]]&lt;=0,"Fail","Pass")
)</f>
        <v>Pass</v>
      </c>
      <c r="T324" s="4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24" s="40" t="str">
        <f>IF(LEN(TRIM(ValidationTable[[#This Row],[Bank_Account]]))=0,"Fail","Pass")</f>
        <v>Pass</v>
      </c>
      <c r="V324" s="40" t="str">
        <f>IF(
COUNTIF(ValidationTable[Record_ID],ValidationTable[[#This Row],[Record_ID]])&gt;1,
"Fail",
"Pass"
)</f>
        <v>Pass</v>
      </c>
      <c r="W324" s="11" t="str">
        <f>IF(
COUNTIF(ValidationTable[[#This Row],[RequiredField_Validation]]:ValidationTable[[#This Row],[Duplicate_Validation]],"Fail")&gt;0,
"Fail",
"Pass"
)</f>
        <v>Pass</v>
      </c>
      <c r="X324" s="11" t="str">
        <f>IF(ValidationTable[[#This Row],[Validation_Result]]="Pass","Yes","No")</f>
        <v>Yes</v>
      </c>
    </row>
    <row r="325" spans="1:24">
      <c r="A325" s="11">
        <f>RawTable[[#This Row],[Record_ID]]</f>
        <v>324</v>
      </c>
      <c r="B325" s="11" t="str">
        <f>RawTable[[#This Row],[Payment_Type]]</f>
        <v>Grant_Disbursement</v>
      </c>
      <c r="C325" s="11" t="str">
        <f>RawTable[[#This Row],[Entity_Type]]</f>
        <v>Sub-Grantee</v>
      </c>
      <c r="D325" s="11" t="str">
        <f>RawTable[[#This Row],[Country]]</f>
        <v>Switzerland</v>
      </c>
      <c r="E325" s="11" t="str">
        <f>RawTable[[#This Row],[Name]]</f>
        <v>Community Support Association</v>
      </c>
      <c r="F325" s="11" t="str">
        <f>RawTable[[#This Row],[Bank_Account]]</f>
        <v>CH930000000002566720</v>
      </c>
      <c r="G325" s="11" t="str">
        <f>RawTable[[#This Row],[Month]]</f>
        <v>Mar-2026</v>
      </c>
      <c r="H325" s="11" t="str">
        <f>RawTable[[#This Row],[Currency]]</f>
        <v>CHF</v>
      </c>
      <c r="I325" s="4">
        <f>RawTable[[#This Row],[Net_Amount]]</f>
        <v>51651.6</v>
      </c>
      <c r="J325" s="2" t="str">
        <f>RawTable[[#This Row],[VAT_Applicable]]</f>
        <v>No</v>
      </c>
      <c r="K325" s="4">
        <f>RawTable[[#This Row],[VAT_Rate]]</f>
        <v>0</v>
      </c>
      <c r="L325" s="4">
        <f>RawTable[[#This Row],[VAT_Amount]]</f>
        <v>0</v>
      </c>
      <c r="M325" s="4">
        <f>RawTable[[#This Row],[Gross_Amount]]</f>
        <v>51651.6</v>
      </c>
      <c r="N325" s="4">
        <f>RawTable[[#This Row],[Exchange_Rate]]</f>
        <v>1</v>
      </c>
      <c r="O325" s="4">
        <f>RawTable[[#This Row],[Amount_CHF]]</f>
        <v>51651.6</v>
      </c>
      <c r="P325" s="4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25" s="4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25" s="40" t="str">
        <f>IF(ValidationTable[[#This Row],[Currency]]="","Fail","Pass")</f>
        <v>Pass</v>
      </c>
      <c r="S325" s="40" t="str">
        <f>IF(
ValidationTable[[#This Row],[Currency]]="CHF",
IF(ValidationTable[[#This Row],[Exchange_Rate]]&lt;&gt;1,"Fail","Pass"),
IF(ValidationTable[[#This Row],[Exchange_Rate]]&lt;=0,"Fail","Pass")
)</f>
        <v>Pass</v>
      </c>
      <c r="T325" s="4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25" s="40" t="str">
        <f>IF(LEN(TRIM(ValidationTable[[#This Row],[Bank_Account]]))=0,"Fail","Pass")</f>
        <v>Pass</v>
      </c>
      <c r="V325" s="40" t="str">
        <f>IF(
COUNTIF(ValidationTable[Record_ID],ValidationTable[[#This Row],[Record_ID]])&gt;1,
"Fail",
"Pass"
)</f>
        <v>Pass</v>
      </c>
      <c r="W325" s="11" t="str">
        <f>IF(
COUNTIF(ValidationTable[[#This Row],[RequiredField_Validation]]:ValidationTable[[#This Row],[Duplicate_Validation]],"Fail")&gt;0,
"Fail",
"Pass"
)</f>
        <v>Pass</v>
      </c>
      <c r="X325" s="11" t="str">
        <f>IF(ValidationTable[[#This Row],[Validation_Result]]="Pass","Yes","No")</f>
        <v>Yes</v>
      </c>
    </row>
    <row r="326" spans="1:24">
      <c r="A326" s="11">
        <f>RawTable[[#This Row],[Record_ID]]</f>
        <v>325</v>
      </c>
      <c r="B326" s="11" t="str">
        <f>RawTable[[#This Row],[Payment_Type]]</f>
        <v>Grant_Disbursement</v>
      </c>
      <c r="C326" s="11" t="str">
        <f>RawTable[[#This Row],[Entity_Type]]</f>
        <v>Sub-Grantee</v>
      </c>
      <c r="D326" s="11" t="str">
        <f>RawTable[[#This Row],[Country]]</f>
        <v>Jordan</v>
      </c>
      <c r="E326" s="11" t="str">
        <f>RawTable[[#This Row],[Name]]</f>
        <v>Inclusive Futures Org</v>
      </c>
      <c r="F326" s="11" t="str">
        <f>RawTable[[#This Row],[Bank_Account]]</f>
        <v>DE890000000001398637</v>
      </c>
      <c r="G326" s="11" t="str">
        <f>RawTable[[#This Row],[Month]]</f>
        <v>Mar-2026</v>
      </c>
      <c r="H326" s="11" t="str">
        <f>RawTable[[#This Row],[Currency]]</f>
        <v>JOD</v>
      </c>
      <c r="I326" s="4">
        <f>RawTable[[#This Row],[Net_Amount]]</f>
        <v>15428.16</v>
      </c>
      <c r="J326" s="2" t="str">
        <f>RawTable[[#This Row],[VAT_Applicable]]</f>
        <v>No</v>
      </c>
      <c r="K326" s="4">
        <f>RawTable[[#This Row],[VAT_Rate]]</f>
        <v>0</v>
      </c>
      <c r="L326" s="4">
        <f>RawTable[[#This Row],[VAT_Amount]]</f>
        <v>0</v>
      </c>
      <c r="M326" s="4">
        <f>RawTable[[#This Row],[Gross_Amount]]</f>
        <v>15428.16</v>
      </c>
      <c r="N326" s="4">
        <f>RawTable[[#This Row],[Exchange_Rate]]</f>
        <v>1.08643</v>
      </c>
      <c r="O326" s="4">
        <f>RawTable[[#This Row],[Amount_CHF]]</f>
        <v>16761.62</v>
      </c>
      <c r="P326" s="4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26" s="4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26" s="40" t="str">
        <f>IF(ValidationTable[[#This Row],[Currency]]="","Fail","Pass")</f>
        <v>Pass</v>
      </c>
      <c r="S326" s="40" t="str">
        <f>IF(
ValidationTable[[#This Row],[Currency]]="CHF",
IF(ValidationTable[[#This Row],[Exchange_Rate]]&lt;&gt;1,"Fail","Pass"),
IF(ValidationTable[[#This Row],[Exchange_Rate]]&lt;=0,"Fail","Pass")
)</f>
        <v>Pass</v>
      </c>
      <c r="T326" s="4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26" s="40" t="str">
        <f>IF(LEN(TRIM(ValidationTable[[#This Row],[Bank_Account]]))=0,"Fail","Pass")</f>
        <v>Pass</v>
      </c>
      <c r="V326" s="40" t="str">
        <f>IF(
COUNTIF(ValidationTable[Record_ID],ValidationTable[[#This Row],[Record_ID]])&gt;1,
"Fail",
"Pass"
)</f>
        <v>Pass</v>
      </c>
      <c r="W326" s="11" t="str">
        <f>IF(
COUNTIF(ValidationTable[[#This Row],[RequiredField_Validation]]:ValidationTable[[#This Row],[Duplicate_Validation]],"Fail")&gt;0,
"Fail",
"Pass"
)</f>
        <v>Pass</v>
      </c>
      <c r="X326" s="11" t="str">
        <f>IF(ValidationTable[[#This Row],[Validation_Result]]="Pass","Yes","No")</f>
        <v>Yes</v>
      </c>
    </row>
    <row r="327" spans="1:24">
      <c r="A327" s="11">
        <f>RawTable[[#This Row],[Record_ID]]</f>
        <v>326</v>
      </c>
      <c r="B327" s="11" t="str">
        <f>RawTable[[#This Row],[Payment_Type]]</f>
        <v>Grant_Disbursement</v>
      </c>
      <c r="C327" s="11" t="str">
        <f>RawTable[[#This Row],[Entity_Type]]</f>
        <v>Sub-Grantee</v>
      </c>
      <c r="D327" s="11" t="str">
        <f>RawTable[[#This Row],[Country]]</f>
        <v>Jordan</v>
      </c>
      <c r="E327" s="11" t="str">
        <f>RawTable[[#This Row],[Name]]</f>
        <v>Regional Advocacy Network</v>
      </c>
      <c r="F327" s="11" t="str">
        <f>RawTable[[#This Row],[Bank_Account]]</f>
        <v>JO-IBAN-01296225</v>
      </c>
      <c r="G327" s="11" t="str">
        <f>RawTable[[#This Row],[Month]]</f>
        <v>Jan-2026</v>
      </c>
      <c r="H327" s="11" t="str">
        <f>RawTable[[#This Row],[Currency]]</f>
        <v>JOD</v>
      </c>
      <c r="I327" s="4">
        <f>RawTable[[#This Row],[Net_Amount]]</f>
        <v>14368.32</v>
      </c>
      <c r="J327" s="2" t="str">
        <f>RawTable[[#This Row],[VAT_Applicable]]</f>
        <v>No</v>
      </c>
      <c r="K327" s="4">
        <f>RawTable[[#This Row],[VAT_Rate]]</f>
        <v>0</v>
      </c>
      <c r="L327" s="4">
        <f>RawTable[[#This Row],[VAT_Amount]]</f>
        <v>0</v>
      </c>
      <c r="M327" s="4">
        <f>RawTable[[#This Row],[Gross_Amount]]</f>
        <v>14368.32</v>
      </c>
      <c r="N327" s="4">
        <f>RawTable[[#This Row],[Exchange_Rate]]</f>
        <v>1.08643</v>
      </c>
      <c r="O327" s="4">
        <f>RawTable[[#This Row],[Amount_CHF]]</f>
        <v>15610.17</v>
      </c>
      <c r="P327" s="4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27" s="4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27" s="40" t="str">
        <f>IF(ValidationTable[[#This Row],[Currency]]="","Fail","Pass")</f>
        <v>Pass</v>
      </c>
      <c r="S327" s="40" t="str">
        <f>IF(
ValidationTable[[#This Row],[Currency]]="CHF",
IF(ValidationTable[[#This Row],[Exchange_Rate]]&lt;&gt;1,"Fail","Pass"),
IF(ValidationTable[[#This Row],[Exchange_Rate]]&lt;=0,"Fail","Pass")
)</f>
        <v>Pass</v>
      </c>
      <c r="T327" s="4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27" s="40" t="str">
        <f>IF(LEN(TRIM(ValidationTable[[#This Row],[Bank_Account]]))=0,"Fail","Pass")</f>
        <v>Pass</v>
      </c>
      <c r="V327" s="40" t="str">
        <f>IF(
COUNTIF(ValidationTable[Record_ID],ValidationTable[[#This Row],[Record_ID]])&gt;1,
"Fail",
"Pass"
)</f>
        <v>Pass</v>
      </c>
      <c r="W327" s="11" t="str">
        <f>IF(
COUNTIF(ValidationTable[[#This Row],[RequiredField_Validation]]:ValidationTable[[#This Row],[Duplicate_Validation]],"Fail")&gt;0,
"Fail",
"Pass"
)</f>
        <v>Pass</v>
      </c>
      <c r="X327" s="11" t="str">
        <f>IF(ValidationTable[[#This Row],[Validation_Result]]="Pass","Yes","No")</f>
        <v>Yes</v>
      </c>
    </row>
    <row r="328" spans="1:24">
      <c r="A328" s="11">
        <f>RawTable[[#This Row],[Record_ID]]</f>
        <v>327</v>
      </c>
      <c r="B328" s="11" t="str">
        <f>RawTable[[#This Row],[Payment_Type]]</f>
        <v>Grant_Disbursement</v>
      </c>
      <c r="C328" s="11" t="str">
        <f>RawTable[[#This Row],[Entity_Type]]</f>
        <v>Sub-Grantee</v>
      </c>
      <c r="D328" s="11" t="str">
        <f>RawTable[[#This Row],[Country]]</f>
        <v>USA</v>
      </c>
      <c r="E328" s="11" t="str">
        <f>RawTable[[#This Row],[Name]]</f>
        <v>Health Access Initiative</v>
      </c>
      <c r="F328" s="11" t="str">
        <f>RawTable[[#This Row],[Bank_Account]]</f>
        <v>US-RT-000125868-AC-0000579156</v>
      </c>
      <c r="G328" s="11" t="str">
        <f>RawTable[[#This Row],[Month]]</f>
        <v>Mar-2026</v>
      </c>
      <c r="H328" s="11" t="str">
        <f>RawTable[[#This Row],[Currency]]</f>
        <v>USD</v>
      </c>
      <c r="I328" s="4">
        <f>RawTable[[#This Row],[Net_Amount]]</f>
        <v>61275.199999999997</v>
      </c>
      <c r="J328" s="2" t="str">
        <f>RawTable[[#This Row],[VAT_Applicable]]</f>
        <v>No</v>
      </c>
      <c r="K328" s="4">
        <f>RawTable[[#This Row],[VAT_Rate]]</f>
        <v>0</v>
      </c>
      <c r="L328" s="4">
        <f>RawTable[[#This Row],[VAT_Amount]]</f>
        <v>0</v>
      </c>
      <c r="M328" s="4">
        <f>RawTable[[#This Row],[Gross_Amount]]</f>
        <v>61275.199999999997</v>
      </c>
      <c r="N328" s="4">
        <f>RawTable[[#This Row],[Exchange_Rate]]</f>
        <v>0.77017999999999998</v>
      </c>
      <c r="O328" s="4">
        <f>RawTable[[#This Row],[Amount_CHF]]</f>
        <v>47192.93</v>
      </c>
      <c r="P328" s="4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28" s="4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28" s="40" t="str">
        <f>IF(ValidationTable[[#This Row],[Currency]]="","Fail","Pass")</f>
        <v>Pass</v>
      </c>
      <c r="S328" s="40" t="str">
        <f>IF(
ValidationTable[[#This Row],[Currency]]="CHF",
IF(ValidationTable[[#This Row],[Exchange_Rate]]&lt;&gt;1,"Fail","Pass"),
IF(ValidationTable[[#This Row],[Exchange_Rate]]&lt;=0,"Fail","Pass")
)</f>
        <v>Pass</v>
      </c>
      <c r="T328" s="4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28" s="40" t="str">
        <f>IF(LEN(TRIM(ValidationTable[[#This Row],[Bank_Account]]))=0,"Fail","Pass")</f>
        <v>Pass</v>
      </c>
      <c r="V328" s="40" t="str">
        <f>IF(
COUNTIF(ValidationTable[Record_ID],ValidationTable[[#This Row],[Record_ID]])&gt;1,
"Fail",
"Pass"
)</f>
        <v>Pass</v>
      </c>
      <c r="W328" s="11" t="str">
        <f>IF(
COUNTIF(ValidationTable[[#This Row],[RequiredField_Validation]]:ValidationTable[[#This Row],[Duplicate_Validation]],"Fail")&gt;0,
"Fail",
"Pass"
)</f>
        <v>Pass</v>
      </c>
      <c r="X328" s="11" t="str">
        <f>IF(ValidationTable[[#This Row],[Validation_Result]]="Pass","Yes","No")</f>
        <v>Yes</v>
      </c>
    </row>
    <row r="329" spans="1:24">
      <c r="A329" s="11">
        <f>RawTable[[#This Row],[Record_ID]]</f>
        <v>328</v>
      </c>
      <c r="B329" s="11" t="str">
        <f>RawTable[[#This Row],[Payment_Type]]</f>
        <v>Grant_Disbursement</v>
      </c>
      <c r="C329" s="11" t="str">
        <f>RawTable[[#This Row],[Entity_Type]]</f>
        <v>Sub-Grantee</v>
      </c>
      <c r="D329" s="11" t="str">
        <f>RawTable[[#This Row],[Country]]</f>
        <v>Switzerland</v>
      </c>
      <c r="E329" s="11" t="str">
        <f>RawTable[[#This Row],[Name]]</f>
        <v>Regional Advocacy Network</v>
      </c>
      <c r="F329" s="11" t="str">
        <f>RawTable[[#This Row],[Bank_Account]]</f>
        <v>JO-IBAN-01296225</v>
      </c>
      <c r="G329" s="11" t="str">
        <f>RawTable[[#This Row],[Month]]</f>
        <v>Mar-2026</v>
      </c>
      <c r="H329" s="11" t="str">
        <f>RawTable[[#This Row],[Currency]]</f>
        <v>CHF</v>
      </c>
      <c r="I329" s="4">
        <f>RawTable[[#This Row],[Net_Amount]]</f>
        <v>51885.599999999999</v>
      </c>
      <c r="J329" s="2" t="str">
        <f>RawTable[[#This Row],[VAT_Applicable]]</f>
        <v>No</v>
      </c>
      <c r="K329" s="4">
        <f>RawTable[[#This Row],[VAT_Rate]]</f>
        <v>0</v>
      </c>
      <c r="L329" s="4">
        <f>RawTable[[#This Row],[VAT_Amount]]</f>
        <v>0</v>
      </c>
      <c r="M329" s="4">
        <f>RawTable[[#This Row],[Gross_Amount]]</f>
        <v>51885.599999999999</v>
      </c>
      <c r="N329" s="4">
        <f>RawTable[[#This Row],[Exchange_Rate]]</f>
        <v>1</v>
      </c>
      <c r="O329" s="4">
        <f>RawTable[[#This Row],[Amount_CHF]]</f>
        <v>51885.599999999999</v>
      </c>
      <c r="P329" s="4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29" s="4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29" s="40" t="str">
        <f>IF(ValidationTable[[#This Row],[Currency]]="","Fail","Pass")</f>
        <v>Pass</v>
      </c>
      <c r="S329" s="40" t="str">
        <f>IF(
ValidationTable[[#This Row],[Currency]]="CHF",
IF(ValidationTable[[#This Row],[Exchange_Rate]]&lt;&gt;1,"Fail","Pass"),
IF(ValidationTable[[#This Row],[Exchange_Rate]]&lt;=0,"Fail","Pass")
)</f>
        <v>Pass</v>
      </c>
      <c r="T329" s="4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29" s="40" t="str">
        <f>IF(LEN(TRIM(ValidationTable[[#This Row],[Bank_Account]]))=0,"Fail","Pass")</f>
        <v>Pass</v>
      </c>
      <c r="V329" s="40" t="str">
        <f>IF(
COUNTIF(ValidationTable[Record_ID],ValidationTable[[#This Row],[Record_ID]])&gt;1,
"Fail",
"Pass"
)</f>
        <v>Pass</v>
      </c>
      <c r="W329" s="11" t="str">
        <f>IF(
COUNTIF(ValidationTable[[#This Row],[RequiredField_Validation]]:ValidationTable[[#This Row],[Duplicate_Validation]],"Fail")&gt;0,
"Fail",
"Pass"
)</f>
        <v>Pass</v>
      </c>
      <c r="X329" s="11" t="str">
        <f>IF(ValidationTable[[#This Row],[Validation_Result]]="Pass","Yes","No")</f>
        <v>Yes</v>
      </c>
    </row>
    <row r="330" spans="1:24">
      <c r="A330" s="11">
        <f>RawTable[[#This Row],[Record_ID]]</f>
        <v>329</v>
      </c>
      <c r="B330" s="11" t="str">
        <f>RawTable[[#This Row],[Payment_Type]]</f>
        <v>Grant_Disbursement</v>
      </c>
      <c r="C330" s="11" t="str">
        <f>RawTable[[#This Row],[Entity_Type]]</f>
        <v>Sub-Grantee</v>
      </c>
      <c r="D330" s="11" t="str">
        <f>RawTable[[#This Row],[Country]]</f>
        <v>Germany</v>
      </c>
      <c r="E330" s="11" t="str">
        <f>RawTable[[#This Row],[Name]]</f>
        <v>Community Support Association</v>
      </c>
      <c r="F330" s="11" t="str">
        <f>RawTable[[#This Row],[Bank_Account]]</f>
        <v>CH930000000002566720</v>
      </c>
      <c r="G330" s="11" t="str">
        <f>RawTable[[#This Row],[Month]]</f>
        <v>Feb-2026</v>
      </c>
      <c r="H330" s="11" t="str">
        <f>RawTable[[#This Row],[Currency]]</f>
        <v>EUR</v>
      </c>
      <c r="I330" s="4">
        <f>RawTable[[#This Row],[Net_Amount]]</f>
        <v>47678.400000000001</v>
      </c>
      <c r="J330" s="2" t="str">
        <f>RawTable[[#This Row],[VAT_Applicable]]</f>
        <v>No</v>
      </c>
      <c r="K330" s="4">
        <f>RawTable[[#This Row],[VAT_Rate]]</f>
        <v>0</v>
      </c>
      <c r="L330" s="4">
        <f>RawTable[[#This Row],[VAT_Amount]]</f>
        <v>0</v>
      </c>
      <c r="M330" s="4">
        <f>RawTable[[#This Row],[Gross_Amount]]</f>
        <v>47678.400000000001</v>
      </c>
      <c r="N330" s="4">
        <f>RawTable[[#This Row],[Exchange_Rate]]</f>
        <v>0.90888000000000002</v>
      </c>
      <c r="O330" s="4">
        <f>RawTable[[#This Row],[Amount_CHF]]</f>
        <v>43333.94</v>
      </c>
      <c r="P330" s="4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30" s="4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30" s="40" t="str">
        <f>IF(ValidationTable[[#This Row],[Currency]]="","Fail","Pass")</f>
        <v>Pass</v>
      </c>
      <c r="S330" s="40" t="str">
        <f>IF(
ValidationTable[[#This Row],[Currency]]="CHF",
IF(ValidationTable[[#This Row],[Exchange_Rate]]&lt;&gt;1,"Fail","Pass"),
IF(ValidationTable[[#This Row],[Exchange_Rate]]&lt;=0,"Fail","Pass")
)</f>
        <v>Pass</v>
      </c>
      <c r="T330" s="4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30" s="40" t="str">
        <f>IF(LEN(TRIM(ValidationTable[[#This Row],[Bank_Account]]))=0,"Fail","Pass")</f>
        <v>Pass</v>
      </c>
      <c r="V330" s="40" t="str">
        <f>IF(
COUNTIF(ValidationTable[Record_ID],ValidationTable[[#This Row],[Record_ID]])&gt;1,
"Fail",
"Pass"
)</f>
        <v>Pass</v>
      </c>
      <c r="W330" s="11" t="str">
        <f>IF(
COUNTIF(ValidationTable[[#This Row],[RequiredField_Validation]]:ValidationTable[[#This Row],[Duplicate_Validation]],"Fail")&gt;0,
"Fail",
"Pass"
)</f>
        <v>Pass</v>
      </c>
      <c r="X330" s="11" t="str">
        <f>IF(ValidationTable[[#This Row],[Validation_Result]]="Pass","Yes","No")</f>
        <v>Yes</v>
      </c>
    </row>
    <row r="331" spans="1:24">
      <c r="A331" s="11">
        <f>RawTable[[#This Row],[Record_ID]]</f>
        <v>330</v>
      </c>
      <c r="B331" s="11" t="str">
        <f>RawTable[[#This Row],[Payment_Type]]</f>
        <v>Grant_Disbursement</v>
      </c>
      <c r="C331" s="11" t="str">
        <f>RawTable[[#This Row],[Entity_Type]]</f>
        <v>Sub-Grantee</v>
      </c>
      <c r="D331" s="11" t="str">
        <f>RawTable[[#This Row],[Country]]</f>
        <v>Switzerland</v>
      </c>
      <c r="E331" s="11" t="str">
        <f>RawTable[[#This Row],[Name]]</f>
        <v>Regional Advocacy Network</v>
      </c>
      <c r="F331" s="11" t="str">
        <f>RawTable[[#This Row],[Bank_Account]]</f>
        <v>JO-IBAN-01296225</v>
      </c>
      <c r="G331" s="11" t="str">
        <f>RawTable[[#This Row],[Month]]</f>
        <v>Feb-2026</v>
      </c>
      <c r="H331" s="11" t="str">
        <f>RawTable[[#This Row],[Currency]]</f>
        <v>CHF</v>
      </c>
      <c r="I331" s="4">
        <f>RawTable[[#This Row],[Net_Amount]]</f>
        <v>51885.599999999999</v>
      </c>
      <c r="J331" s="2" t="str">
        <f>RawTable[[#This Row],[VAT_Applicable]]</f>
        <v>No</v>
      </c>
      <c r="K331" s="4">
        <f>RawTable[[#This Row],[VAT_Rate]]</f>
        <v>0</v>
      </c>
      <c r="L331" s="4">
        <f>RawTable[[#This Row],[VAT_Amount]]</f>
        <v>0</v>
      </c>
      <c r="M331" s="4">
        <f>RawTable[[#This Row],[Gross_Amount]]</f>
        <v>51885.599999999999</v>
      </c>
      <c r="N331" s="4">
        <f>RawTable[[#This Row],[Exchange_Rate]]</f>
        <v>1</v>
      </c>
      <c r="O331" s="4">
        <f>RawTable[[#This Row],[Amount_CHF]]</f>
        <v>51885.599999999999</v>
      </c>
      <c r="P331" s="4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31" s="4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31" s="40" t="str">
        <f>IF(ValidationTable[[#This Row],[Currency]]="","Fail","Pass")</f>
        <v>Pass</v>
      </c>
      <c r="S331" s="40" t="str">
        <f>IF(
ValidationTable[[#This Row],[Currency]]="CHF",
IF(ValidationTable[[#This Row],[Exchange_Rate]]&lt;&gt;1,"Fail","Pass"),
IF(ValidationTable[[#This Row],[Exchange_Rate]]&lt;=0,"Fail","Pass")
)</f>
        <v>Pass</v>
      </c>
      <c r="T331" s="4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31" s="40" t="str">
        <f>IF(LEN(TRIM(ValidationTable[[#This Row],[Bank_Account]]))=0,"Fail","Pass")</f>
        <v>Pass</v>
      </c>
      <c r="V331" s="40" t="str">
        <f>IF(
COUNTIF(ValidationTable[Record_ID],ValidationTable[[#This Row],[Record_ID]])&gt;1,
"Fail",
"Pass"
)</f>
        <v>Pass</v>
      </c>
      <c r="W331" s="11" t="str">
        <f>IF(
COUNTIF(ValidationTable[[#This Row],[RequiredField_Validation]]:ValidationTable[[#This Row],[Duplicate_Validation]],"Fail")&gt;0,
"Fail",
"Pass"
)</f>
        <v>Pass</v>
      </c>
      <c r="X331" s="11" t="str">
        <f>IF(ValidationTable[[#This Row],[Validation_Result]]="Pass","Yes","No")</f>
        <v>Yes</v>
      </c>
    </row>
    <row r="332" spans="1:24">
      <c r="A332" s="11">
        <f>RawTable[[#This Row],[Record_ID]]</f>
        <v>331</v>
      </c>
      <c r="B332" s="11" t="str">
        <f>RawTable[[#This Row],[Payment_Type]]</f>
        <v>Grant_Disbursement</v>
      </c>
      <c r="C332" s="11" t="str">
        <f>RawTable[[#This Row],[Entity_Type]]</f>
        <v>Sub-Grantee</v>
      </c>
      <c r="D332" s="11" t="str">
        <f>RawTable[[#This Row],[Country]]</f>
        <v>UAE</v>
      </c>
      <c r="E332" s="11" t="str">
        <f>RawTable[[#This Row],[Name]]</f>
        <v>Community Support Association</v>
      </c>
      <c r="F332" s="11" t="str">
        <f>RawTable[[#This Row],[Bank_Account]]</f>
        <v>CH930000000002566720</v>
      </c>
      <c r="G332" s="11" t="str">
        <f>RawTable[[#This Row],[Month]]</f>
        <v>Feb-2026</v>
      </c>
      <c r="H332" s="11" t="str">
        <f>RawTable[[#This Row],[Currency]]</f>
        <v>AED</v>
      </c>
      <c r="I332" s="4">
        <f>RawTable[[#This Row],[Net_Amount]]</f>
        <v>174820.8</v>
      </c>
      <c r="J332" s="2" t="str">
        <f>RawTable[[#This Row],[VAT_Applicable]]</f>
        <v>No</v>
      </c>
      <c r="K332" s="4">
        <f>RawTable[[#This Row],[VAT_Rate]]</f>
        <v>0</v>
      </c>
      <c r="L332" s="4">
        <f>RawTable[[#This Row],[VAT_Amount]]</f>
        <v>0</v>
      </c>
      <c r="M332" s="4">
        <f>RawTable[[#This Row],[Gross_Amount]]</f>
        <v>174820.8</v>
      </c>
      <c r="N332" s="4">
        <f>RawTable[[#This Row],[Exchange_Rate]]</f>
        <v>0.21065</v>
      </c>
      <c r="O332" s="4">
        <f>RawTable[[#This Row],[Amount_CHF]]</f>
        <v>36826</v>
      </c>
      <c r="P332" s="4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32" s="4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32" s="40" t="str">
        <f>IF(ValidationTable[[#This Row],[Currency]]="","Fail","Pass")</f>
        <v>Pass</v>
      </c>
      <c r="S332" s="40" t="str">
        <f>IF(
ValidationTable[[#This Row],[Currency]]="CHF",
IF(ValidationTable[[#This Row],[Exchange_Rate]]&lt;&gt;1,"Fail","Pass"),
IF(ValidationTable[[#This Row],[Exchange_Rate]]&lt;=0,"Fail","Pass")
)</f>
        <v>Pass</v>
      </c>
      <c r="T332" s="4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32" s="40" t="str">
        <f>IF(LEN(TRIM(ValidationTable[[#This Row],[Bank_Account]]))=0,"Fail","Pass")</f>
        <v>Pass</v>
      </c>
      <c r="V332" s="40" t="str">
        <f>IF(
COUNTIF(ValidationTable[Record_ID],ValidationTable[[#This Row],[Record_ID]])&gt;1,
"Fail",
"Pass"
)</f>
        <v>Pass</v>
      </c>
      <c r="W332" s="11" t="str">
        <f>IF(
COUNTIF(ValidationTable[[#This Row],[RequiredField_Validation]]:ValidationTable[[#This Row],[Duplicate_Validation]],"Fail")&gt;0,
"Fail",
"Pass"
)</f>
        <v>Pass</v>
      </c>
      <c r="X332" s="11" t="str">
        <f>IF(ValidationTable[[#This Row],[Validation_Result]]="Pass","Yes","No")</f>
        <v>Yes</v>
      </c>
    </row>
    <row r="333" spans="1:24">
      <c r="A333" s="11">
        <f>RawTable[[#This Row],[Record_ID]]</f>
        <v>332</v>
      </c>
      <c r="B333" s="11" t="str">
        <f>RawTable[[#This Row],[Payment_Type]]</f>
        <v>Grant_Disbursement</v>
      </c>
      <c r="C333" s="11" t="str">
        <f>RawTable[[#This Row],[Entity_Type]]</f>
        <v>Sub-Grantee</v>
      </c>
      <c r="D333" s="11" t="str">
        <f>RawTable[[#This Row],[Country]]</f>
        <v>USA</v>
      </c>
      <c r="E333" s="11" t="str">
        <f>RawTable[[#This Row],[Name]]</f>
        <v>Health Access Initiative</v>
      </c>
      <c r="F333" s="11" t="str">
        <f>RawTable[[#This Row],[Bank_Account]]</f>
        <v>US-RT-000125868-AC-0000579156</v>
      </c>
      <c r="G333" s="11" t="str">
        <f>RawTable[[#This Row],[Month]]</f>
        <v>Feb-2026</v>
      </c>
      <c r="H333" s="11" t="str">
        <f>RawTable[[#This Row],[Currency]]</f>
        <v>USD</v>
      </c>
      <c r="I333" s="4">
        <f>RawTable[[#This Row],[Net_Amount]]</f>
        <v>61275.199999999997</v>
      </c>
      <c r="J333" s="2" t="str">
        <f>RawTable[[#This Row],[VAT_Applicable]]</f>
        <v>No</v>
      </c>
      <c r="K333" s="4">
        <f>RawTable[[#This Row],[VAT_Rate]]</f>
        <v>0</v>
      </c>
      <c r="L333" s="4">
        <f>RawTable[[#This Row],[VAT_Amount]]</f>
        <v>0</v>
      </c>
      <c r="M333" s="4">
        <f>RawTable[[#This Row],[Gross_Amount]]</f>
        <v>61275.199999999997</v>
      </c>
      <c r="N333" s="4">
        <f>RawTable[[#This Row],[Exchange_Rate]]</f>
        <v>0.77017999999999998</v>
      </c>
      <c r="O333" s="4">
        <f>RawTable[[#This Row],[Amount_CHF]]</f>
        <v>47192.93</v>
      </c>
      <c r="P333" s="4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33" s="4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33" s="40" t="str">
        <f>IF(ValidationTable[[#This Row],[Currency]]="","Fail","Pass")</f>
        <v>Pass</v>
      </c>
      <c r="S333" s="40" t="str">
        <f>IF(
ValidationTable[[#This Row],[Currency]]="CHF",
IF(ValidationTable[[#This Row],[Exchange_Rate]]&lt;&gt;1,"Fail","Pass"),
IF(ValidationTable[[#This Row],[Exchange_Rate]]&lt;=0,"Fail","Pass")
)</f>
        <v>Pass</v>
      </c>
      <c r="T333" s="4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33" s="40" t="str">
        <f>IF(LEN(TRIM(ValidationTable[[#This Row],[Bank_Account]]))=0,"Fail","Pass")</f>
        <v>Pass</v>
      </c>
      <c r="V333" s="40" t="str">
        <f>IF(
COUNTIF(ValidationTable[Record_ID],ValidationTable[[#This Row],[Record_ID]])&gt;1,
"Fail",
"Pass"
)</f>
        <v>Pass</v>
      </c>
      <c r="W333" s="11" t="str">
        <f>IF(
COUNTIF(ValidationTable[[#This Row],[RequiredField_Validation]]:ValidationTable[[#This Row],[Duplicate_Validation]],"Fail")&gt;0,
"Fail",
"Pass"
)</f>
        <v>Pass</v>
      </c>
      <c r="X333" s="11" t="str">
        <f>IF(ValidationTable[[#This Row],[Validation_Result]]="Pass","Yes","No")</f>
        <v>Yes</v>
      </c>
    </row>
    <row r="334" spans="1:24" hidden="1">
      <c r="A334" s="11">
        <f>RawTable[[#This Row],[Record_ID]]</f>
        <v>333</v>
      </c>
      <c r="B334" s="11" t="str">
        <f>RawTable[[#This Row],[Payment_Type]]</f>
        <v>Grant_Disbursement</v>
      </c>
      <c r="C334" s="11" t="str">
        <f>RawTable[[#This Row],[Entity_Type]]</f>
        <v>Sub-Grantee</v>
      </c>
      <c r="D334" s="11" t="str">
        <f>RawTable[[#This Row],[Country]]</f>
        <v>USA</v>
      </c>
      <c r="E334" s="11" t="str">
        <f>RawTable[[#This Row],[Name]]</f>
        <v>Health Access Initiative</v>
      </c>
      <c r="F334" s="11" t="str">
        <f>RawTable[[#This Row],[Bank_Account]]</f>
        <v>US-RT-000125868-AC-0000579156</v>
      </c>
      <c r="G334" s="11" t="str">
        <f>RawTable[[#This Row],[Month]]</f>
        <v>Mar-2026</v>
      </c>
      <c r="H334" s="11" t="str">
        <f>RawTable[[#This Row],[Currency]]</f>
        <v>USD</v>
      </c>
      <c r="I334" s="4">
        <f>RawTable[[#This Row],[Net_Amount]]</f>
        <v>61275.199999999997</v>
      </c>
      <c r="J334" s="2" t="str">
        <f>RawTable[[#This Row],[VAT_Applicable]]</f>
        <v>No</v>
      </c>
      <c r="K334" s="4">
        <f>RawTable[[#This Row],[VAT_Rate]]</f>
        <v>0</v>
      </c>
      <c r="L334" s="4">
        <f>RawTable[[#This Row],[VAT_Amount]]</f>
        <v>0</v>
      </c>
      <c r="M334" s="4">
        <f>RawTable[[#This Row],[Gross_Amount]]</f>
        <v>61333</v>
      </c>
      <c r="N334" s="4">
        <f>RawTable[[#This Row],[Exchange_Rate]]</f>
        <v>0.77017999999999998</v>
      </c>
      <c r="O334" s="4">
        <f>RawTable[[#This Row],[Amount_CHF]]</f>
        <v>47237.45</v>
      </c>
      <c r="P334" s="4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34" s="40" t="str">
        <f>IF(
OR(ValidationTable[[#This Row],[Net_Amount]]&lt;=0,
ROUND(ValidationTable[[#This Row],[Net_Amount]]+ValidationTable[[#This Row],[VAT_Amount]],2)&lt;&gt;ROUND(ValidationTable[[#This Row],[Gross_Amount]],2)
),
"Fail",
"Pass"
)</f>
        <v>Fail</v>
      </c>
      <c r="R334" s="40" t="str">
        <f>IF(ValidationTable[[#This Row],[Currency]]="","Fail","Pass")</f>
        <v>Pass</v>
      </c>
      <c r="S334" s="40" t="str">
        <f>IF(
ValidationTable[[#This Row],[Currency]]="CHF",
IF(ValidationTable[[#This Row],[Exchange_Rate]]&lt;&gt;1,"Fail","Pass"),
IF(ValidationTable[[#This Row],[Exchange_Rate]]&lt;=0,"Fail","Pass")
)</f>
        <v>Pass</v>
      </c>
      <c r="T334" s="4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34" s="40" t="str">
        <f>IF(LEN(TRIM(ValidationTable[[#This Row],[Bank_Account]]))=0,"Fail","Pass")</f>
        <v>Pass</v>
      </c>
      <c r="V334" s="40" t="str">
        <f>IF(
COUNTIF(ValidationTable[Record_ID],ValidationTable[[#This Row],[Record_ID]])&gt;1,
"Fail",
"Pass"
)</f>
        <v>Pass</v>
      </c>
      <c r="W334" s="11" t="str">
        <f>IF(
COUNTIF(ValidationTable[[#This Row],[RequiredField_Validation]]:ValidationTable[[#This Row],[Duplicate_Validation]],"Fail")&gt;0,
"Fail",
"Pass"
)</f>
        <v>Fail</v>
      </c>
      <c r="X334" s="11" t="str">
        <f>IF(ValidationTable[[#This Row],[Validation_Result]]="Pass","Yes","No")</f>
        <v>No</v>
      </c>
    </row>
    <row r="335" spans="1:24">
      <c r="A335" s="11">
        <f>RawTable[[#This Row],[Record_ID]]</f>
        <v>334</v>
      </c>
      <c r="B335" s="11" t="str">
        <f>RawTable[[#This Row],[Payment_Type]]</f>
        <v>Grant_Disbursement</v>
      </c>
      <c r="C335" s="11" t="str">
        <f>RawTable[[#This Row],[Entity_Type]]</f>
        <v>Sub-Grantee</v>
      </c>
      <c r="D335" s="11" t="str">
        <f>RawTable[[#This Row],[Country]]</f>
        <v>Jordan</v>
      </c>
      <c r="E335" s="11" t="str">
        <f>RawTable[[#This Row],[Name]]</f>
        <v>Regional Advocacy Network</v>
      </c>
      <c r="F335" s="11" t="str">
        <f>RawTable[[#This Row],[Bank_Account]]</f>
        <v>JO-IBAN-01296225</v>
      </c>
      <c r="G335" s="11" t="str">
        <f>RawTable[[#This Row],[Month]]</f>
        <v>Jan-2026</v>
      </c>
      <c r="H335" s="11" t="str">
        <f>RawTable[[#This Row],[Currency]]</f>
        <v>JOD</v>
      </c>
      <c r="I335" s="4">
        <f>RawTable[[#This Row],[Net_Amount]]</f>
        <v>14368.32</v>
      </c>
      <c r="J335" s="2" t="str">
        <f>RawTable[[#This Row],[VAT_Applicable]]</f>
        <v>No</v>
      </c>
      <c r="K335" s="4">
        <f>RawTable[[#This Row],[VAT_Rate]]</f>
        <v>0</v>
      </c>
      <c r="L335" s="4">
        <f>RawTable[[#This Row],[VAT_Amount]]</f>
        <v>0</v>
      </c>
      <c r="M335" s="4">
        <f>RawTable[[#This Row],[Gross_Amount]]</f>
        <v>14368.32</v>
      </c>
      <c r="N335" s="4">
        <f>RawTable[[#This Row],[Exchange_Rate]]</f>
        <v>1.08643</v>
      </c>
      <c r="O335" s="4">
        <f>RawTable[[#This Row],[Amount_CHF]]</f>
        <v>15610.17</v>
      </c>
      <c r="P335" s="4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35" s="4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35" s="40" t="str">
        <f>IF(ValidationTable[[#This Row],[Currency]]="","Fail","Pass")</f>
        <v>Pass</v>
      </c>
      <c r="S335" s="40" t="str">
        <f>IF(
ValidationTable[[#This Row],[Currency]]="CHF",
IF(ValidationTable[[#This Row],[Exchange_Rate]]&lt;&gt;1,"Fail","Pass"),
IF(ValidationTable[[#This Row],[Exchange_Rate]]&lt;=0,"Fail","Pass")
)</f>
        <v>Pass</v>
      </c>
      <c r="T335" s="4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35" s="40" t="str">
        <f>IF(LEN(TRIM(ValidationTable[[#This Row],[Bank_Account]]))=0,"Fail","Pass")</f>
        <v>Pass</v>
      </c>
      <c r="V335" s="40" t="str">
        <f>IF(
COUNTIF(ValidationTable[Record_ID],ValidationTable[[#This Row],[Record_ID]])&gt;1,
"Fail",
"Pass"
)</f>
        <v>Pass</v>
      </c>
      <c r="W335" s="11" t="str">
        <f>IF(
COUNTIF(ValidationTable[[#This Row],[RequiredField_Validation]]:ValidationTable[[#This Row],[Duplicate_Validation]],"Fail")&gt;0,
"Fail",
"Pass"
)</f>
        <v>Pass</v>
      </c>
      <c r="X335" s="11" t="str">
        <f>IF(ValidationTable[[#This Row],[Validation_Result]]="Pass","Yes","No")</f>
        <v>Yes</v>
      </c>
    </row>
    <row r="336" spans="1:24">
      <c r="A336" s="11">
        <f>RawTable[[#This Row],[Record_ID]]</f>
        <v>335</v>
      </c>
      <c r="B336" s="11" t="str">
        <f>RawTable[[#This Row],[Payment_Type]]</f>
        <v>Grant_Disbursement</v>
      </c>
      <c r="C336" s="11" t="str">
        <f>RawTable[[#This Row],[Entity_Type]]</f>
        <v>Sub-Grantee</v>
      </c>
      <c r="D336" s="11" t="str">
        <f>RawTable[[#This Row],[Country]]</f>
        <v>Switzerland</v>
      </c>
      <c r="E336" s="11" t="str">
        <f>RawTable[[#This Row],[Name]]</f>
        <v>Equality &amp; Rights Foundation</v>
      </c>
      <c r="F336" s="11" t="str">
        <f>RawTable[[#This Row],[Bank_Account]]</f>
        <v>CH930000000002616080</v>
      </c>
      <c r="G336" s="11" t="str">
        <f>RawTable[[#This Row],[Month]]</f>
        <v>Jan-2026</v>
      </c>
      <c r="H336" s="11" t="str">
        <f>RawTable[[#This Row],[Currency]]</f>
        <v>CHF</v>
      </c>
      <c r="I336" s="4">
        <f>RawTable[[#This Row],[Net_Amount]]</f>
        <v>50887.199999999997</v>
      </c>
      <c r="J336" s="2" t="str">
        <f>RawTable[[#This Row],[VAT_Applicable]]</f>
        <v>No</v>
      </c>
      <c r="K336" s="4">
        <f>RawTable[[#This Row],[VAT_Rate]]</f>
        <v>0</v>
      </c>
      <c r="L336" s="4">
        <f>RawTable[[#This Row],[VAT_Amount]]</f>
        <v>0</v>
      </c>
      <c r="M336" s="4">
        <f>RawTable[[#This Row],[Gross_Amount]]</f>
        <v>50887.199999999997</v>
      </c>
      <c r="N336" s="4">
        <f>RawTable[[#This Row],[Exchange_Rate]]</f>
        <v>1</v>
      </c>
      <c r="O336" s="4">
        <f>RawTable[[#This Row],[Amount_CHF]]</f>
        <v>50887.199999999997</v>
      </c>
      <c r="P336" s="4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36" s="4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36" s="40" t="str">
        <f>IF(ValidationTable[[#This Row],[Currency]]="","Fail","Pass")</f>
        <v>Pass</v>
      </c>
      <c r="S336" s="40" t="str">
        <f>IF(
ValidationTable[[#This Row],[Currency]]="CHF",
IF(ValidationTable[[#This Row],[Exchange_Rate]]&lt;&gt;1,"Fail","Pass"),
IF(ValidationTable[[#This Row],[Exchange_Rate]]&lt;=0,"Fail","Pass")
)</f>
        <v>Pass</v>
      </c>
      <c r="T336" s="4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36" s="40" t="str">
        <f>IF(LEN(TRIM(ValidationTable[[#This Row],[Bank_Account]]))=0,"Fail","Pass")</f>
        <v>Pass</v>
      </c>
      <c r="V336" s="40" t="str">
        <f>IF(
COUNTIF(ValidationTable[Record_ID],ValidationTable[[#This Row],[Record_ID]])&gt;1,
"Fail",
"Pass"
)</f>
        <v>Pass</v>
      </c>
      <c r="W336" s="11" t="str">
        <f>IF(
COUNTIF(ValidationTable[[#This Row],[RequiredField_Validation]]:ValidationTable[[#This Row],[Duplicate_Validation]],"Fail")&gt;0,
"Fail",
"Pass"
)</f>
        <v>Pass</v>
      </c>
      <c r="X336" s="11" t="str">
        <f>IF(ValidationTable[[#This Row],[Validation_Result]]="Pass","Yes","No")</f>
        <v>Yes</v>
      </c>
    </row>
    <row r="337" spans="1:24">
      <c r="A337" s="11">
        <f>RawTable[[#This Row],[Record_ID]]</f>
        <v>336</v>
      </c>
      <c r="B337" s="11" t="str">
        <f>RawTable[[#This Row],[Payment_Type]]</f>
        <v>Grant_Disbursement</v>
      </c>
      <c r="C337" s="11" t="str">
        <f>RawTable[[#This Row],[Entity_Type]]</f>
        <v>Sub-Grantee</v>
      </c>
      <c r="D337" s="11" t="str">
        <f>RawTable[[#This Row],[Country]]</f>
        <v>Germany</v>
      </c>
      <c r="E337" s="11" t="str">
        <f>RawTable[[#This Row],[Name]]</f>
        <v>Youth Empowerment Center</v>
      </c>
      <c r="F337" s="11" t="str">
        <f>RawTable[[#This Row],[Bank_Account]]</f>
        <v>DE890000000001452953</v>
      </c>
      <c r="G337" s="11" t="str">
        <f>RawTable[[#This Row],[Month]]</f>
        <v>Jan-2026</v>
      </c>
      <c r="H337" s="11" t="str">
        <f>RawTable[[#This Row],[Currency]]</f>
        <v>EUR</v>
      </c>
      <c r="I337" s="4">
        <f>RawTable[[#This Row],[Net_Amount]]</f>
        <v>52680</v>
      </c>
      <c r="J337" s="2" t="str">
        <f>RawTable[[#This Row],[VAT_Applicable]]</f>
        <v>No</v>
      </c>
      <c r="K337" s="4">
        <f>RawTable[[#This Row],[VAT_Rate]]</f>
        <v>0</v>
      </c>
      <c r="L337" s="4">
        <f>RawTable[[#This Row],[VAT_Amount]]</f>
        <v>0</v>
      </c>
      <c r="M337" s="4">
        <f>RawTable[[#This Row],[Gross_Amount]]</f>
        <v>52680</v>
      </c>
      <c r="N337" s="4">
        <f>RawTable[[#This Row],[Exchange_Rate]]</f>
        <v>0.90888000000000002</v>
      </c>
      <c r="O337" s="4">
        <f>RawTable[[#This Row],[Amount_CHF]]</f>
        <v>47879.8</v>
      </c>
      <c r="P337" s="4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37" s="4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37" s="40" t="str">
        <f>IF(ValidationTable[[#This Row],[Currency]]="","Fail","Pass")</f>
        <v>Pass</v>
      </c>
      <c r="S337" s="40" t="str">
        <f>IF(
ValidationTable[[#This Row],[Currency]]="CHF",
IF(ValidationTable[[#This Row],[Exchange_Rate]]&lt;&gt;1,"Fail","Pass"),
IF(ValidationTable[[#This Row],[Exchange_Rate]]&lt;=0,"Fail","Pass")
)</f>
        <v>Pass</v>
      </c>
      <c r="T337" s="4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37" s="40" t="str">
        <f>IF(LEN(TRIM(ValidationTable[[#This Row],[Bank_Account]]))=0,"Fail","Pass")</f>
        <v>Pass</v>
      </c>
      <c r="V337" s="40" t="str">
        <f>IF(
COUNTIF(ValidationTable[Record_ID],ValidationTable[[#This Row],[Record_ID]])&gt;1,
"Fail",
"Pass"
)</f>
        <v>Pass</v>
      </c>
      <c r="W337" s="11" t="str">
        <f>IF(
COUNTIF(ValidationTable[[#This Row],[RequiredField_Validation]]:ValidationTable[[#This Row],[Duplicate_Validation]],"Fail")&gt;0,
"Fail",
"Pass"
)</f>
        <v>Pass</v>
      </c>
      <c r="X337" s="11" t="str">
        <f>IF(ValidationTable[[#This Row],[Validation_Result]]="Pass","Yes","No")</f>
        <v>Yes</v>
      </c>
    </row>
    <row r="338" spans="1:24">
      <c r="A338" s="11">
        <f>RawTable[[#This Row],[Record_ID]]</f>
        <v>337</v>
      </c>
      <c r="B338" s="11" t="str">
        <f>RawTable[[#This Row],[Payment_Type]]</f>
        <v>Grant_Disbursement</v>
      </c>
      <c r="C338" s="11" t="str">
        <f>RawTable[[#This Row],[Entity_Type]]</f>
        <v>Sub-Grantee</v>
      </c>
      <c r="D338" s="11" t="str">
        <f>RawTable[[#This Row],[Country]]</f>
        <v>Jordan</v>
      </c>
      <c r="E338" s="11" t="str">
        <f>RawTable[[#This Row],[Name]]</f>
        <v>Inclusive Futures Org</v>
      </c>
      <c r="F338" s="11" t="str">
        <f>RawTable[[#This Row],[Bank_Account]]</f>
        <v>DE890000000001398637</v>
      </c>
      <c r="G338" s="11" t="str">
        <f>RawTable[[#This Row],[Month]]</f>
        <v>Feb-2026</v>
      </c>
      <c r="H338" s="11" t="str">
        <f>RawTable[[#This Row],[Currency]]</f>
        <v>JOD</v>
      </c>
      <c r="I338" s="4">
        <f>RawTable[[#This Row],[Net_Amount]]</f>
        <v>15428.16</v>
      </c>
      <c r="J338" s="2" t="str">
        <f>RawTable[[#This Row],[VAT_Applicable]]</f>
        <v>No</v>
      </c>
      <c r="K338" s="4">
        <f>RawTable[[#This Row],[VAT_Rate]]</f>
        <v>0</v>
      </c>
      <c r="L338" s="4">
        <f>RawTable[[#This Row],[VAT_Amount]]</f>
        <v>0</v>
      </c>
      <c r="M338" s="4">
        <f>RawTable[[#This Row],[Gross_Amount]]</f>
        <v>15428.16</v>
      </c>
      <c r="N338" s="4">
        <f>RawTable[[#This Row],[Exchange_Rate]]</f>
        <v>1.08643</v>
      </c>
      <c r="O338" s="4">
        <f>RawTable[[#This Row],[Amount_CHF]]</f>
        <v>16761.62</v>
      </c>
      <c r="P338" s="4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38" s="4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38" s="40" t="str">
        <f>IF(ValidationTable[[#This Row],[Currency]]="","Fail","Pass")</f>
        <v>Pass</v>
      </c>
      <c r="S338" s="40" t="str">
        <f>IF(
ValidationTable[[#This Row],[Currency]]="CHF",
IF(ValidationTable[[#This Row],[Exchange_Rate]]&lt;&gt;1,"Fail","Pass"),
IF(ValidationTable[[#This Row],[Exchange_Rate]]&lt;=0,"Fail","Pass")
)</f>
        <v>Pass</v>
      </c>
      <c r="T338" s="4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38" s="40" t="str">
        <f>IF(LEN(TRIM(ValidationTable[[#This Row],[Bank_Account]]))=0,"Fail","Pass")</f>
        <v>Pass</v>
      </c>
      <c r="V338" s="40" t="str">
        <f>IF(
COUNTIF(ValidationTable[Record_ID],ValidationTable[[#This Row],[Record_ID]])&gt;1,
"Fail",
"Pass"
)</f>
        <v>Pass</v>
      </c>
      <c r="W338" s="11" t="str">
        <f>IF(
COUNTIF(ValidationTable[[#This Row],[RequiredField_Validation]]:ValidationTable[[#This Row],[Duplicate_Validation]],"Fail")&gt;0,
"Fail",
"Pass"
)</f>
        <v>Pass</v>
      </c>
      <c r="X338" s="11" t="str">
        <f>IF(ValidationTable[[#This Row],[Validation_Result]]="Pass","Yes","No")</f>
        <v>Yes</v>
      </c>
    </row>
    <row r="339" spans="1:24">
      <c r="A339" s="11">
        <f>RawTable[[#This Row],[Record_ID]]</f>
        <v>338</v>
      </c>
      <c r="B339" s="11" t="str">
        <f>RawTable[[#This Row],[Payment_Type]]</f>
        <v>Grant_Disbursement</v>
      </c>
      <c r="C339" s="11" t="str">
        <f>RawTable[[#This Row],[Entity_Type]]</f>
        <v>Sub-Grantee</v>
      </c>
      <c r="D339" s="11" t="str">
        <f>RawTable[[#This Row],[Country]]</f>
        <v>USA</v>
      </c>
      <c r="E339" s="11" t="str">
        <f>RawTable[[#This Row],[Name]]</f>
        <v>Inclusive Futures Org</v>
      </c>
      <c r="F339" s="11" t="str">
        <f>RawTable[[#This Row],[Bank_Account]]</f>
        <v>DE890000000001398637</v>
      </c>
      <c r="G339" s="11" t="str">
        <f>RawTable[[#This Row],[Month]]</f>
        <v>Feb-2026</v>
      </c>
      <c r="H339" s="11" t="str">
        <f>RawTable[[#This Row],[Currency]]</f>
        <v>USD</v>
      </c>
      <c r="I339" s="4">
        <f>RawTable[[#This Row],[Net_Amount]]</f>
        <v>59998.400000000001</v>
      </c>
      <c r="J339" s="2" t="str">
        <f>RawTable[[#This Row],[VAT_Applicable]]</f>
        <v>No</v>
      </c>
      <c r="K339" s="4">
        <f>RawTable[[#This Row],[VAT_Rate]]</f>
        <v>0</v>
      </c>
      <c r="L339" s="4">
        <f>RawTable[[#This Row],[VAT_Amount]]</f>
        <v>0</v>
      </c>
      <c r="M339" s="4">
        <f>RawTable[[#This Row],[Gross_Amount]]</f>
        <v>59998.400000000001</v>
      </c>
      <c r="N339" s="4">
        <f>RawTable[[#This Row],[Exchange_Rate]]</f>
        <v>0.77017999999999998</v>
      </c>
      <c r="O339" s="4">
        <f>RawTable[[#This Row],[Amount_CHF]]</f>
        <v>46209.57</v>
      </c>
      <c r="P339" s="4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39" s="4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39" s="40" t="str">
        <f>IF(ValidationTable[[#This Row],[Currency]]="","Fail","Pass")</f>
        <v>Pass</v>
      </c>
      <c r="S339" s="40" t="str">
        <f>IF(
ValidationTable[[#This Row],[Currency]]="CHF",
IF(ValidationTable[[#This Row],[Exchange_Rate]]&lt;&gt;1,"Fail","Pass"),
IF(ValidationTable[[#This Row],[Exchange_Rate]]&lt;=0,"Fail","Pass")
)</f>
        <v>Pass</v>
      </c>
      <c r="T339" s="4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39" s="40" t="str">
        <f>IF(LEN(TRIM(ValidationTable[[#This Row],[Bank_Account]]))=0,"Fail","Pass")</f>
        <v>Pass</v>
      </c>
      <c r="V339" s="40" t="str">
        <f>IF(
COUNTIF(ValidationTable[Record_ID],ValidationTable[[#This Row],[Record_ID]])&gt;1,
"Fail",
"Pass"
)</f>
        <v>Pass</v>
      </c>
      <c r="W339" s="11" t="str">
        <f>IF(
COUNTIF(ValidationTable[[#This Row],[RequiredField_Validation]]:ValidationTable[[#This Row],[Duplicate_Validation]],"Fail")&gt;0,
"Fail",
"Pass"
)</f>
        <v>Pass</v>
      </c>
      <c r="X339" s="11" t="str">
        <f>IF(ValidationTable[[#This Row],[Validation_Result]]="Pass","Yes","No")</f>
        <v>Yes</v>
      </c>
    </row>
    <row r="340" spans="1:24">
      <c r="A340" s="11">
        <f>RawTable[[#This Row],[Record_ID]]</f>
        <v>339</v>
      </c>
      <c r="B340" s="11" t="str">
        <f>RawTable[[#This Row],[Payment_Type]]</f>
        <v>Grant_Disbursement</v>
      </c>
      <c r="C340" s="11" t="str">
        <f>RawTable[[#This Row],[Entity_Type]]</f>
        <v>Sub-Grantee</v>
      </c>
      <c r="D340" s="11" t="str">
        <f>RawTable[[#This Row],[Country]]</f>
        <v>Switzerland</v>
      </c>
      <c r="E340" s="11" t="str">
        <f>RawTable[[#This Row],[Name]]</f>
        <v>Community Support Association</v>
      </c>
      <c r="F340" s="11" t="str">
        <f>RawTable[[#This Row],[Bank_Account]]</f>
        <v>CH930000000002566720</v>
      </c>
      <c r="G340" s="11" t="str">
        <f>RawTable[[#This Row],[Month]]</f>
        <v>Mar-2026</v>
      </c>
      <c r="H340" s="11" t="str">
        <f>RawTable[[#This Row],[Currency]]</f>
        <v>CHF</v>
      </c>
      <c r="I340" s="4">
        <f>RawTable[[#This Row],[Net_Amount]]</f>
        <v>51651.6</v>
      </c>
      <c r="J340" s="2" t="str">
        <f>RawTable[[#This Row],[VAT_Applicable]]</f>
        <v>No</v>
      </c>
      <c r="K340" s="4">
        <f>RawTable[[#This Row],[VAT_Rate]]</f>
        <v>0</v>
      </c>
      <c r="L340" s="4">
        <f>RawTable[[#This Row],[VAT_Amount]]</f>
        <v>0</v>
      </c>
      <c r="M340" s="4">
        <f>RawTable[[#This Row],[Gross_Amount]]</f>
        <v>51651.6</v>
      </c>
      <c r="N340" s="4">
        <f>RawTable[[#This Row],[Exchange_Rate]]</f>
        <v>1</v>
      </c>
      <c r="O340" s="4">
        <f>RawTable[[#This Row],[Amount_CHF]]</f>
        <v>51651.6</v>
      </c>
      <c r="P340" s="4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40" s="4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40" s="40" t="str">
        <f>IF(ValidationTable[[#This Row],[Currency]]="","Fail","Pass")</f>
        <v>Pass</v>
      </c>
      <c r="S340" s="40" t="str">
        <f>IF(
ValidationTable[[#This Row],[Currency]]="CHF",
IF(ValidationTable[[#This Row],[Exchange_Rate]]&lt;&gt;1,"Fail","Pass"),
IF(ValidationTable[[#This Row],[Exchange_Rate]]&lt;=0,"Fail","Pass")
)</f>
        <v>Pass</v>
      </c>
      <c r="T340" s="4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40" s="40" t="str">
        <f>IF(LEN(TRIM(ValidationTable[[#This Row],[Bank_Account]]))=0,"Fail","Pass")</f>
        <v>Pass</v>
      </c>
      <c r="V340" s="40" t="str">
        <f>IF(
COUNTIF(ValidationTable[Record_ID],ValidationTable[[#This Row],[Record_ID]])&gt;1,
"Fail",
"Pass"
)</f>
        <v>Pass</v>
      </c>
      <c r="W340" s="11" t="str">
        <f>IF(
COUNTIF(ValidationTable[[#This Row],[RequiredField_Validation]]:ValidationTable[[#This Row],[Duplicate_Validation]],"Fail")&gt;0,
"Fail",
"Pass"
)</f>
        <v>Pass</v>
      </c>
      <c r="X340" s="11" t="str">
        <f>IF(ValidationTable[[#This Row],[Validation_Result]]="Pass","Yes","No")</f>
        <v>Yes</v>
      </c>
    </row>
    <row r="341" spans="1:24">
      <c r="A341" s="11">
        <f>RawTable[[#This Row],[Record_ID]]</f>
        <v>340</v>
      </c>
      <c r="B341" s="11" t="str">
        <f>RawTable[[#This Row],[Payment_Type]]</f>
        <v>Grant_Disbursement</v>
      </c>
      <c r="C341" s="11" t="str">
        <f>RawTable[[#This Row],[Entity_Type]]</f>
        <v>Sub-Grantee</v>
      </c>
      <c r="D341" s="11" t="str">
        <f>RawTable[[#This Row],[Country]]</f>
        <v>USA</v>
      </c>
      <c r="E341" s="11" t="str">
        <f>RawTable[[#This Row],[Name]]</f>
        <v>Inclusive Futures Org</v>
      </c>
      <c r="F341" s="11" t="str">
        <f>RawTable[[#This Row],[Bank_Account]]</f>
        <v>DE890000000001398637</v>
      </c>
      <c r="G341" s="11" t="str">
        <f>RawTable[[#This Row],[Month]]</f>
        <v>Jan-2026</v>
      </c>
      <c r="H341" s="11" t="str">
        <f>RawTable[[#This Row],[Currency]]</f>
        <v>USD</v>
      </c>
      <c r="I341" s="4">
        <f>RawTable[[#This Row],[Net_Amount]]</f>
        <v>59998.400000000001</v>
      </c>
      <c r="J341" s="2" t="str">
        <f>RawTable[[#This Row],[VAT_Applicable]]</f>
        <v>No</v>
      </c>
      <c r="K341" s="4">
        <f>RawTable[[#This Row],[VAT_Rate]]</f>
        <v>0</v>
      </c>
      <c r="L341" s="4">
        <f>RawTable[[#This Row],[VAT_Amount]]</f>
        <v>0</v>
      </c>
      <c r="M341" s="4">
        <f>RawTable[[#This Row],[Gross_Amount]]</f>
        <v>59998.400000000001</v>
      </c>
      <c r="N341" s="4">
        <f>RawTable[[#This Row],[Exchange_Rate]]</f>
        <v>0.77017999999999998</v>
      </c>
      <c r="O341" s="4">
        <f>RawTable[[#This Row],[Amount_CHF]]</f>
        <v>46209.57</v>
      </c>
      <c r="P341" s="4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41" s="4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41" s="40" t="str">
        <f>IF(ValidationTable[[#This Row],[Currency]]="","Fail","Pass")</f>
        <v>Pass</v>
      </c>
      <c r="S341" s="40" t="str">
        <f>IF(
ValidationTable[[#This Row],[Currency]]="CHF",
IF(ValidationTable[[#This Row],[Exchange_Rate]]&lt;&gt;1,"Fail","Pass"),
IF(ValidationTable[[#This Row],[Exchange_Rate]]&lt;=0,"Fail","Pass")
)</f>
        <v>Pass</v>
      </c>
      <c r="T341" s="4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41" s="40" t="str">
        <f>IF(LEN(TRIM(ValidationTable[[#This Row],[Bank_Account]]))=0,"Fail","Pass")</f>
        <v>Pass</v>
      </c>
      <c r="V341" s="40" t="str">
        <f>IF(
COUNTIF(ValidationTable[Record_ID],ValidationTable[[#This Row],[Record_ID]])&gt;1,
"Fail",
"Pass"
)</f>
        <v>Pass</v>
      </c>
      <c r="W341" s="11" t="str">
        <f>IF(
COUNTIF(ValidationTable[[#This Row],[RequiredField_Validation]]:ValidationTable[[#This Row],[Duplicate_Validation]],"Fail")&gt;0,
"Fail",
"Pass"
)</f>
        <v>Pass</v>
      </c>
      <c r="X341" s="11" t="str">
        <f>IF(ValidationTable[[#This Row],[Validation_Result]]="Pass","Yes","No")</f>
        <v>Yes</v>
      </c>
    </row>
    <row r="342" spans="1:24">
      <c r="A342" s="11">
        <f>RawTable[[#This Row],[Record_ID]]</f>
        <v>341</v>
      </c>
      <c r="B342" s="11" t="str">
        <f>RawTable[[#This Row],[Payment_Type]]</f>
        <v>Grant_Disbursement</v>
      </c>
      <c r="C342" s="11" t="str">
        <f>RawTable[[#This Row],[Entity_Type]]</f>
        <v>Sub-Grantee</v>
      </c>
      <c r="D342" s="11" t="str">
        <f>RawTable[[#This Row],[Country]]</f>
        <v>UAE</v>
      </c>
      <c r="E342" s="11" t="str">
        <f>RawTable[[#This Row],[Name]]</f>
        <v>Inclusive Futures Org</v>
      </c>
      <c r="F342" s="11" t="str">
        <f>RawTable[[#This Row],[Bank_Account]]</f>
        <v>DE890000000001398637</v>
      </c>
      <c r="G342" s="11" t="str">
        <f>RawTable[[#This Row],[Month]]</f>
        <v>Jan-2026</v>
      </c>
      <c r="H342" s="11" t="str">
        <f>RawTable[[#This Row],[Currency]]</f>
        <v>AED</v>
      </c>
      <c r="I342" s="4">
        <f>RawTable[[#This Row],[Net_Amount]]</f>
        <v>188566.39999999999</v>
      </c>
      <c r="J342" s="2" t="str">
        <f>RawTable[[#This Row],[VAT_Applicable]]</f>
        <v>No</v>
      </c>
      <c r="K342" s="4">
        <f>RawTable[[#This Row],[VAT_Rate]]</f>
        <v>0</v>
      </c>
      <c r="L342" s="4">
        <f>RawTable[[#This Row],[VAT_Amount]]</f>
        <v>0</v>
      </c>
      <c r="M342" s="4">
        <f>RawTable[[#This Row],[Gross_Amount]]</f>
        <v>188566.39999999999</v>
      </c>
      <c r="N342" s="4">
        <f>RawTable[[#This Row],[Exchange_Rate]]</f>
        <v>0.21065</v>
      </c>
      <c r="O342" s="4">
        <f>RawTable[[#This Row],[Amount_CHF]]</f>
        <v>39721.51</v>
      </c>
      <c r="P342" s="4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42" s="4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42" s="40" t="str">
        <f>IF(ValidationTable[[#This Row],[Currency]]="","Fail","Pass")</f>
        <v>Pass</v>
      </c>
      <c r="S342" s="40" t="str">
        <f>IF(
ValidationTable[[#This Row],[Currency]]="CHF",
IF(ValidationTable[[#This Row],[Exchange_Rate]]&lt;&gt;1,"Fail","Pass"),
IF(ValidationTable[[#This Row],[Exchange_Rate]]&lt;=0,"Fail","Pass")
)</f>
        <v>Pass</v>
      </c>
      <c r="T342" s="4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42" s="40" t="str">
        <f>IF(LEN(TRIM(ValidationTable[[#This Row],[Bank_Account]]))=0,"Fail","Pass")</f>
        <v>Pass</v>
      </c>
      <c r="V342" s="40" t="str">
        <f>IF(
COUNTIF(ValidationTable[Record_ID],ValidationTable[[#This Row],[Record_ID]])&gt;1,
"Fail",
"Pass"
)</f>
        <v>Pass</v>
      </c>
      <c r="W342" s="11" t="str">
        <f>IF(
COUNTIF(ValidationTable[[#This Row],[RequiredField_Validation]]:ValidationTable[[#This Row],[Duplicate_Validation]],"Fail")&gt;0,
"Fail",
"Pass"
)</f>
        <v>Pass</v>
      </c>
      <c r="X342" s="11" t="str">
        <f>IF(ValidationTable[[#This Row],[Validation_Result]]="Pass","Yes","No")</f>
        <v>Yes</v>
      </c>
    </row>
    <row r="343" spans="1:24">
      <c r="A343" s="11">
        <f>RawTable[[#This Row],[Record_ID]]</f>
        <v>342</v>
      </c>
      <c r="B343" s="11" t="str">
        <f>RawTable[[#This Row],[Payment_Type]]</f>
        <v>Grant_Disbursement</v>
      </c>
      <c r="C343" s="11" t="str">
        <f>RawTable[[#This Row],[Entity_Type]]</f>
        <v>Sub-Grantee</v>
      </c>
      <c r="D343" s="11" t="str">
        <f>RawTable[[#This Row],[Country]]</f>
        <v>Jordan</v>
      </c>
      <c r="E343" s="11" t="str">
        <f>RawTable[[#This Row],[Name]]</f>
        <v>Safe Spaces NGO</v>
      </c>
      <c r="F343" s="11" t="str">
        <f>RawTable[[#This Row],[Bank_Account]]</f>
        <v>CH930000000002492680</v>
      </c>
      <c r="G343" s="11" t="str">
        <f>RawTable[[#This Row],[Month]]</f>
        <v>Jan-2026</v>
      </c>
      <c r="H343" s="11" t="str">
        <f>RawTable[[#This Row],[Currency]]</f>
        <v>JOD</v>
      </c>
      <c r="I343" s="4">
        <f>RawTable[[#This Row],[Net_Amount]]</f>
        <v>15091.2</v>
      </c>
      <c r="J343" s="2" t="str">
        <f>RawTable[[#This Row],[VAT_Applicable]]</f>
        <v>No</v>
      </c>
      <c r="K343" s="4">
        <f>RawTable[[#This Row],[VAT_Rate]]</f>
        <v>0</v>
      </c>
      <c r="L343" s="4">
        <f>RawTable[[#This Row],[VAT_Amount]]</f>
        <v>0</v>
      </c>
      <c r="M343" s="4">
        <f>RawTable[[#This Row],[Gross_Amount]]</f>
        <v>15091.2</v>
      </c>
      <c r="N343" s="4">
        <f>RawTable[[#This Row],[Exchange_Rate]]</f>
        <v>1.08643</v>
      </c>
      <c r="O343" s="4">
        <f>RawTable[[#This Row],[Amount_CHF]]</f>
        <v>16395.53</v>
      </c>
      <c r="P343" s="4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43" s="4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43" s="40" t="str">
        <f>IF(ValidationTable[[#This Row],[Currency]]="","Fail","Pass")</f>
        <v>Pass</v>
      </c>
      <c r="S343" s="40" t="str">
        <f>IF(
ValidationTable[[#This Row],[Currency]]="CHF",
IF(ValidationTable[[#This Row],[Exchange_Rate]]&lt;&gt;1,"Fail","Pass"),
IF(ValidationTable[[#This Row],[Exchange_Rate]]&lt;=0,"Fail","Pass")
)</f>
        <v>Pass</v>
      </c>
      <c r="T343" s="4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43" s="40" t="str">
        <f>IF(LEN(TRIM(ValidationTable[[#This Row],[Bank_Account]]))=0,"Fail","Pass")</f>
        <v>Pass</v>
      </c>
      <c r="V343" s="40" t="str">
        <f>IF(
COUNTIF(ValidationTable[Record_ID],ValidationTable[[#This Row],[Record_ID]])&gt;1,
"Fail",
"Pass"
)</f>
        <v>Pass</v>
      </c>
      <c r="W343" s="11" t="str">
        <f>IF(
COUNTIF(ValidationTable[[#This Row],[RequiredField_Validation]]:ValidationTable[[#This Row],[Duplicate_Validation]],"Fail")&gt;0,
"Fail",
"Pass"
)</f>
        <v>Pass</v>
      </c>
      <c r="X343" s="11" t="str">
        <f>IF(ValidationTable[[#This Row],[Validation_Result]]="Pass","Yes","No")</f>
        <v>Yes</v>
      </c>
    </row>
    <row r="344" spans="1:24">
      <c r="A344" s="11">
        <f>RawTable[[#This Row],[Record_ID]]</f>
        <v>343</v>
      </c>
      <c r="B344" s="11" t="str">
        <f>RawTable[[#This Row],[Payment_Type]]</f>
        <v>Grant_Disbursement</v>
      </c>
      <c r="C344" s="11" t="str">
        <f>RawTable[[#This Row],[Entity_Type]]</f>
        <v>Sub-Grantee</v>
      </c>
      <c r="D344" s="11" t="str">
        <f>RawTable[[#This Row],[Country]]</f>
        <v>Jordan</v>
      </c>
      <c r="E344" s="11" t="str">
        <f>RawTable[[#This Row],[Name]]</f>
        <v>Youth Empowerment Center</v>
      </c>
      <c r="F344" s="11" t="str">
        <f>RawTable[[#This Row],[Bank_Account]]</f>
        <v>DE890000000001452953</v>
      </c>
      <c r="G344" s="11" t="str">
        <f>RawTable[[#This Row],[Month]]</f>
        <v>Jan-2026</v>
      </c>
      <c r="H344" s="11" t="str">
        <f>RawTable[[#This Row],[Currency]]</f>
        <v>JOD</v>
      </c>
      <c r="I344" s="4">
        <f>RawTable[[#This Row],[Net_Amount]]</f>
        <v>15804</v>
      </c>
      <c r="J344" s="2" t="str">
        <f>RawTable[[#This Row],[VAT_Applicable]]</f>
        <v>No</v>
      </c>
      <c r="K344" s="4">
        <f>RawTable[[#This Row],[VAT_Rate]]</f>
        <v>0</v>
      </c>
      <c r="L344" s="4">
        <f>RawTable[[#This Row],[VAT_Amount]]</f>
        <v>0</v>
      </c>
      <c r="M344" s="4">
        <f>RawTable[[#This Row],[Gross_Amount]]</f>
        <v>15804</v>
      </c>
      <c r="N344" s="4">
        <f>RawTable[[#This Row],[Exchange_Rate]]</f>
        <v>1.08643</v>
      </c>
      <c r="O344" s="4">
        <f>RawTable[[#This Row],[Amount_CHF]]</f>
        <v>17169.939999999999</v>
      </c>
      <c r="P344" s="4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44" s="4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44" s="40" t="str">
        <f>IF(ValidationTable[[#This Row],[Currency]]="","Fail","Pass")</f>
        <v>Pass</v>
      </c>
      <c r="S344" s="40" t="str">
        <f>IF(
ValidationTable[[#This Row],[Currency]]="CHF",
IF(ValidationTable[[#This Row],[Exchange_Rate]]&lt;&gt;1,"Fail","Pass"),
IF(ValidationTable[[#This Row],[Exchange_Rate]]&lt;=0,"Fail","Pass")
)</f>
        <v>Pass</v>
      </c>
      <c r="T344" s="4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44" s="40" t="str">
        <f>IF(LEN(TRIM(ValidationTable[[#This Row],[Bank_Account]]))=0,"Fail","Pass")</f>
        <v>Pass</v>
      </c>
      <c r="V344" s="40" t="str">
        <f>IF(
COUNTIF(ValidationTable[Record_ID],ValidationTable[[#This Row],[Record_ID]])&gt;1,
"Fail",
"Pass"
)</f>
        <v>Pass</v>
      </c>
      <c r="W344" s="11" t="str">
        <f>IF(
COUNTIF(ValidationTable[[#This Row],[RequiredField_Validation]]:ValidationTable[[#This Row],[Duplicate_Validation]],"Fail")&gt;0,
"Fail",
"Pass"
)</f>
        <v>Pass</v>
      </c>
      <c r="X344" s="11" t="str">
        <f>IF(ValidationTable[[#This Row],[Validation_Result]]="Pass","Yes","No")</f>
        <v>Yes</v>
      </c>
    </row>
    <row r="345" spans="1:24">
      <c r="A345" s="11">
        <f>RawTable[[#This Row],[Record_ID]]</f>
        <v>344</v>
      </c>
      <c r="B345" s="11" t="str">
        <f>RawTable[[#This Row],[Payment_Type]]</f>
        <v>Grant_Disbursement</v>
      </c>
      <c r="C345" s="11" t="str">
        <f>RawTable[[#This Row],[Entity_Type]]</f>
        <v>Sub-Grantee</v>
      </c>
      <c r="D345" s="11" t="str">
        <f>RawTable[[#This Row],[Country]]</f>
        <v>Switzerland</v>
      </c>
      <c r="E345" s="11" t="str">
        <f>RawTable[[#This Row],[Name]]</f>
        <v>Health Access Initiative</v>
      </c>
      <c r="F345" s="11" t="str">
        <f>RawTable[[#This Row],[Bank_Account]]</f>
        <v>US-RT-000125868-AC-0000579156</v>
      </c>
      <c r="G345" s="11" t="str">
        <f>RawTable[[#This Row],[Month]]</f>
        <v>Mar-2026</v>
      </c>
      <c r="H345" s="11" t="str">
        <f>RawTable[[#This Row],[Currency]]</f>
        <v>CHF</v>
      </c>
      <c r="I345" s="4">
        <f>RawTable[[#This Row],[Net_Amount]]</f>
        <v>56898.400000000001</v>
      </c>
      <c r="J345" s="2" t="str">
        <f>RawTable[[#This Row],[VAT_Applicable]]</f>
        <v>No</v>
      </c>
      <c r="K345" s="4">
        <f>RawTable[[#This Row],[VAT_Rate]]</f>
        <v>0</v>
      </c>
      <c r="L345" s="4">
        <f>RawTable[[#This Row],[VAT_Amount]]</f>
        <v>0</v>
      </c>
      <c r="M345" s="4">
        <f>RawTable[[#This Row],[Gross_Amount]]</f>
        <v>56898.400000000001</v>
      </c>
      <c r="N345" s="4">
        <f>RawTable[[#This Row],[Exchange_Rate]]</f>
        <v>1</v>
      </c>
      <c r="O345" s="4">
        <f>RawTable[[#This Row],[Amount_CHF]]</f>
        <v>56898.400000000001</v>
      </c>
      <c r="P345" s="4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45" s="4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45" s="40" t="str">
        <f>IF(ValidationTable[[#This Row],[Currency]]="","Fail","Pass")</f>
        <v>Pass</v>
      </c>
      <c r="S345" s="40" t="str">
        <f>IF(
ValidationTable[[#This Row],[Currency]]="CHF",
IF(ValidationTable[[#This Row],[Exchange_Rate]]&lt;&gt;1,"Fail","Pass"),
IF(ValidationTable[[#This Row],[Exchange_Rate]]&lt;=0,"Fail","Pass")
)</f>
        <v>Pass</v>
      </c>
      <c r="T345" s="4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45" s="40" t="str">
        <f>IF(LEN(TRIM(ValidationTable[[#This Row],[Bank_Account]]))=0,"Fail","Pass")</f>
        <v>Pass</v>
      </c>
      <c r="V345" s="40" t="str">
        <f>IF(
COUNTIF(ValidationTable[Record_ID],ValidationTable[[#This Row],[Record_ID]])&gt;1,
"Fail",
"Pass"
)</f>
        <v>Pass</v>
      </c>
      <c r="W345" s="11" t="str">
        <f>IF(
COUNTIF(ValidationTable[[#This Row],[RequiredField_Validation]]:ValidationTable[[#This Row],[Duplicate_Validation]],"Fail")&gt;0,
"Fail",
"Pass"
)</f>
        <v>Pass</v>
      </c>
      <c r="X345" s="11" t="str">
        <f>IF(ValidationTable[[#This Row],[Validation_Result]]="Pass","Yes","No")</f>
        <v>Yes</v>
      </c>
    </row>
    <row r="346" spans="1:24">
      <c r="A346" s="11">
        <f>RawTable[[#This Row],[Record_ID]]</f>
        <v>345</v>
      </c>
      <c r="B346" s="11" t="str">
        <f>RawTable[[#This Row],[Payment_Type]]</f>
        <v>Grant_Disbursement</v>
      </c>
      <c r="C346" s="11" t="str">
        <f>RawTable[[#This Row],[Entity_Type]]</f>
        <v>Sub-Grantee</v>
      </c>
      <c r="D346" s="11" t="str">
        <f>RawTable[[#This Row],[Country]]</f>
        <v>Jordan</v>
      </c>
      <c r="E346" s="11" t="str">
        <f>RawTable[[#This Row],[Name]]</f>
        <v>Equality &amp; Rights Foundation</v>
      </c>
      <c r="F346" s="11" t="str">
        <f>RawTable[[#This Row],[Bank_Account]]</f>
        <v>CH930000000002616080</v>
      </c>
      <c r="G346" s="11" t="str">
        <f>RawTable[[#This Row],[Month]]</f>
        <v>Jan-2026</v>
      </c>
      <c r="H346" s="11" t="str">
        <f>RawTable[[#This Row],[Currency]]</f>
        <v>JOD</v>
      </c>
      <c r="I346" s="4">
        <f>RawTable[[#This Row],[Net_Amount]]</f>
        <v>14091.84</v>
      </c>
      <c r="J346" s="2" t="str">
        <f>RawTable[[#This Row],[VAT_Applicable]]</f>
        <v>No</v>
      </c>
      <c r="K346" s="4">
        <f>RawTable[[#This Row],[VAT_Rate]]</f>
        <v>0</v>
      </c>
      <c r="L346" s="4">
        <f>RawTable[[#This Row],[VAT_Amount]]</f>
        <v>0</v>
      </c>
      <c r="M346" s="4">
        <f>RawTable[[#This Row],[Gross_Amount]]</f>
        <v>14091.84</v>
      </c>
      <c r="N346" s="4">
        <f>RawTable[[#This Row],[Exchange_Rate]]</f>
        <v>1.08643</v>
      </c>
      <c r="O346" s="4">
        <f>RawTable[[#This Row],[Amount_CHF]]</f>
        <v>15309.8</v>
      </c>
      <c r="P346" s="4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46" s="4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46" s="40" t="str">
        <f>IF(ValidationTable[[#This Row],[Currency]]="","Fail","Pass")</f>
        <v>Pass</v>
      </c>
      <c r="S346" s="40" t="str">
        <f>IF(
ValidationTable[[#This Row],[Currency]]="CHF",
IF(ValidationTable[[#This Row],[Exchange_Rate]]&lt;&gt;1,"Fail","Pass"),
IF(ValidationTable[[#This Row],[Exchange_Rate]]&lt;=0,"Fail","Pass")
)</f>
        <v>Pass</v>
      </c>
      <c r="T346" s="4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46" s="40" t="str">
        <f>IF(LEN(TRIM(ValidationTable[[#This Row],[Bank_Account]]))=0,"Fail","Pass")</f>
        <v>Pass</v>
      </c>
      <c r="V346" s="40" t="str">
        <f>IF(
COUNTIF(ValidationTable[Record_ID],ValidationTable[[#This Row],[Record_ID]])&gt;1,
"Fail",
"Pass"
)</f>
        <v>Pass</v>
      </c>
      <c r="W346" s="11" t="str">
        <f>IF(
COUNTIF(ValidationTable[[#This Row],[RequiredField_Validation]]:ValidationTable[[#This Row],[Duplicate_Validation]],"Fail")&gt;0,
"Fail",
"Pass"
)</f>
        <v>Pass</v>
      </c>
      <c r="X346" s="11" t="str">
        <f>IF(ValidationTable[[#This Row],[Validation_Result]]="Pass","Yes","No")</f>
        <v>Yes</v>
      </c>
    </row>
    <row r="347" spans="1:24">
      <c r="A347" s="11">
        <f>RawTable[[#This Row],[Record_ID]]</f>
        <v>346</v>
      </c>
      <c r="B347" s="11" t="str">
        <f>RawTable[[#This Row],[Payment_Type]]</f>
        <v>Grant_Disbursement</v>
      </c>
      <c r="C347" s="11" t="str">
        <f>RawTable[[#This Row],[Entity_Type]]</f>
        <v>Sub-Grantee</v>
      </c>
      <c r="D347" s="11" t="str">
        <f>RawTable[[#This Row],[Country]]</f>
        <v>UAE</v>
      </c>
      <c r="E347" s="11" t="str">
        <f>RawTable[[#This Row],[Name]]</f>
        <v>Regional Advocacy Network</v>
      </c>
      <c r="F347" s="11" t="str">
        <f>RawTable[[#This Row],[Bank_Account]]</f>
        <v>JO-IBAN-01296225</v>
      </c>
      <c r="G347" s="11" t="str">
        <f>RawTable[[#This Row],[Month]]</f>
        <v>Jan-2026</v>
      </c>
      <c r="H347" s="11" t="str">
        <f>RawTable[[#This Row],[Currency]]</f>
        <v>AED</v>
      </c>
      <c r="I347" s="4">
        <f>RawTable[[#This Row],[Net_Amount]]</f>
        <v>175612.79999999999</v>
      </c>
      <c r="J347" s="2" t="str">
        <f>RawTable[[#This Row],[VAT_Applicable]]</f>
        <v>No</v>
      </c>
      <c r="K347" s="4">
        <f>RawTable[[#This Row],[VAT_Rate]]</f>
        <v>0</v>
      </c>
      <c r="L347" s="4">
        <f>RawTable[[#This Row],[VAT_Amount]]</f>
        <v>0</v>
      </c>
      <c r="M347" s="4">
        <f>RawTable[[#This Row],[Gross_Amount]]</f>
        <v>175612.79999999999</v>
      </c>
      <c r="N347" s="4">
        <f>RawTable[[#This Row],[Exchange_Rate]]</f>
        <v>0.21065</v>
      </c>
      <c r="O347" s="4">
        <f>RawTable[[#This Row],[Amount_CHF]]</f>
        <v>36992.839999999997</v>
      </c>
      <c r="P347" s="4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47" s="4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47" s="40" t="str">
        <f>IF(ValidationTable[[#This Row],[Currency]]="","Fail","Pass")</f>
        <v>Pass</v>
      </c>
      <c r="S347" s="40" t="str">
        <f>IF(
ValidationTable[[#This Row],[Currency]]="CHF",
IF(ValidationTable[[#This Row],[Exchange_Rate]]&lt;&gt;1,"Fail","Pass"),
IF(ValidationTable[[#This Row],[Exchange_Rate]]&lt;=0,"Fail","Pass")
)</f>
        <v>Pass</v>
      </c>
      <c r="T347" s="4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47" s="40" t="str">
        <f>IF(LEN(TRIM(ValidationTable[[#This Row],[Bank_Account]]))=0,"Fail","Pass")</f>
        <v>Pass</v>
      </c>
      <c r="V347" s="40" t="str">
        <f>IF(
COUNTIF(ValidationTable[Record_ID],ValidationTable[[#This Row],[Record_ID]])&gt;1,
"Fail",
"Pass"
)</f>
        <v>Pass</v>
      </c>
      <c r="W347" s="11" t="str">
        <f>IF(
COUNTIF(ValidationTable[[#This Row],[RequiredField_Validation]]:ValidationTable[[#This Row],[Duplicate_Validation]],"Fail")&gt;0,
"Fail",
"Pass"
)</f>
        <v>Pass</v>
      </c>
      <c r="X347" s="11" t="str">
        <f>IF(ValidationTable[[#This Row],[Validation_Result]]="Pass","Yes","No")</f>
        <v>Yes</v>
      </c>
    </row>
    <row r="348" spans="1:24">
      <c r="A348" s="11">
        <f>RawTable[[#This Row],[Record_ID]]</f>
        <v>347</v>
      </c>
      <c r="B348" s="11" t="str">
        <f>RawTable[[#This Row],[Payment_Type]]</f>
        <v>Grant_Disbursement</v>
      </c>
      <c r="C348" s="11" t="str">
        <f>RawTable[[#This Row],[Entity_Type]]</f>
        <v>Sub-Grantee</v>
      </c>
      <c r="D348" s="11" t="str">
        <f>RawTable[[#This Row],[Country]]</f>
        <v>Switzerland</v>
      </c>
      <c r="E348" s="11" t="str">
        <f>RawTable[[#This Row],[Name]]</f>
        <v>Safe Spaces NGO</v>
      </c>
      <c r="F348" s="11" t="str">
        <f>RawTable[[#This Row],[Bank_Account]]</f>
        <v>CH930000000002492680</v>
      </c>
      <c r="G348" s="11" t="str">
        <f>RawTable[[#This Row],[Month]]</f>
        <v>Jan-2026</v>
      </c>
      <c r="H348" s="11" t="str">
        <f>RawTable[[#This Row],[Currency]]</f>
        <v>CHF</v>
      </c>
      <c r="I348" s="4">
        <f>RawTable[[#This Row],[Net_Amount]]</f>
        <v>54496</v>
      </c>
      <c r="J348" s="2" t="str">
        <f>RawTable[[#This Row],[VAT_Applicable]]</f>
        <v>No</v>
      </c>
      <c r="K348" s="4">
        <f>RawTable[[#This Row],[VAT_Rate]]</f>
        <v>0</v>
      </c>
      <c r="L348" s="4">
        <f>RawTable[[#This Row],[VAT_Amount]]</f>
        <v>0</v>
      </c>
      <c r="M348" s="4">
        <f>RawTable[[#This Row],[Gross_Amount]]</f>
        <v>54496</v>
      </c>
      <c r="N348" s="4">
        <f>RawTable[[#This Row],[Exchange_Rate]]</f>
        <v>1</v>
      </c>
      <c r="O348" s="4">
        <f>RawTable[[#This Row],[Amount_CHF]]</f>
        <v>54496</v>
      </c>
      <c r="P348" s="4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48" s="4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48" s="40" t="str">
        <f>IF(ValidationTable[[#This Row],[Currency]]="","Fail","Pass")</f>
        <v>Pass</v>
      </c>
      <c r="S348" s="40" t="str">
        <f>IF(
ValidationTable[[#This Row],[Currency]]="CHF",
IF(ValidationTable[[#This Row],[Exchange_Rate]]&lt;&gt;1,"Fail","Pass"),
IF(ValidationTable[[#This Row],[Exchange_Rate]]&lt;=0,"Fail","Pass")
)</f>
        <v>Pass</v>
      </c>
      <c r="T348" s="4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48" s="40" t="str">
        <f>IF(LEN(TRIM(ValidationTable[[#This Row],[Bank_Account]]))=0,"Fail","Pass")</f>
        <v>Pass</v>
      </c>
      <c r="V348" s="40" t="str">
        <f>IF(
COUNTIF(ValidationTable[Record_ID],ValidationTable[[#This Row],[Record_ID]])&gt;1,
"Fail",
"Pass"
)</f>
        <v>Pass</v>
      </c>
      <c r="W348" s="11" t="str">
        <f>IF(
COUNTIF(ValidationTable[[#This Row],[RequiredField_Validation]]:ValidationTable[[#This Row],[Duplicate_Validation]],"Fail")&gt;0,
"Fail",
"Pass"
)</f>
        <v>Pass</v>
      </c>
      <c r="X348" s="11" t="str">
        <f>IF(ValidationTable[[#This Row],[Validation_Result]]="Pass","Yes","No")</f>
        <v>Yes</v>
      </c>
    </row>
    <row r="349" spans="1:24">
      <c r="A349" s="11">
        <f>RawTable[[#This Row],[Record_ID]]</f>
        <v>348</v>
      </c>
      <c r="B349" s="11" t="str">
        <f>RawTable[[#This Row],[Payment_Type]]</f>
        <v>Grant_Disbursement</v>
      </c>
      <c r="C349" s="11" t="str">
        <f>RawTable[[#This Row],[Entity_Type]]</f>
        <v>Sub-Grantee</v>
      </c>
      <c r="D349" s="11" t="str">
        <f>RawTable[[#This Row],[Country]]</f>
        <v>Switzerland</v>
      </c>
      <c r="E349" s="11" t="str">
        <f>RawTable[[#This Row],[Name]]</f>
        <v>Regional Advocacy Network</v>
      </c>
      <c r="F349" s="11" t="str">
        <f>RawTable[[#This Row],[Bank_Account]]</f>
        <v>JO-IBAN-01296225</v>
      </c>
      <c r="G349" s="11" t="str">
        <f>RawTable[[#This Row],[Month]]</f>
        <v>Feb-2026</v>
      </c>
      <c r="H349" s="11" t="str">
        <f>RawTable[[#This Row],[Currency]]</f>
        <v>CHF</v>
      </c>
      <c r="I349" s="4">
        <f>RawTable[[#This Row],[Net_Amount]]</f>
        <v>51885.599999999999</v>
      </c>
      <c r="J349" s="2" t="str">
        <f>RawTable[[#This Row],[VAT_Applicable]]</f>
        <v>No</v>
      </c>
      <c r="K349" s="4">
        <f>RawTable[[#This Row],[VAT_Rate]]</f>
        <v>0</v>
      </c>
      <c r="L349" s="4">
        <f>RawTable[[#This Row],[VAT_Amount]]</f>
        <v>0</v>
      </c>
      <c r="M349" s="4">
        <f>RawTable[[#This Row],[Gross_Amount]]</f>
        <v>51885.599999999999</v>
      </c>
      <c r="N349" s="4">
        <f>RawTable[[#This Row],[Exchange_Rate]]</f>
        <v>1</v>
      </c>
      <c r="O349" s="4">
        <f>RawTable[[#This Row],[Amount_CHF]]</f>
        <v>51885.599999999999</v>
      </c>
      <c r="P349" s="4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49" s="4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49" s="40" t="str">
        <f>IF(ValidationTable[[#This Row],[Currency]]="","Fail","Pass")</f>
        <v>Pass</v>
      </c>
      <c r="S349" s="40" t="str">
        <f>IF(
ValidationTable[[#This Row],[Currency]]="CHF",
IF(ValidationTable[[#This Row],[Exchange_Rate]]&lt;&gt;1,"Fail","Pass"),
IF(ValidationTable[[#This Row],[Exchange_Rate]]&lt;=0,"Fail","Pass")
)</f>
        <v>Pass</v>
      </c>
      <c r="T349" s="4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49" s="40" t="str">
        <f>IF(LEN(TRIM(ValidationTable[[#This Row],[Bank_Account]]))=0,"Fail","Pass")</f>
        <v>Pass</v>
      </c>
      <c r="V349" s="40" t="str">
        <f>IF(
COUNTIF(ValidationTable[Record_ID],ValidationTable[[#This Row],[Record_ID]])&gt;1,
"Fail",
"Pass"
)</f>
        <v>Pass</v>
      </c>
      <c r="W349" s="11" t="str">
        <f>IF(
COUNTIF(ValidationTable[[#This Row],[RequiredField_Validation]]:ValidationTable[[#This Row],[Duplicate_Validation]],"Fail")&gt;0,
"Fail",
"Pass"
)</f>
        <v>Pass</v>
      </c>
      <c r="X349" s="11" t="str">
        <f>IF(ValidationTable[[#This Row],[Validation_Result]]="Pass","Yes","No")</f>
        <v>Yes</v>
      </c>
    </row>
    <row r="350" spans="1:24">
      <c r="A350" s="11">
        <f>RawTable[[#This Row],[Record_ID]]</f>
        <v>349</v>
      </c>
      <c r="B350" s="11" t="str">
        <f>RawTable[[#This Row],[Payment_Type]]</f>
        <v>Grant_Disbursement</v>
      </c>
      <c r="C350" s="11" t="str">
        <f>RawTable[[#This Row],[Entity_Type]]</f>
        <v>Sub-Grantee</v>
      </c>
      <c r="D350" s="11" t="str">
        <f>RawTable[[#This Row],[Country]]</f>
        <v>Switzerland</v>
      </c>
      <c r="E350" s="11" t="str">
        <f>RawTable[[#This Row],[Name]]</f>
        <v>Regional Advocacy Network</v>
      </c>
      <c r="F350" s="11" t="str">
        <f>RawTable[[#This Row],[Bank_Account]]</f>
        <v>JO-IBAN-01296225</v>
      </c>
      <c r="G350" s="11" t="str">
        <f>RawTable[[#This Row],[Month]]</f>
        <v>Mar-2026</v>
      </c>
      <c r="H350" s="11" t="str">
        <f>RawTable[[#This Row],[Currency]]</f>
        <v>CHF</v>
      </c>
      <c r="I350" s="4">
        <f>RawTable[[#This Row],[Net_Amount]]</f>
        <v>51885.599999999999</v>
      </c>
      <c r="J350" s="2" t="str">
        <f>RawTable[[#This Row],[VAT_Applicable]]</f>
        <v>No</v>
      </c>
      <c r="K350" s="4">
        <f>RawTable[[#This Row],[VAT_Rate]]</f>
        <v>0</v>
      </c>
      <c r="L350" s="4">
        <f>RawTable[[#This Row],[VAT_Amount]]</f>
        <v>0</v>
      </c>
      <c r="M350" s="4">
        <f>RawTable[[#This Row],[Gross_Amount]]</f>
        <v>51885.599999999999</v>
      </c>
      <c r="N350" s="4">
        <f>RawTable[[#This Row],[Exchange_Rate]]</f>
        <v>1</v>
      </c>
      <c r="O350" s="4">
        <f>RawTable[[#This Row],[Amount_CHF]]</f>
        <v>51885.599999999999</v>
      </c>
      <c r="P350" s="4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Q350" s="4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50" s="40" t="str">
        <f>IF(ValidationTable[[#This Row],[Currency]]="","Fail","Pass")</f>
        <v>Pass</v>
      </c>
      <c r="S350" s="40" t="str">
        <f>IF(
ValidationTable[[#This Row],[Currency]]="CHF",
IF(ValidationTable[[#This Row],[Exchange_Rate]]&lt;&gt;1,"Fail","Pass"),
IF(ValidationTable[[#This Row],[Exchange_Rate]]&lt;=0,"Fail","Pass")
)</f>
        <v>Pass</v>
      </c>
      <c r="T350" s="4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50" s="40" t="str">
        <f>IF(LEN(TRIM(ValidationTable[[#This Row],[Bank_Account]]))=0,"Fail","Pass")</f>
        <v>Pass</v>
      </c>
      <c r="V350" s="40" t="str">
        <f>IF(
COUNTIF(ValidationTable[Record_ID],ValidationTable[[#This Row],[Record_ID]])&gt;1,
"Fail",
"Pass"
)</f>
        <v>Pass</v>
      </c>
      <c r="W350" s="11" t="str">
        <f>IF(
COUNTIF(ValidationTable[[#This Row],[RequiredField_Validation]]:ValidationTable[[#This Row],[Duplicate_Validation]],"Fail")&gt;0,
"Fail",
"Pass"
)</f>
        <v>Pass</v>
      </c>
      <c r="X350" s="11" t="str">
        <f>IF(ValidationTable[[#This Row],[Validation_Result]]="Pass","Yes","No")</f>
        <v>Yes</v>
      </c>
    </row>
    <row r="351" spans="1:24" hidden="1">
      <c r="A351" s="11">
        <f>RawTable[[#This Row],[Record_ID]]</f>
        <v>350</v>
      </c>
      <c r="B351" s="11" t="str">
        <f>RawTable[[#This Row],[Payment_Type]]</f>
        <v>Grant_Disbursement</v>
      </c>
      <c r="C351" s="11" t="str">
        <f>RawTable[[#This Row],[Entity_Type]]</f>
        <v>Sub-Grantee</v>
      </c>
      <c r="D351" s="11" t="str">
        <f>RawTable[[#This Row],[Country]]</f>
        <v>Jordan</v>
      </c>
      <c r="E351" s="11" t="str">
        <f>RawTable[[#This Row],[Name]]</f>
        <v>Youth Empowerment Center</v>
      </c>
      <c r="F351" s="11" t="str">
        <f>RawTable[[#This Row],[Bank_Account]]</f>
        <v>DE890000000001452953</v>
      </c>
      <c r="H351" s="11" t="str">
        <f>RawTable[[#This Row],[Currency]]</f>
        <v>JOD</v>
      </c>
      <c r="I351" s="4">
        <f>RawTable[[#This Row],[Net_Amount]]</f>
        <v>15804</v>
      </c>
      <c r="J351" s="2" t="str">
        <f>RawTable[[#This Row],[VAT_Applicable]]</f>
        <v>No</v>
      </c>
      <c r="K351" s="4">
        <f>RawTable[[#This Row],[VAT_Rate]]</f>
        <v>0</v>
      </c>
      <c r="L351" s="4">
        <f>RawTable[[#This Row],[VAT_Amount]]</f>
        <v>0</v>
      </c>
      <c r="M351" s="4">
        <f>RawTable[[#This Row],[Gross_Amount]]</f>
        <v>15804</v>
      </c>
      <c r="N351" s="4">
        <f>RawTable[[#This Row],[Exchange_Rate]]</f>
        <v>1.08643</v>
      </c>
      <c r="O351" s="4">
        <f>RawTable[[#This Row],[Amount_CHF]]</f>
        <v>17169.939999999999</v>
      </c>
      <c r="P351" s="4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Fail</v>
      </c>
      <c r="Q351" s="4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R351" s="40" t="str">
        <f>IF(ValidationTable[[#This Row],[Currency]]="","Fail","Pass")</f>
        <v>Pass</v>
      </c>
      <c r="S351" s="40" t="str">
        <f>IF(
ValidationTable[[#This Row],[Currency]]="CHF",
IF(ValidationTable[[#This Row],[Exchange_Rate]]&lt;&gt;1,"Fail","Pass"),
IF(ValidationTable[[#This Row],[Exchange_Rate]]&lt;=0,"Fail","Pass")
)</f>
        <v>Pass</v>
      </c>
      <c r="T351" s="4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U351" s="40" t="str">
        <f>IF(LEN(TRIM(ValidationTable[[#This Row],[Bank_Account]]))=0,"Fail","Pass")</f>
        <v>Pass</v>
      </c>
      <c r="V351" s="40" t="str">
        <f>IF(
COUNTIF(ValidationTable[Record_ID],ValidationTable[[#This Row],[Record_ID]])&gt;1,
"Fail",
"Pass"
)</f>
        <v>Pass</v>
      </c>
      <c r="W351" s="11" t="str">
        <f>IF(
COUNTIF(ValidationTable[[#This Row],[RequiredField_Validation]]:ValidationTable[[#This Row],[Duplicate_Validation]],"Fail")&gt;0,
"Fail",
"Pass"
)</f>
        <v>Fail</v>
      </c>
      <c r="X351" s="11" t="str">
        <f>IF(ValidationTable[[#This Row],[Validation_Result]]="Pass","Yes","No")</f>
        <v>No</v>
      </c>
    </row>
    <row r="352" spans="1:24">
      <c r="I352" s="3"/>
      <c r="J352" s="3"/>
      <c r="K352" s="3"/>
      <c r="L352" s="3"/>
      <c r="M352" s="3"/>
      <c r="N352" s="3"/>
      <c r="O352" s="3"/>
    </row>
    <row r="353" spans="9:15">
      <c r="I353" s="3"/>
      <c r="J353" s="3"/>
      <c r="K353" s="3"/>
      <c r="L353" s="3"/>
      <c r="M353" s="3"/>
      <c r="N353" s="3"/>
      <c r="O353" s="3"/>
    </row>
    <row r="354" spans="9:15">
      <c r="I354" s="3"/>
      <c r="J354" s="3"/>
      <c r="K354" s="3"/>
      <c r="L354" s="3"/>
      <c r="M354" s="3"/>
      <c r="N354" s="3"/>
      <c r="O354" s="3"/>
    </row>
  </sheetData>
  <conditionalFormatting sqref="W1:W351 P2:V351">
    <cfRule type="cellIs" dxfId="1" priority="3" operator="equal">
      <formula>"Pass"</formula>
    </cfRule>
    <cfRule type="cellIs" dxfId="0" priority="4" operator="equal">
      <formula>"Fail"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V351"/>
  <sheetViews>
    <sheetView zoomScaleNormal="100" workbookViewId="0">
      <pane ySplit="1" topLeftCell="A2" activePane="bottomLeft" state="frozen"/>
      <selection pane="bottomLeft"/>
    </sheetView>
  </sheetViews>
  <sheetFormatPr defaultRowHeight="14.4"/>
  <cols>
    <col min="1" max="1" width="12.77734375" style="24" bestFit="1" customWidth="1"/>
    <col min="2" max="2" width="9.5546875" style="7" bestFit="1" customWidth="1"/>
    <col min="3" max="3" width="14.21875" style="3" bestFit="1" customWidth="1"/>
    <col min="4" max="4" width="17.88671875" style="3" bestFit="1" customWidth="1"/>
    <col min="5" max="5" width="10.6640625" style="3" bestFit="1" customWidth="1"/>
    <col min="6" max="6" width="27.33203125" style="3" bestFit="1" customWidth="1"/>
    <col min="7" max="7" width="29.77734375" style="3" bestFit="1" customWidth="1"/>
    <col min="8" max="8" width="28.5546875" style="3" bestFit="1" customWidth="1"/>
    <col min="9" max="9" width="15.44140625" style="1" bestFit="1" customWidth="1"/>
    <col min="10" max="10" width="12.5546875" style="1" bestFit="1" customWidth="1"/>
    <col min="11" max="11" width="11.44140625" style="3" bestFit="1" customWidth="1"/>
    <col min="12" max="12" width="15.33203125" style="4" bestFit="1" customWidth="1"/>
    <col min="13" max="13" width="18" bestFit="1" customWidth="1"/>
    <col min="14" max="14" width="12.33203125" style="4" bestFit="1" customWidth="1"/>
    <col min="15" max="15" width="15.77734375" style="4" bestFit="1" customWidth="1"/>
    <col min="16" max="16" width="17.21875" style="4" bestFit="1" customWidth="1"/>
    <col min="17" max="17" width="17.33203125" bestFit="1" customWidth="1"/>
    <col min="18" max="18" width="15.6640625" bestFit="1" customWidth="1"/>
    <col min="19" max="19" width="22.33203125" bestFit="1" customWidth="1"/>
    <col min="20" max="20" width="16.21875" bestFit="1" customWidth="1"/>
    <col min="21" max="21" width="20" style="2" bestFit="1" customWidth="1"/>
    <col min="22" max="22" width="14.77734375" style="2" customWidth="1"/>
  </cols>
  <sheetData>
    <row r="1" spans="1:22" ht="15.6">
      <c r="A1" s="48" t="s">
        <v>22</v>
      </c>
      <c r="B1" s="49" t="s">
        <v>26</v>
      </c>
      <c r="C1" s="50" t="s">
        <v>17</v>
      </c>
      <c r="D1" s="50" t="s">
        <v>12</v>
      </c>
      <c r="E1" s="50" t="s">
        <v>0</v>
      </c>
      <c r="F1" s="50" t="s">
        <v>23</v>
      </c>
      <c r="G1" s="50" t="s">
        <v>25</v>
      </c>
      <c r="H1" s="50" t="s">
        <v>157</v>
      </c>
      <c r="I1" s="51" t="s">
        <v>158</v>
      </c>
      <c r="J1" s="51" t="s">
        <v>159</v>
      </c>
      <c r="K1" s="50" t="s">
        <v>1</v>
      </c>
      <c r="L1" s="47" t="s">
        <v>156</v>
      </c>
      <c r="M1" s="51" t="s">
        <v>153</v>
      </c>
      <c r="N1" s="47" t="s">
        <v>154</v>
      </c>
      <c r="O1" s="47" t="s">
        <v>155</v>
      </c>
      <c r="P1" s="47" t="s">
        <v>24</v>
      </c>
      <c r="Q1" s="22" t="s">
        <v>160</v>
      </c>
      <c r="R1" s="22" t="s">
        <v>161</v>
      </c>
      <c r="S1" s="22" t="s">
        <v>290</v>
      </c>
      <c r="T1" s="22" t="s">
        <v>288</v>
      </c>
      <c r="U1" s="39" t="s">
        <v>319</v>
      </c>
      <c r="V1" s="39" t="s">
        <v>320</v>
      </c>
    </row>
    <row r="2" spans="1:22">
      <c r="A2" s="24">
        <v>1</v>
      </c>
      <c r="B2" s="1" t="s">
        <v>28</v>
      </c>
      <c r="C2" s="3" t="s">
        <v>18</v>
      </c>
      <c r="D2" s="3" t="str">
        <f>IFERROR(VLOOKUP(RawTable[[#This Row],[Entity_Type]], EntityMap[], 2, FALSE), "")</f>
        <v>Payroll</v>
      </c>
      <c r="E2" s="3" t="s">
        <v>10</v>
      </c>
      <c r="F2" s="3" t="s">
        <v>27</v>
      </c>
      <c r="G2" s="3" t="str">
        <f>IFERROR(VLOOKUP(RawTable[[#This Row],[Name]], Name_Master!$A:$E, 4, FALSE), "")</f>
        <v>JO-IBAN-00024690</v>
      </c>
      <c r="H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PAY-Jordan-202602-000001</v>
      </c>
      <c r="I2" s="1">
        <f>IF(RawTable[[#This Row],[Month]]="","",DATE(YEAR(RawTable[[#This Row],[Month]]),MONTH(RawTable[[#This Row],[Month]]),1))</f>
        <v>46054</v>
      </c>
      <c r="J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2" s="3" t="s">
        <v>11</v>
      </c>
      <c r="L2" s="4">
        <v>1687.14</v>
      </c>
      <c r="M2" t="str">
        <f>IF(RawTable[[#This Row],[Net_Amount]]="","",IF(RawTable[[#This Row],[Payment_Type]]="Vendor_Invoice","Yes","No"))</f>
        <v>No</v>
      </c>
      <c r="N2" s="6">
        <f>IF(D2="Vendor_Invoice",
     IFERROR(
         INDEX(System_Master_Data!$B$9:$B$14,
               MATCH(E2,System_Master_Data!$A$9:$A$14,0)
         ),
     0),
0)</f>
        <v>0</v>
      </c>
      <c r="O2" s="4">
        <f t="shared" ref="O2:O65" si="0">N2*L2</f>
        <v>0</v>
      </c>
      <c r="P2" s="4">
        <f t="shared" ref="P2:P65" si="1">O2+L2</f>
        <v>1687.14</v>
      </c>
      <c r="Q2" s="56">
        <f>IFERROR(VLOOKUP(RawTable[[#This Row],[Currency]], System_Master_Data!$A$24:$B$29, 2, FALSE), "")</f>
        <v>1.08643</v>
      </c>
      <c r="R2">
        <f>IF(RawTable[[#This Row],[Exchange_Rate]]="","",ROUND(RawTable[[#This Row],[Gross_Amount]]*RawTable[[#This Row],[Exchange_Rate]],2))</f>
        <v>1832.96</v>
      </c>
      <c r="S2" t="str">
        <f>IF(RawTable[[#This Row],[Entity_Type]]&lt;&gt;"Employee",RawTable[[#This Row],[Entity_Type]],
IF(RawTable[[#This Row],[Country]]="Switzerland","Direct","EOR")
)</f>
        <v>EOR</v>
      </c>
      <c r="T2" t="str">
        <f>IF(RawTable[[#This Row],[Employment_Model]]&lt;&gt;"EOR","",
IFERROR(VLOOKUP(RawTable[[#This Row],[Country]],EORMap[#All],3,FALSE),"")
)</f>
        <v>Oyster</v>
      </c>
      <c r="U2" s="38">
        <v>46081.074257870372</v>
      </c>
      <c r="V2" s="2" t="s">
        <v>321</v>
      </c>
    </row>
    <row r="3" spans="1:22">
      <c r="A3" s="24">
        <v>2</v>
      </c>
      <c r="B3" s="1" t="s">
        <v>30</v>
      </c>
      <c r="C3" s="3" t="s">
        <v>18</v>
      </c>
      <c r="D3" s="3" t="str">
        <f>IFERROR(VLOOKUP(RawTable[[#This Row],[Entity_Type]], EntityMap[], 2, FALSE), "")</f>
        <v>Payroll</v>
      </c>
      <c r="E3" s="3" t="s">
        <v>6</v>
      </c>
      <c r="F3" s="3" t="s">
        <v>29</v>
      </c>
      <c r="G3" s="3" t="str">
        <f>IFERROR(VLOOKUP(RawTable[[#This Row],[Name]], Name_Master!$A:$E, 4, FALSE), "")</f>
        <v>US-RT-000003702-AC-0000017034</v>
      </c>
      <c r="H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PAY-USA-202603-000002</v>
      </c>
      <c r="I3" s="1">
        <f>IF(RawTable[[#This Row],[Month]]="","",DATE(YEAR(RawTable[[#This Row],[Month]]),MONTH(RawTable[[#This Row],[Month]]),1))</f>
        <v>46082</v>
      </c>
      <c r="J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3" s="3" t="s">
        <v>7</v>
      </c>
      <c r="L3" s="4">
        <v>0</v>
      </c>
      <c r="M3" s="2" t="str">
        <f>IF(RawTable[[#This Row],[Net_Amount]]="","",IF(RawTable[[#This Row],[Payment_Type]]="Vendor_Invoice","Yes","No"))</f>
        <v>No</v>
      </c>
      <c r="N3" s="6">
        <f>IF(D3="Vendor_Invoice",
     IFERROR(
         INDEX(System_Master_Data!$B$9:$B$14,
               MATCH(E3,System_Master_Data!$A$9:$A$14,0)
         ),
     0),
0)</f>
        <v>0</v>
      </c>
      <c r="O3" s="4">
        <f t="shared" si="0"/>
        <v>0</v>
      </c>
      <c r="P3" s="4">
        <f t="shared" si="1"/>
        <v>0</v>
      </c>
      <c r="Q3" s="56">
        <f>IFERROR(VLOOKUP(RawTable[[#This Row],[Currency]], System_Master_Data!$A$24:$B$29, 2, FALSE), "")</f>
        <v>0.77017999999999998</v>
      </c>
      <c r="R3">
        <f>IF(RawTable[[#This Row],[Exchange_Rate]]="","",ROUND(RawTable[[#This Row],[Gross_Amount]]*RawTable[[#This Row],[Exchange_Rate]],2))</f>
        <v>0</v>
      </c>
      <c r="S3" t="str">
        <f>IF(RawTable[[#This Row],[Entity_Type]]&lt;&gt;"Employee",RawTable[[#This Row],[Entity_Type]],
IF(RawTable[[#This Row],[Country]]="Switzerland","Direct","EOR")
)</f>
        <v>EOR</v>
      </c>
      <c r="T3" t="str">
        <f>IF(RawTable[[#This Row],[Employment_Model]]&lt;&gt;"EOR","",
IFERROR(VLOOKUP(RawTable[[#This Row],[Country]],EORMap[#All],3,FALSE),"")
)</f>
        <v>Remote</v>
      </c>
    </row>
    <row r="4" spans="1:22">
      <c r="A4" s="24">
        <v>3</v>
      </c>
      <c r="B4" s="1" t="s">
        <v>28</v>
      </c>
      <c r="C4" s="3" t="s">
        <v>18</v>
      </c>
      <c r="D4" s="3" t="str">
        <f>IFERROR(VLOOKUP(RawTable[[#This Row],[Entity_Type]], EntityMap[], 2, FALSE), "")</f>
        <v>Payroll</v>
      </c>
      <c r="E4" s="3" t="s">
        <v>6</v>
      </c>
      <c r="F4" s="3" t="s">
        <v>31</v>
      </c>
      <c r="G4" s="3" t="str">
        <f>IFERROR(VLOOKUP(RawTable[[#This Row],[Name]], Name_Master!$A:$E, 4, FALSE), "")</f>
        <v>US-RT-000004936-AC-0000022712</v>
      </c>
      <c r="H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PAY-USA-202602-000003</v>
      </c>
      <c r="I4" s="1">
        <f>IF(RawTable[[#This Row],[Month]]="","",DATE(YEAR(RawTable[[#This Row],[Month]]),MONTH(RawTable[[#This Row],[Month]]),1))</f>
        <v>46054</v>
      </c>
      <c r="J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4" s="3" t="s">
        <v>7</v>
      </c>
      <c r="L4" s="4">
        <v>7521.5</v>
      </c>
      <c r="M4" s="2" t="str">
        <f>IF(RawTable[[#This Row],[Net_Amount]]="","",IF(RawTable[[#This Row],[Payment_Type]]="Vendor_Invoice","Yes","No"))</f>
        <v>No</v>
      </c>
      <c r="N4" s="6">
        <f>IF(D4="Vendor_Invoice",
     IFERROR(
         INDEX(System_Master_Data!$B$9:$B$14,
               MATCH(E4,System_Master_Data!$A$9:$A$14,0)
         ),
     0),
0)</f>
        <v>0</v>
      </c>
      <c r="O4" s="4">
        <f t="shared" si="0"/>
        <v>0</v>
      </c>
      <c r="P4" s="4">
        <f t="shared" si="1"/>
        <v>7521.5</v>
      </c>
      <c r="Q4" s="56">
        <f>IFERROR(VLOOKUP(RawTable[[#This Row],[Currency]], System_Master_Data!$A$24:$B$29, 2, FALSE), "")</f>
        <v>0.77017999999999998</v>
      </c>
      <c r="R4">
        <f>IF(RawTable[[#This Row],[Exchange_Rate]]="","",ROUND(RawTable[[#This Row],[Gross_Amount]]*RawTable[[#This Row],[Exchange_Rate]],2))</f>
        <v>5792.91</v>
      </c>
      <c r="S4" t="str">
        <f>IF(RawTable[[#This Row],[Entity_Type]]&lt;&gt;"Employee",RawTable[[#This Row],[Entity_Type]],
IF(RawTable[[#This Row],[Country]]="Switzerland","Direct","EOR")
)</f>
        <v>EOR</v>
      </c>
      <c r="T4" t="str">
        <f>IF(RawTable[[#This Row],[Employment_Model]]&lt;&gt;"EOR","",
IFERROR(VLOOKUP(RawTable[[#This Row],[Country]],EORMap[#All],3,FALSE),"")
)</f>
        <v>Remote</v>
      </c>
    </row>
    <row r="5" spans="1:22">
      <c r="A5" s="24">
        <v>4</v>
      </c>
      <c r="B5" s="1" t="s">
        <v>30</v>
      </c>
      <c r="C5" s="3" t="s">
        <v>18</v>
      </c>
      <c r="D5" s="3" t="str">
        <f>IFERROR(VLOOKUP(RawTable[[#This Row],[Entity_Type]], EntityMap[], 2, FALSE), "")</f>
        <v>Payroll</v>
      </c>
      <c r="E5" s="3" t="s">
        <v>6</v>
      </c>
      <c r="F5" s="3" t="s">
        <v>32</v>
      </c>
      <c r="G5" s="3" t="str">
        <f>IFERROR(VLOOKUP(RawTable[[#This Row],[Name]], Name_Master!$A:$E, 4, FALSE), "")</f>
        <v>US-RT-000006170-AC-0000028390</v>
      </c>
      <c r="H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PAY-USA-202603-000004</v>
      </c>
      <c r="I5" s="1">
        <f>IF(RawTable[[#This Row],[Month]]="","",DATE(YEAR(RawTable[[#This Row],[Month]]),MONTH(RawTable[[#This Row],[Month]]),1))</f>
        <v>46082</v>
      </c>
      <c r="J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5" s="3" t="s">
        <v>7</v>
      </c>
      <c r="L5" s="4">
        <v>7077</v>
      </c>
      <c r="M5" s="2" t="str">
        <f>IF(RawTable[[#This Row],[Net_Amount]]="","",IF(RawTable[[#This Row],[Payment_Type]]="Vendor_Invoice","Yes","No"))</f>
        <v>No</v>
      </c>
      <c r="N5" s="6">
        <f>IF(D5="Vendor_Invoice",
     IFERROR(
         INDEX(System_Master_Data!$B$9:$B$14,
               MATCH(E5,System_Master_Data!$A$9:$A$14,0)
         ),
     0),
0)</f>
        <v>0</v>
      </c>
      <c r="O5" s="4">
        <f t="shared" si="0"/>
        <v>0</v>
      </c>
      <c r="P5" s="4">
        <f t="shared" si="1"/>
        <v>7077</v>
      </c>
      <c r="Q5" s="56">
        <f>IFERROR(VLOOKUP(RawTable[[#This Row],[Currency]], System_Master_Data!$A$24:$B$29, 2, FALSE), "")</f>
        <v>0.77017999999999998</v>
      </c>
      <c r="R5">
        <f>IF(RawTable[[#This Row],[Exchange_Rate]]="","",ROUND(RawTable[[#This Row],[Gross_Amount]]*RawTable[[#This Row],[Exchange_Rate]],2))</f>
        <v>5450.56</v>
      </c>
      <c r="S5" t="str">
        <f>IF(RawTable[[#This Row],[Entity_Type]]&lt;&gt;"Employee",RawTable[[#This Row],[Entity_Type]],
IF(RawTable[[#This Row],[Country]]="Switzerland","Direct","EOR")
)</f>
        <v>EOR</v>
      </c>
      <c r="T5" t="str">
        <f>IF(RawTable[[#This Row],[Employment_Model]]&lt;&gt;"EOR","",
IFERROR(VLOOKUP(RawTable[[#This Row],[Country]],EORMap[#All],3,FALSE),"")
)</f>
        <v>Remote</v>
      </c>
    </row>
    <row r="6" spans="1:22">
      <c r="A6" s="24">
        <v>5</v>
      </c>
      <c r="B6" s="1" t="s">
        <v>28</v>
      </c>
      <c r="C6" s="3" t="s">
        <v>18</v>
      </c>
      <c r="D6" s="3" t="str">
        <f>IFERROR(VLOOKUP(RawTable[[#This Row],[Entity_Type]], EntityMap[], 2, FALSE), "")</f>
        <v>Payroll</v>
      </c>
      <c r="E6" s="3" t="s">
        <v>4</v>
      </c>
      <c r="F6" s="3" t="s">
        <v>33</v>
      </c>
      <c r="G6" s="3" t="str">
        <f>IFERROR(VLOOKUP(RawTable[[#This Row],[Name]], Name_Master!$A:$E, 4, FALSE), "")</f>
        <v>DE890000000000081474</v>
      </c>
      <c r="H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PAY-Germany-202602-000005</v>
      </c>
      <c r="I6" s="1">
        <f>IF(RawTable[[#This Row],[Month]]="","",DATE(YEAR(RawTable[[#This Row],[Month]]),MONTH(RawTable[[#This Row],[Month]]),1))</f>
        <v>46054</v>
      </c>
      <c r="J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6" s="3" t="s">
        <v>5</v>
      </c>
      <c r="L6" s="4">
        <v>5455.2</v>
      </c>
      <c r="M6" s="2" t="str">
        <f>IF(RawTable[[#This Row],[Net_Amount]]="","",IF(RawTable[[#This Row],[Payment_Type]]="Vendor_Invoice","Yes","No"))</f>
        <v>No</v>
      </c>
      <c r="N6" s="6">
        <f>IF(D6="Vendor_Invoice",
     IFERROR(
         INDEX(System_Master_Data!$B$9:$B$14,
               MATCH(E6,System_Master_Data!$A$9:$A$14,0)
         ),
     0),
0)</f>
        <v>0</v>
      </c>
      <c r="O6" s="4">
        <f t="shared" si="0"/>
        <v>0</v>
      </c>
      <c r="P6" s="4">
        <f t="shared" si="1"/>
        <v>5455.2</v>
      </c>
      <c r="Q6" s="56">
        <f>IFERROR(VLOOKUP(RawTable[[#This Row],[Currency]], System_Master_Data!$A$24:$B$29, 2, FALSE), "")</f>
        <v>0.90888000000000002</v>
      </c>
      <c r="R6">
        <f>IF(RawTable[[#This Row],[Exchange_Rate]]="","",ROUND(RawTable[[#This Row],[Gross_Amount]]*RawTable[[#This Row],[Exchange_Rate]],2))</f>
        <v>4958.12</v>
      </c>
      <c r="S6" t="str">
        <f>IF(RawTable[[#This Row],[Entity_Type]]&lt;&gt;"Employee",RawTable[[#This Row],[Entity_Type]],
IF(RawTable[[#This Row],[Country]]="Switzerland","Direct","EOR")
)</f>
        <v>EOR</v>
      </c>
      <c r="T6" t="str">
        <f>IF(RawTable[[#This Row],[Employment_Model]]&lt;&gt;"EOR","",
IFERROR(VLOOKUP(RawTable[[#This Row],[Country]],EORMap[#All],3,FALSE),"")
)</f>
        <v>Oyster</v>
      </c>
    </row>
    <row r="7" spans="1:22">
      <c r="A7" s="24">
        <v>6</v>
      </c>
      <c r="B7" s="1" t="s">
        <v>35</v>
      </c>
      <c r="C7" s="3" t="s">
        <v>18</v>
      </c>
      <c r="D7" s="3" t="str">
        <f>IFERROR(VLOOKUP(RawTable[[#This Row],[Entity_Type]], EntityMap[], 2, FALSE), "")</f>
        <v>Payroll</v>
      </c>
      <c r="E7" s="3" t="s">
        <v>4</v>
      </c>
      <c r="F7" s="3" t="s">
        <v>34</v>
      </c>
      <c r="G7" s="3" t="str">
        <f>IFERROR(VLOOKUP(RawTable[[#This Row],[Name]], Name_Master!$A:$E, 4, FALSE), "")</f>
        <v>DE890000000000095053</v>
      </c>
      <c r="H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PAY-Germany-202601-000006</v>
      </c>
      <c r="I7" s="1">
        <f>IF(RawTable[[#This Row],[Month]]="","",DATE(YEAR(RawTable[[#This Row],[Month]]),MONTH(RawTable[[#This Row],[Month]]),1))</f>
        <v>46023</v>
      </c>
      <c r="J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7" s="3" t="s">
        <v>5</v>
      </c>
      <c r="L7" s="4">
        <v>5775</v>
      </c>
      <c r="M7" s="2" t="str">
        <f>IF(RawTable[[#This Row],[Net_Amount]]="","",IF(RawTable[[#This Row],[Payment_Type]]="Vendor_Invoice","Yes","No"))</f>
        <v>No</v>
      </c>
      <c r="N7" s="6">
        <f>IF(D7="Vendor_Invoice",
     IFERROR(
         INDEX(System_Master_Data!$B$9:$B$14,
               MATCH(E7,System_Master_Data!$A$9:$A$14,0)
         ),
     0),
0)</f>
        <v>0</v>
      </c>
      <c r="O7" s="4">
        <f t="shared" si="0"/>
        <v>0</v>
      </c>
      <c r="P7" s="4">
        <f t="shared" si="1"/>
        <v>5775</v>
      </c>
      <c r="Q7" s="56">
        <f>IFERROR(VLOOKUP(RawTable[[#This Row],[Currency]], System_Master_Data!$A$24:$B$29, 2, FALSE), "")</f>
        <v>0.90888000000000002</v>
      </c>
      <c r="R7">
        <f>IF(RawTable[[#This Row],[Exchange_Rate]]="","",ROUND(RawTable[[#This Row],[Gross_Amount]]*RawTable[[#This Row],[Exchange_Rate]],2))</f>
        <v>5248.78</v>
      </c>
      <c r="S7" t="str">
        <f>IF(RawTable[[#This Row],[Entity_Type]]&lt;&gt;"Employee",RawTable[[#This Row],[Entity_Type]],
IF(RawTable[[#This Row],[Country]]="Switzerland","Direct","EOR")
)</f>
        <v>EOR</v>
      </c>
      <c r="T7" t="str">
        <f>IF(RawTable[[#This Row],[Employment_Model]]&lt;&gt;"EOR","",
IFERROR(VLOOKUP(RawTable[[#This Row],[Country]],EORMap[#All],3,FALSE),"")
)</f>
        <v>Oyster</v>
      </c>
    </row>
    <row r="8" spans="1:22">
      <c r="A8" s="24">
        <v>7</v>
      </c>
      <c r="B8" s="1" t="s">
        <v>30</v>
      </c>
      <c r="C8" s="3" t="s">
        <v>18</v>
      </c>
      <c r="D8" s="3" t="str">
        <f>IFERROR(VLOOKUP(RawTable[[#This Row],[Entity_Type]], EntityMap[], 2, FALSE), "")</f>
        <v>Payroll</v>
      </c>
      <c r="E8" s="3" t="s">
        <v>10</v>
      </c>
      <c r="F8" s="3" t="s">
        <v>36</v>
      </c>
      <c r="G8" s="3" t="str">
        <f>IFERROR(VLOOKUP(RawTable[[#This Row],[Name]], Name_Master!$A:$E, 4, FALSE), "")</f>
        <v>JO-IBAN-00098760</v>
      </c>
      <c r="H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PAY-Jordan-202603-000007</v>
      </c>
      <c r="I8" s="1">
        <f>IF(RawTable[[#This Row],[Month]]="","",DATE(YEAR(RawTable[[#This Row],[Month]]),MONTH(RawTable[[#This Row],[Month]]),1))</f>
        <v>46082</v>
      </c>
      <c r="J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8" s="3" t="s">
        <v>11</v>
      </c>
      <c r="L8" s="4">
        <v>1837.8</v>
      </c>
      <c r="M8" s="2" t="str">
        <f>IF(RawTable[[#This Row],[Net_Amount]]="","",IF(RawTable[[#This Row],[Payment_Type]]="Vendor_Invoice","Yes","No"))</f>
        <v>No</v>
      </c>
      <c r="N8" s="6">
        <f>IF(D8="Vendor_Invoice",
     IFERROR(
         INDEX(System_Master_Data!$B$9:$B$14,
               MATCH(E8,System_Master_Data!$A$9:$A$14,0)
         ),
     0),
0)</f>
        <v>0</v>
      </c>
      <c r="O8" s="4">
        <f t="shared" si="0"/>
        <v>0</v>
      </c>
      <c r="P8" s="4">
        <f t="shared" si="1"/>
        <v>1837.8</v>
      </c>
      <c r="Q8" s="56">
        <f>IFERROR(VLOOKUP(RawTable[[#This Row],[Currency]], System_Master_Data!$A$24:$B$29, 2, FALSE), "")</f>
        <v>1.08643</v>
      </c>
      <c r="R8">
        <f>IF(RawTable[[#This Row],[Exchange_Rate]]="","",ROUND(RawTable[[#This Row],[Gross_Amount]]*RawTable[[#This Row],[Exchange_Rate]],2))</f>
        <v>1996.64</v>
      </c>
      <c r="S8" t="str">
        <f>IF(RawTable[[#This Row],[Entity_Type]]&lt;&gt;"Employee",RawTable[[#This Row],[Entity_Type]],
IF(RawTable[[#This Row],[Country]]="Switzerland","Direct","EOR")
)</f>
        <v>EOR</v>
      </c>
      <c r="T8" t="str">
        <f>IF(RawTable[[#This Row],[Employment_Model]]&lt;&gt;"EOR","",
IFERROR(VLOOKUP(RawTable[[#This Row],[Country]],EORMap[#All],3,FALSE),"")
)</f>
        <v>Oyster</v>
      </c>
    </row>
    <row r="9" spans="1:22">
      <c r="A9" s="24">
        <v>8</v>
      </c>
      <c r="B9" s="1" t="s">
        <v>30</v>
      </c>
      <c r="C9" s="3" t="s">
        <v>18</v>
      </c>
      <c r="D9" s="3" t="str">
        <f>IFERROR(VLOOKUP(RawTable[[#This Row],[Entity_Type]], EntityMap[], 2, FALSE), "")</f>
        <v>Payroll</v>
      </c>
      <c r="E9" s="3" t="s">
        <v>4</v>
      </c>
      <c r="F9" s="3" t="s">
        <v>37</v>
      </c>
      <c r="G9" s="3" t="str">
        <f>IFERROR(VLOOKUP(RawTable[[#This Row],[Name]], Name_Master!$A:$E, 4, FALSE), "")</f>
        <v>DE890000000000122211</v>
      </c>
      <c r="H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PAY-Germany-202603-000008</v>
      </c>
      <c r="I9" s="1">
        <f>IF(RawTable[[#This Row],[Month]]="","",DATE(YEAR(RawTable[[#This Row],[Month]]),MONTH(RawTable[[#This Row],[Month]]),1))</f>
        <v>46082</v>
      </c>
      <c r="J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9" s="3" t="s">
        <v>5</v>
      </c>
      <c r="L9" s="4">
        <v>6138.6</v>
      </c>
      <c r="M9" s="2" t="str">
        <f>IF(RawTable[[#This Row],[Net_Amount]]="","",IF(RawTable[[#This Row],[Payment_Type]]="Vendor_Invoice","Yes","No"))</f>
        <v>No</v>
      </c>
      <c r="N9" s="6">
        <f>IF(D9="Vendor_Invoice",
     IFERROR(
         INDEX(System_Master_Data!$B$9:$B$14,
               MATCH(E9,System_Master_Data!$A$9:$A$14,0)
         ),
     0),
0)</f>
        <v>0</v>
      </c>
      <c r="O9" s="4">
        <f t="shared" si="0"/>
        <v>0</v>
      </c>
      <c r="P9" s="4">
        <f t="shared" si="1"/>
        <v>6138.6</v>
      </c>
      <c r="Q9" s="56">
        <f>IFERROR(VLOOKUP(RawTable[[#This Row],[Currency]], System_Master_Data!$A$24:$B$29, 2, FALSE), "")</f>
        <v>0.90888000000000002</v>
      </c>
      <c r="R9">
        <f>IF(RawTable[[#This Row],[Exchange_Rate]]="","",ROUND(RawTable[[#This Row],[Gross_Amount]]*RawTable[[#This Row],[Exchange_Rate]],2))</f>
        <v>5579.25</v>
      </c>
      <c r="S9" t="str">
        <f>IF(RawTable[[#This Row],[Entity_Type]]&lt;&gt;"Employee",RawTable[[#This Row],[Entity_Type]],
IF(RawTable[[#This Row],[Country]]="Switzerland","Direct","EOR")
)</f>
        <v>EOR</v>
      </c>
      <c r="T9" t="str">
        <f>IF(RawTable[[#This Row],[Employment_Model]]&lt;&gt;"EOR","",
IFERROR(VLOOKUP(RawTable[[#This Row],[Country]],EORMap[#All],3,FALSE),"")
)</f>
        <v>Oyster</v>
      </c>
    </row>
    <row r="10" spans="1:22">
      <c r="A10" s="24">
        <v>9</v>
      </c>
      <c r="B10" s="1" t="s">
        <v>30</v>
      </c>
      <c r="C10" s="3" t="s">
        <v>18</v>
      </c>
      <c r="D10" s="3" t="str">
        <f>IFERROR(VLOOKUP(RawTable[[#This Row],[Entity_Type]], EntityMap[], 2, FALSE), "")</f>
        <v>Payroll</v>
      </c>
      <c r="E10" s="3" t="s">
        <v>6</v>
      </c>
      <c r="F10" s="3" t="s">
        <v>38</v>
      </c>
      <c r="G10" s="3" t="str">
        <f>IFERROR(VLOOKUP(RawTable[[#This Row],[Name]], Name_Master!$A:$E, 4, FALSE), "")</f>
        <v>US-RT-000012340-AC-0000056780</v>
      </c>
      <c r="H1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PAY-USA-202603-000009</v>
      </c>
      <c r="I10" s="1">
        <f>IF(RawTable[[#This Row],[Month]]="","",DATE(YEAR(RawTable[[#This Row],[Month]]),MONTH(RawTable[[#This Row],[Month]]),1))</f>
        <v>46082</v>
      </c>
      <c r="J1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0" s="3" t="s">
        <v>7</v>
      </c>
      <c r="L10" s="4">
        <v>7459.9</v>
      </c>
      <c r="M10" s="2" t="str">
        <f>IF(RawTable[[#This Row],[Net_Amount]]="","",IF(RawTable[[#This Row],[Payment_Type]]="Vendor_Invoice","Yes","No"))</f>
        <v>No</v>
      </c>
      <c r="N10" s="6">
        <f>IF(D10="Vendor_Invoice",
     IFERROR(
         INDEX(System_Master_Data!$B$9:$B$14,
               MATCH(E10,System_Master_Data!$A$9:$A$14,0)
         ),
     0),
0)</f>
        <v>0</v>
      </c>
      <c r="O10" s="4">
        <f t="shared" si="0"/>
        <v>0</v>
      </c>
      <c r="P10" s="4">
        <f t="shared" si="1"/>
        <v>7459.9</v>
      </c>
      <c r="Q10" s="56">
        <f>IFERROR(VLOOKUP(RawTable[[#This Row],[Currency]], System_Master_Data!$A$24:$B$29, 2, FALSE), "")</f>
        <v>0.77017999999999998</v>
      </c>
      <c r="R10">
        <f>IF(RawTable[[#This Row],[Exchange_Rate]]="","",ROUND(RawTable[[#This Row],[Gross_Amount]]*RawTable[[#This Row],[Exchange_Rate]],2))</f>
        <v>5745.47</v>
      </c>
      <c r="S10" t="str">
        <f>IF(RawTable[[#This Row],[Entity_Type]]&lt;&gt;"Employee",RawTable[[#This Row],[Entity_Type]],
IF(RawTable[[#This Row],[Country]]="Switzerland","Direct","EOR")
)</f>
        <v>EOR</v>
      </c>
      <c r="T10" t="str">
        <f>IF(RawTable[[#This Row],[Employment_Model]]&lt;&gt;"EOR","",
IFERROR(VLOOKUP(RawTable[[#This Row],[Country]],EORMap[#All],3,FALSE),"")
)</f>
        <v>Remote</v>
      </c>
    </row>
    <row r="11" spans="1:22">
      <c r="A11" s="24">
        <v>10</v>
      </c>
      <c r="B11" s="1" t="s">
        <v>30</v>
      </c>
      <c r="C11" s="3" t="s">
        <v>18</v>
      </c>
      <c r="D11" s="3" t="str">
        <f>IFERROR(VLOOKUP(RawTable[[#This Row],[Entity_Type]], EntityMap[], 2, FALSE), "")</f>
        <v>Payroll</v>
      </c>
      <c r="E11" s="3" t="s">
        <v>6</v>
      </c>
      <c r="F11" s="3" t="s">
        <v>39</v>
      </c>
      <c r="G11" s="3" t="str">
        <f>IFERROR(VLOOKUP(RawTable[[#This Row],[Name]], Name_Master!$A:$E, 4, FALSE), "")</f>
        <v>US-RT-000013574-AC-0000062458</v>
      </c>
      <c r="H1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PAY-USA-202603-000010</v>
      </c>
      <c r="I11" s="1">
        <f>IF(RawTable[[#This Row],[Month]]="","",DATE(YEAR(RawTable[[#This Row],[Month]]),MONTH(RawTable[[#This Row],[Month]]),1))</f>
        <v>46082</v>
      </c>
      <c r="J1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1" s="3" t="s">
        <v>7</v>
      </c>
      <c r="L11" s="4">
        <v>7142.8</v>
      </c>
      <c r="M11" s="2" t="str">
        <f>IF(RawTable[[#This Row],[Net_Amount]]="","",IF(RawTable[[#This Row],[Payment_Type]]="Vendor_Invoice","Yes","No"))</f>
        <v>No</v>
      </c>
      <c r="N11" s="6">
        <f>IF(D11="Vendor_Invoice",
     IFERROR(
         INDEX(System_Master_Data!$B$9:$B$14,
               MATCH(E11,System_Master_Data!$A$9:$A$14,0)
         ),
     0),
0)</f>
        <v>0</v>
      </c>
      <c r="O11" s="4">
        <f t="shared" si="0"/>
        <v>0</v>
      </c>
      <c r="P11" s="4">
        <f t="shared" si="1"/>
        <v>7142.8</v>
      </c>
      <c r="Q11" s="56">
        <f>IFERROR(VLOOKUP(RawTable[[#This Row],[Currency]], System_Master_Data!$A$24:$B$29, 2, FALSE), "")</f>
        <v>0.77017999999999998</v>
      </c>
      <c r="R11">
        <f>IF(RawTable[[#This Row],[Exchange_Rate]]="","",ROUND(RawTable[[#This Row],[Gross_Amount]]*RawTable[[#This Row],[Exchange_Rate]],2))</f>
        <v>5501.24</v>
      </c>
      <c r="S11" t="str">
        <f>IF(RawTable[[#This Row],[Entity_Type]]&lt;&gt;"Employee",RawTable[[#This Row],[Entity_Type]],
IF(RawTable[[#This Row],[Country]]="Switzerland","Direct","EOR")
)</f>
        <v>EOR</v>
      </c>
      <c r="T11" t="str">
        <f>IF(RawTable[[#This Row],[Employment_Model]]&lt;&gt;"EOR","",
IFERROR(VLOOKUP(RawTable[[#This Row],[Country]],EORMap[#All],3,FALSE),"")
)</f>
        <v>Remote</v>
      </c>
    </row>
    <row r="12" spans="1:22">
      <c r="A12" s="24">
        <v>11</v>
      </c>
      <c r="B12" s="1" t="s">
        <v>28</v>
      </c>
      <c r="C12" s="3" t="s">
        <v>18</v>
      </c>
      <c r="D12" s="3" t="str">
        <f>IFERROR(VLOOKUP(RawTable[[#This Row],[Entity_Type]], EntityMap[], 2, FALSE), "")</f>
        <v>Payroll</v>
      </c>
      <c r="E12" s="3" t="s">
        <v>10</v>
      </c>
      <c r="F12" s="3" t="s">
        <v>40</v>
      </c>
      <c r="G12" s="3" t="str">
        <f>IFERROR(VLOOKUP(RawTable[[#This Row],[Name]], Name_Master!$A:$E, 4, FALSE), "")</f>
        <v>JO-IBAN-00148140</v>
      </c>
      <c r="H1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PAY-Jordan-202602-000011</v>
      </c>
      <c r="I12" s="1">
        <f>IF(RawTable[[#This Row],[Month]]="","",DATE(YEAR(RawTable[[#This Row],[Month]]),MONTH(RawTable[[#This Row],[Month]]),1))</f>
        <v>46054</v>
      </c>
      <c r="J1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2" s="3" t="s">
        <v>11</v>
      </c>
      <c r="L12" s="4">
        <v>1971.72</v>
      </c>
      <c r="M12" s="2" t="str">
        <f>IF(RawTable[[#This Row],[Net_Amount]]="","",IF(RawTable[[#This Row],[Payment_Type]]="Vendor_Invoice","Yes","No"))</f>
        <v>No</v>
      </c>
      <c r="N12" s="6">
        <f>IF(D12="Vendor_Invoice",
     IFERROR(
         INDEX(System_Master_Data!$B$9:$B$14,
               MATCH(E12,System_Master_Data!$A$9:$A$14,0)
         ),
     0),
0)</f>
        <v>0</v>
      </c>
      <c r="O12" s="4">
        <f t="shared" si="0"/>
        <v>0</v>
      </c>
      <c r="P12" s="4">
        <f t="shared" si="1"/>
        <v>1971.72</v>
      </c>
      <c r="Q12" s="56">
        <f>IFERROR(VLOOKUP(RawTable[[#This Row],[Currency]], System_Master_Data!$A$24:$B$29, 2, FALSE), "")</f>
        <v>1.08643</v>
      </c>
      <c r="R12">
        <f>IF(RawTable[[#This Row],[Exchange_Rate]]="","",ROUND(RawTable[[#This Row],[Gross_Amount]]*RawTable[[#This Row],[Exchange_Rate]],2))</f>
        <v>2142.14</v>
      </c>
      <c r="S12" t="str">
        <f>IF(RawTable[[#This Row],[Entity_Type]]&lt;&gt;"Employee",RawTable[[#This Row],[Entity_Type]],
IF(RawTable[[#This Row],[Country]]="Switzerland","Direct","EOR")
)</f>
        <v>EOR</v>
      </c>
      <c r="T12" t="str">
        <f>IF(RawTable[[#This Row],[Employment_Model]]&lt;&gt;"EOR","",
IFERROR(VLOOKUP(RawTable[[#This Row],[Country]],EORMap[#All],3,FALSE),"")
)</f>
        <v>Oyster</v>
      </c>
    </row>
    <row r="13" spans="1:22">
      <c r="A13" s="24">
        <v>12</v>
      </c>
      <c r="B13" s="1" t="s">
        <v>35</v>
      </c>
      <c r="C13" s="3" t="s">
        <v>18</v>
      </c>
      <c r="D13" s="3" t="str">
        <f>IFERROR(VLOOKUP(RawTable[[#This Row],[Entity_Type]], EntityMap[], 2, FALSE), "")</f>
        <v>Payroll</v>
      </c>
      <c r="E13" s="3" t="s">
        <v>6</v>
      </c>
      <c r="F13" s="3" t="s">
        <v>39</v>
      </c>
      <c r="G13" s="3" t="str">
        <f>IFERROR(VLOOKUP(RawTable[[#This Row],[Name]], Name_Master!$A:$E, 4, FALSE), "")</f>
        <v>US-RT-000013574-AC-0000062458</v>
      </c>
      <c r="H1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PAY-USA-202601-000012</v>
      </c>
      <c r="I13" s="1">
        <f>IF(RawTable[[#This Row],[Month]]="","",DATE(YEAR(RawTable[[#This Row],[Month]]),MONTH(RawTable[[#This Row],[Month]]),1))</f>
        <v>46023</v>
      </c>
      <c r="J1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3" s="3" t="s">
        <v>7</v>
      </c>
      <c r="L13" s="4">
        <v>7249.94</v>
      </c>
      <c r="M13" s="2" t="str">
        <f>IF(RawTable[[#This Row],[Net_Amount]]="","",IF(RawTable[[#This Row],[Payment_Type]]="Vendor_Invoice","Yes","No"))</f>
        <v>No</v>
      </c>
      <c r="N13" s="6">
        <f>IF(D13="Vendor_Invoice",
     IFERROR(
         INDEX(System_Master_Data!$B$9:$B$14,
               MATCH(E13,System_Master_Data!$A$9:$A$14,0)
         ),
     0),
0)</f>
        <v>0</v>
      </c>
      <c r="O13" s="4">
        <f t="shared" si="0"/>
        <v>0</v>
      </c>
      <c r="P13" s="4">
        <f t="shared" si="1"/>
        <v>7249.94</v>
      </c>
      <c r="Q13" s="56">
        <f>IFERROR(VLOOKUP(RawTable[[#This Row],[Currency]], System_Master_Data!$A$24:$B$29, 2, FALSE), "")</f>
        <v>0.77017999999999998</v>
      </c>
      <c r="R13">
        <f>IF(RawTable[[#This Row],[Exchange_Rate]]="","",ROUND(RawTable[[#This Row],[Gross_Amount]]*RawTable[[#This Row],[Exchange_Rate]],2))</f>
        <v>5583.76</v>
      </c>
      <c r="S13" t="str">
        <f>IF(RawTable[[#This Row],[Entity_Type]]&lt;&gt;"Employee",RawTable[[#This Row],[Entity_Type]],
IF(RawTable[[#This Row],[Country]]="Switzerland","Direct","EOR")
)</f>
        <v>EOR</v>
      </c>
      <c r="T13" t="str">
        <f>IF(RawTable[[#This Row],[Employment_Model]]&lt;&gt;"EOR","",
IFERROR(VLOOKUP(RawTable[[#This Row],[Country]],EORMap[#All],3,FALSE),"")
)</f>
        <v>Remote</v>
      </c>
    </row>
    <row r="14" spans="1:22">
      <c r="A14" s="24">
        <v>13</v>
      </c>
      <c r="B14" s="1" t="s">
        <v>35</v>
      </c>
      <c r="C14" s="3" t="s">
        <v>18</v>
      </c>
      <c r="D14" s="3" t="str">
        <f>IFERROR(VLOOKUP(RawTable[[#This Row],[Entity_Type]], EntityMap[], 2, FALSE), "")</f>
        <v>Payroll</v>
      </c>
      <c r="E14" s="3" t="s">
        <v>2</v>
      </c>
      <c r="F14" s="3" t="s">
        <v>41</v>
      </c>
      <c r="G14" s="3" t="str">
        <f>IFERROR(VLOOKUP(RawTable[[#This Row],[Name]], Name_Master!$A:$E, 4, FALSE), "")</f>
        <v>CH930000000000320840</v>
      </c>
      <c r="H1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PAY-Switzerland-202601-000013</v>
      </c>
      <c r="I14" s="1">
        <f>IF(RawTable[[#This Row],[Month]]="","",DATE(YEAR(RawTable[[#This Row],[Month]]),MONTH(RawTable[[#This Row],[Month]]),1))</f>
        <v>46023</v>
      </c>
      <c r="J1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4" s="3" t="s">
        <v>3</v>
      </c>
      <c r="L14" s="4">
        <v>6364.8</v>
      </c>
      <c r="M14" s="2" t="str">
        <f>IF(RawTable[[#This Row],[Net_Amount]]="","",IF(RawTable[[#This Row],[Payment_Type]]="Vendor_Invoice","Yes","No"))</f>
        <v>No</v>
      </c>
      <c r="N14" s="6">
        <f>IF(D14="Vendor_Invoice",
     IFERROR(
         INDEX(System_Master_Data!$B$9:$B$14,
               MATCH(E14,System_Master_Data!$A$9:$A$14,0)
         ),
     0),
0)</f>
        <v>0</v>
      </c>
      <c r="O14" s="4">
        <f t="shared" si="0"/>
        <v>0</v>
      </c>
      <c r="P14" s="4">
        <f t="shared" si="1"/>
        <v>6364.8</v>
      </c>
      <c r="Q14" s="56">
        <f>IFERROR(VLOOKUP(RawTable[[#This Row],[Currency]], System_Master_Data!$A$24:$B$29, 2, FALSE), "")</f>
        <v>1</v>
      </c>
      <c r="R14">
        <f>IF(RawTable[[#This Row],[Exchange_Rate]]="","",ROUND(RawTable[[#This Row],[Gross_Amount]]*RawTable[[#This Row],[Exchange_Rate]],2))</f>
        <v>6364.8</v>
      </c>
      <c r="S14" t="str">
        <f>IF(RawTable[[#This Row],[Entity_Type]]&lt;&gt;"Employee",RawTable[[#This Row],[Entity_Type]],
IF(RawTable[[#This Row],[Country]]="Switzerland","Direct","EOR")
)</f>
        <v>Direct</v>
      </c>
      <c r="T14" t="str">
        <f>IF(RawTable[[#This Row],[Employment_Model]]&lt;&gt;"EOR","",
IFERROR(VLOOKUP(RawTable[[#This Row],[Country]],EORMap[#All],3,FALSE),"")
)</f>
        <v/>
      </c>
    </row>
    <row r="15" spans="1:22">
      <c r="A15" s="24">
        <v>14</v>
      </c>
      <c r="B15" s="1" t="s">
        <v>30</v>
      </c>
      <c r="C15" s="3" t="s">
        <v>18</v>
      </c>
      <c r="D15" s="3" t="str">
        <f>IFERROR(VLOOKUP(RawTable[[#This Row],[Entity_Type]], EntityMap[], 2, FALSE), "")</f>
        <v>Payroll</v>
      </c>
      <c r="E15" s="3" t="s">
        <v>4</v>
      </c>
      <c r="F15" s="3" t="s">
        <v>42</v>
      </c>
      <c r="G15" s="3" t="str">
        <f>IFERROR(VLOOKUP(RawTable[[#This Row],[Name]], Name_Master!$A:$E, 4, FALSE), "")</f>
        <v>DE890000000000190106</v>
      </c>
      <c r="H1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PAY-Germany-202603-000014</v>
      </c>
      <c r="I15" s="1">
        <f>IF(RawTable[[#This Row],[Month]]="","",DATE(YEAR(RawTable[[#This Row],[Month]]),MONTH(RawTable[[#This Row],[Month]]),1))</f>
        <v>46082</v>
      </c>
      <c r="J1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5" s="3" t="s">
        <v>5</v>
      </c>
      <c r="L15" s="4">
        <v>6234</v>
      </c>
      <c r="M15" s="2" t="str">
        <f>IF(RawTable[[#This Row],[Net_Amount]]="","",IF(RawTable[[#This Row],[Payment_Type]]="Vendor_Invoice","Yes","No"))</f>
        <v>No</v>
      </c>
      <c r="N15" s="6">
        <f>IF(D15="Vendor_Invoice",
     IFERROR(
         INDEX(System_Master_Data!$B$9:$B$14,
               MATCH(E15,System_Master_Data!$A$9:$A$14,0)
         ),
     0),
0)</f>
        <v>0</v>
      </c>
      <c r="O15" s="4">
        <f t="shared" si="0"/>
        <v>0</v>
      </c>
      <c r="P15" s="4">
        <f t="shared" si="1"/>
        <v>6234</v>
      </c>
      <c r="Q15" s="56">
        <f>IFERROR(VLOOKUP(RawTable[[#This Row],[Currency]], System_Master_Data!$A$24:$B$29, 2, FALSE), "")</f>
        <v>0.90888000000000002</v>
      </c>
      <c r="R15">
        <f>IF(RawTable[[#This Row],[Exchange_Rate]]="","",ROUND(RawTable[[#This Row],[Gross_Amount]]*RawTable[[#This Row],[Exchange_Rate]],2))</f>
        <v>5665.96</v>
      </c>
      <c r="S15" t="str">
        <f>IF(RawTable[[#This Row],[Entity_Type]]&lt;&gt;"Employee",RawTable[[#This Row],[Entity_Type]],
IF(RawTable[[#This Row],[Country]]="Switzerland","Direct","EOR")
)</f>
        <v>EOR</v>
      </c>
      <c r="T15" t="str">
        <f>IF(RawTable[[#This Row],[Employment_Model]]&lt;&gt;"EOR","",
IFERROR(VLOOKUP(RawTable[[#This Row],[Country]],EORMap[#All],3,FALSE),"")
)</f>
        <v>Oyster</v>
      </c>
    </row>
    <row r="16" spans="1:22">
      <c r="A16" s="24">
        <v>15</v>
      </c>
      <c r="B16" s="1" t="s">
        <v>30</v>
      </c>
      <c r="C16" s="3" t="s">
        <v>18</v>
      </c>
      <c r="D16" s="3" t="str">
        <f>IFERROR(VLOOKUP(RawTable[[#This Row],[Entity_Type]], EntityMap[], 2, FALSE), "")</f>
        <v>Payroll</v>
      </c>
      <c r="E16" s="3" t="s">
        <v>4</v>
      </c>
      <c r="F16" s="3" t="s">
        <v>43</v>
      </c>
      <c r="G16" s="3" t="str">
        <f>IFERROR(VLOOKUP(RawTable[[#This Row],[Name]], Name_Master!$A:$E, 4, FALSE), "")</f>
        <v>DE890000000000203685</v>
      </c>
      <c r="H1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PAY-Germany-202603-000015</v>
      </c>
      <c r="I16" s="1">
        <f>IF(RawTable[[#This Row],[Month]]="","",DATE(YEAR(RawTable[[#This Row],[Month]]),MONTH(RawTable[[#This Row],[Month]]),1))</f>
        <v>46082</v>
      </c>
      <c r="J1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6" s="3" t="s">
        <v>5</v>
      </c>
      <c r="L16" s="4">
        <v>6423</v>
      </c>
      <c r="M16" s="2" t="str">
        <f>IF(RawTable[[#This Row],[Net_Amount]]="","",IF(RawTable[[#This Row],[Payment_Type]]="Vendor_Invoice","Yes","No"))</f>
        <v>No</v>
      </c>
      <c r="N16" s="6">
        <f>IF(D16="Vendor_Invoice",
     IFERROR(
         INDEX(System_Master_Data!$B$9:$B$14,
               MATCH(E16,System_Master_Data!$A$9:$A$14,0)
         ),
     0),
0)</f>
        <v>0</v>
      </c>
      <c r="O16" s="4">
        <f t="shared" si="0"/>
        <v>0</v>
      </c>
      <c r="P16" s="4">
        <f t="shared" si="1"/>
        <v>6423</v>
      </c>
      <c r="Q16" s="56">
        <f>IFERROR(VLOOKUP(RawTable[[#This Row],[Currency]], System_Master_Data!$A$24:$B$29, 2, FALSE), "")</f>
        <v>0.90888000000000002</v>
      </c>
      <c r="R16">
        <f>IF(RawTable[[#This Row],[Exchange_Rate]]="","",ROUND(RawTable[[#This Row],[Gross_Amount]]*RawTable[[#This Row],[Exchange_Rate]],2))</f>
        <v>5837.74</v>
      </c>
      <c r="S16" t="str">
        <f>IF(RawTable[[#This Row],[Entity_Type]]&lt;&gt;"Employee",RawTable[[#This Row],[Entity_Type]],
IF(RawTable[[#This Row],[Country]]="Switzerland","Direct","EOR")
)</f>
        <v>EOR</v>
      </c>
      <c r="T16" t="str">
        <f>IF(RawTable[[#This Row],[Employment_Model]]&lt;&gt;"EOR","",
IFERROR(VLOOKUP(RawTable[[#This Row],[Country]],EORMap[#All],3,FALSE),"")
)</f>
        <v>Oyster</v>
      </c>
    </row>
    <row r="17" spans="1:20">
      <c r="A17" s="24">
        <v>16</v>
      </c>
      <c r="B17" s="1" t="s">
        <v>35</v>
      </c>
      <c r="C17" s="3" t="s">
        <v>18</v>
      </c>
      <c r="D17" s="3" t="str">
        <f>IFERROR(VLOOKUP(RawTable[[#This Row],[Entity_Type]], EntityMap[], 2, FALSE), "")</f>
        <v>Payroll</v>
      </c>
      <c r="E17" s="3" t="s">
        <v>8</v>
      </c>
      <c r="F17" s="3" t="s">
        <v>44</v>
      </c>
      <c r="G17" s="3" t="str">
        <f>IFERROR(VLOOKUP(RawTable[[#This Row],[Name]], Name_Master!$A:$E, 4, FALSE), "")</f>
        <v>AE-IBAN-00869136</v>
      </c>
      <c r="H1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PAY-UAE-202601-000016</v>
      </c>
      <c r="I17" s="1">
        <f>IF(RawTable[[#This Row],[Month]]="","",DATE(YEAR(RawTable[[#This Row],[Month]]),MONTH(RawTable[[#This Row],[Month]]),1))</f>
        <v>46023</v>
      </c>
      <c r="J1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7" s="3" t="s">
        <v>9</v>
      </c>
      <c r="L17" s="4">
        <v>23839.200000000001</v>
      </c>
      <c r="M17" s="2" t="str">
        <f>IF(RawTable[[#This Row],[Net_Amount]]="","",IF(RawTable[[#This Row],[Payment_Type]]="Vendor_Invoice","Yes","No"))</f>
        <v>No</v>
      </c>
      <c r="N17" s="6">
        <f>IF(D17="Vendor_Invoice",
     IFERROR(
         INDEX(System_Master_Data!$B$9:$B$14,
               MATCH(E17,System_Master_Data!$A$9:$A$14,0)
         ),
     0),
0)</f>
        <v>0</v>
      </c>
      <c r="O17" s="4">
        <f t="shared" si="0"/>
        <v>0</v>
      </c>
      <c r="P17" s="4">
        <f t="shared" si="1"/>
        <v>23839.200000000001</v>
      </c>
      <c r="Q17" s="56">
        <f>IFERROR(VLOOKUP(RawTable[[#This Row],[Currency]], System_Master_Data!$A$24:$B$29, 2, FALSE), "")</f>
        <v>0.21065</v>
      </c>
      <c r="R17">
        <f>IF(RawTable[[#This Row],[Exchange_Rate]]="","",ROUND(RawTable[[#This Row],[Gross_Amount]]*RawTable[[#This Row],[Exchange_Rate]],2))</f>
        <v>5021.7299999999996</v>
      </c>
      <c r="S17" t="str">
        <f>IF(RawTable[[#This Row],[Entity_Type]]&lt;&gt;"Employee",RawTable[[#This Row],[Entity_Type]],
IF(RawTable[[#This Row],[Country]]="Switzerland","Direct","EOR")
)</f>
        <v>EOR</v>
      </c>
      <c r="T17" t="str">
        <f>IF(RawTable[[#This Row],[Employment_Model]]&lt;&gt;"EOR","",
IFERROR(VLOOKUP(RawTable[[#This Row],[Country]],EORMap[#All],3,FALSE),"")
)</f>
        <v>Deel</v>
      </c>
    </row>
    <row r="18" spans="1:20">
      <c r="A18" s="24">
        <v>17</v>
      </c>
      <c r="B18" s="1" t="s">
        <v>28</v>
      </c>
      <c r="C18" s="3" t="s">
        <v>18</v>
      </c>
      <c r="D18" s="3" t="str">
        <f>IFERROR(VLOOKUP(RawTable[[#This Row],[Entity_Type]], EntityMap[], 2, FALSE), "")</f>
        <v>Payroll</v>
      </c>
      <c r="E18" s="3" t="s">
        <v>10</v>
      </c>
      <c r="F18" s="3" t="s">
        <v>45</v>
      </c>
      <c r="G18" s="3" t="str">
        <f>IFERROR(VLOOKUP(RawTable[[#This Row],[Name]], Name_Master!$A:$E, 4, FALSE), "")</f>
        <v>JO-IBAN-00209865</v>
      </c>
      <c r="H1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PAY-Jordan-202602-000017</v>
      </c>
      <c r="I18" s="1">
        <f>IF(RawTable[[#This Row],[Month]]="","",DATE(YEAR(RawTable[[#This Row],[Month]]),MONTH(RawTable[[#This Row],[Month]]),1))</f>
        <v>46054</v>
      </c>
      <c r="J1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8" s="3" t="s">
        <v>11</v>
      </c>
      <c r="L18" s="4">
        <v>1873.8</v>
      </c>
      <c r="M18" s="2" t="str">
        <f>IF(RawTable[[#This Row],[Net_Amount]]="","",IF(RawTable[[#This Row],[Payment_Type]]="Vendor_Invoice","Yes","No"))</f>
        <v>No</v>
      </c>
      <c r="N18" s="6">
        <f>IF(D18="Vendor_Invoice",
     IFERROR(
         INDEX(System_Master_Data!$B$9:$B$14,
               MATCH(E18,System_Master_Data!$A$9:$A$14,0)
         ),
     0),
0)</f>
        <v>0</v>
      </c>
      <c r="O18" s="4">
        <f t="shared" si="0"/>
        <v>0</v>
      </c>
      <c r="P18" s="4">
        <f t="shared" si="1"/>
        <v>1873.8</v>
      </c>
      <c r="Q18" s="56">
        <f>IFERROR(VLOOKUP(RawTable[[#This Row],[Currency]], System_Master_Data!$A$24:$B$29, 2, FALSE), "")</f>
        <v>1.08643</v>
      </c>
      <c r="R18">
        <f>IF(RawTable[[#This Row],[Exchange_Rate]]="","",ROUND(RawTable[[#This Row],[Gross_Amount]]*RawTable[[#This Row],[Exchange_Rate]],2))</f>
        <v>2035.75</v>
      </c>
      <c r="S18" t="str">
        <f>IF(RawTable[[#This Row],[Entity_Type]]&lt;&gt;"Employee",RawTable[[#This Row],[Entity_Type]],
IF(RawTable[[#This Row],[Country]]="Switzerland","Direct","EOR")
)</f>
        <v>EOR</v>
      </c>
      <c r="T18" t="str">
        <f>IF(RawTable[[#This Row],[Employment_Model]]&lt;&gt;"EOR","",
IFERROR(VLOOKUP(RawTable[[#This Row],[Country]],EORMap[#All],3,FALSE),"")
)</f>
        <v>Oyster</v>
      </c>
    </row>
    <row r="19" spans="1:20">
      <c r="A19" s="24">
        <v>18</v>
      </c>
      <c r="B19" s="1" t="s">
        <v>35</v>
      </c>
      <c r="C19" s="3" t="s">
        <v>18</v>
      </c>
      <c r="D19" s="3" t="str">
        <f>IFERROR(VLOOKUP(RawTable[[#This Row],[Entity_Type]], EntityMap[], 2, FALSE), "")</f>
        <v>Payroll</v>
      </c>
      <c r="E19" s="3" t="s">
        <v>2</v>
      </c>
      <c r="F19" s="3" t="s">
        <v>46</v>
      </c>
      <c r="G19" s="3" t="str">
        <f>IFERROR(VLOOKUP(RawTable[[#This Row],[Name]], Name_Master!$A:$E, 4, FALSE), "")</f>
        <v>CH930000000000444240</v>
      </c>
      <c r="H1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PAY-Switzerland-202601-000018</v>
      </c>
      <c r="I19" s="1">
        <f>IF(RawTable[[#This Row],[Month]]="","",DATE(YEAR(RawTable[[#This Row],[Month]]),MONTH(RawTable[[#This Row],[Month]]),1))</f>
        <v>46023</v>
      </c>
      <c r="J1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9" s="3" t="s">
        <v>3</v>
      </c>
      <c r="L19" s="4">
        <v>6985.55</v>
      </c>
      <c r="M19" s="2" t="str">
        <f>IF(RawTable[[#This Row],[Net_Amount]]="","",IF(RawTable[[#This Row],[Payment_Type]]="Vendor_Invoice","Yes","No"))</f>
        <v>No</v>
      </c>
      <c r="N19" s="6">
        <f>IF(D19="Vendor_Invoice",
     IFERROR(
         INDEX(System_Master_Data!$B$9:$B$14,
               MATCH(E19,System_Master_Data!$A$9:$A$14,0)
         ),
     0),
0)</f>
        <v>0</v>
      </c>
      <c r="O19" s="4">
        <f t="shared" si="0"/>
        <v>0</v>
      </c>
      <c r="P19" s="4">
        <f t="shared" si="1"/>
        <v>6985.55</v>
      </c>
      <c r="Q19" s="56">
        <f>IFERROR(VLOOKUP(RawTable[[#This Row],[Currency]], System_Master_Data!$A$24:$B$29, 2, FALSE), "")</f>
        <v>1</v>
      </c>
      <c r="R19">
        <f>IF(RawTable[[#This Row],[Exchange_Rate]]="","",ROUND(RawTable[[#This Row],[Gross_Amount]]*RawTable[[#This Row],[Exchange_Rate]],2))</f>
        <v>6985.55</v>
      </c>
      <c r="S19" t="str">
        <f>IF(RawTable[[#This Row],[Entity_Type]]&lt;&gt;"Employee",RawTable[[#This Row],[Entity_Type]],
IF(RawTable[[#This Row],[Country]]="Switzerland","Direct","EOR")
)</f>
        <v>Direct</v>
      </c>
      <c r="T19" t="str">
        <f>IF(RawTable[[#This Row],[Employment_Model]]&lt;&gt;"EOR","",
IFERROR(VLOOKUP(RawTable[[#This Row],[Country]],EORMap[#All],3,FALSE),"")
)</f>
        <v/>
      </c>
    </row>
    <row r="20" spans="1:20">
      <c r="A20" s="24">
        <v>19</v>
      </c>
      <c r="B20" s="1" t="s">
        <v>30</v>
      </c>
      <c r="C20" s="3" t="s">
        <v>18</v>
      </c>
      <c r="D20" s="3" t="str">
        <f>IFERROR(VLOOKUP(RawTable[[#This Row],[Entity_Type]], EntityMap[], 2, FALSE), "")</f>
        <v>Payroll</v>
      </c>
      <c r="E20" s="3" t="s">
        <v>8</v>
      </c>
      <c r="F20" s="3" t="s">
        <v>43</v>
      </c>
      <c r="G20" s="3" t="str">
        <f>IFERROR(VLOOKUP(RawTable[[#This Row],[Name]], Name_Master!$A:$E, 4, FALSE), "")</f>
        <v>DE890000000000203685</v>
      </c>
      <c r="H2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PAY-UAE-202603-000019</v>
      </c>
      <c r="I20" s="1">
        <f>IF(RawTable[[#This Row],[Month]]="","",DATE(YEAR(RawTable[[#This Row],[Month]]),MONTH(RawTable[[#This Row],[Month]]),1))</f>
        <v>46082</v>
      </c>
      <c r="J2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20" s="3" t="s">
        <v>9</v>
      </c>
      <c r="L20" s="4">
        <v>23551</v>
      </c>
      <c r="M20" s="2" t="str">
        <f>IF(RawTable[[#This Row],[Net_Amount]]="","",IF(RawTable[[#This Row],[Payment_Type]]="Vendor_Invoice","Yes","No"))</f>
        <v>No</v>
      </c>
      <c r="N20" s="6">
        <f>IF(D20="Vendor_Invoice",
     IFERROR(
         INDEX(System_Master_Data!$B$9:$B$14,
               MATCH(E20,System_Master_Data!$A$9:$A$14,0)
         ),
     0),
0)</f>
        <v>0</v>
      </c>
      <c r="O20" s="4">
        <f t="shared" si="0"/>
        <v>0</v>
      </c>
      <c r="P20" s="4">
        <f t="shared" si="1"/>
        <v>23551</v>
      </c>
      <c r="Q20" s="56">
        <f>IFERROR(VLOOKUP(RawTable[[#This Row],[Currency]], System_Master_Data!$A$24:$B$29, 2, FALSE), "")</f>
        <v>0.21065</v>
      </c>
      <c r="R20">
        <f>IF(RawTable[[#This Row],[Exchange_Rate]]="","",ROUND(RawTable[[#This Row],[Gross_Amount]]*RawTable[[#This Row],[Exchange_Rate]],2))</f>
        <v>4961.0200000000004</v>
      </c>
      <c r="S20" t="str">
        <f>IF(RawTable[[#This Row],[Entity_Type]]&lt;&gt;"Employee",RawTable[[#This Row],[Entity_Type]],
IF(RawTable[[#This Row],[Country]]="Switzerland","Direct","EOR")
)</f>
        <v>EOR</v>
      </c>
      <c r="T20" t="str">
        <f>IF(RawTable[[#This Row],[Employment_Model]]&lt;&gt;"EOR","",
IFERROR(VLOOKUP(RawTable[[#This Row],[Country]],EORMap[#All],3,FALSE),"")
)</f>
        <v>Deel</v>
      </c>
    </row>
    <row r="21" spans="1:20">
      <c r="A21" s="24">
        <v>20</v>
      </c>
      <c r="B21" s="1" t="s">
        <v>30</v>
      </c>
      <c r="C21" s="3" t="s">
        <v>18</v>
      </c>
      <c r="D21" s="3" t="str">
        <f>IFERROR(VLOOKUP(RawTable[[#This Row],[Entity_Type]], EntityMap[], 2, FALSE), "")</f>
        <v>Payroll</v>
      </c>
      <c r="E21" s="3" t="s">
        <v>10</v>
      </c>
      <c r="F21" s="3" t="s">
        <v>47</v>
      </c>
      <c r="G21" s="3" t="str">
        <f>IFERROR(VLOOKUP(RawTable[[#This Row],[Name]], Name_Master!$A:$E, 4, FALSE), "")</f>
        <v>JO-IBAN-00234555</v>
      </c>
      <c r="H2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PAY-Jordan-202603-000020</v>
      </c>
      <c r="I21" s="1">
        <f>IF(RawTable[[#This Row],[Month]]="","",DATE(YEAR(RawTable[[#This Row],[Month]]),MONTH(RawTable[[#This Row],[Month]]),1))</f>
        <v>46082</v>
      </c>
      <c r="J2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21" s="3" t="s">
        <v>11</v>
      </c>
      <c r="L21" s="4">
        <v>1958.94</v>
      </c>
      <c r="M21" s="2" t="str">
        <f>IF(RawTable[[#This Row],[Net_Amount]]="","",IF(RawTable[[#This Row],[Payment_Type]]="Vendor_Invoice","Yes","No"))</f>
        <v>No</v>
      </c>
      <c r="N21" s="6">
        <f>IF(D21="Vendor_Invoice",
     IFERROR(
         INDEX(System_Master_Data!$B$9:$B$14,
               MATCH(E21,System_Master_Data!$A$9:$A$14,0)
         ),
     0),
0)</f>
        <v>0</v>
      </c>
      <c r="O21" s="4">
        <f t="shared" si="0"/>
        <v>0</v>
      </c>
      <c r="P21" s="4">
        <f t="shared" si="1"/>
        <v>1958.94</v>
      </c>
      <c r="Q21" s="56">
        <f>IFERROR(VLOOKUP(RawTable[[#This Row],[Currency]], System_Master_Data!$A$24:$B$29, 2, FALSE), "")</f>
        <v>1.08643</v>
      </c>
      <c r="R21">
        <f>IF(RawTable[[#This Row],[Exchange_Rate]]="","",ROUND(RawTable[[#This Row],[Gross_Amount]]*RawTable[[#This Row],[Exchange_Rate]],2))</f>
        <v>2128.25</v>
      </c>
      <c r="S21" t="str">
        <f>IF(RawTable[[#This Row],[Entity_Type]]&lt;&gt;"Employee",RawTable[[#This Row],[Entity_Type]],
IF(RawTable[[#This Row],[Country]]="Switzerland","Direct","EOR")
)</f>
        <v>EOR</v>
      </c>
      <c r="T21" t="str">
        <f>IF(RawTable[[#This Row],[Employment_Model]]&lt;&gt;"EOR","",
IFERROR(VLOOKUP(RawTable[[#This Row],[Country]],EORMap[#All],3,FALSE),"")
)</f>
        <v>Oyster</v>
      </c>
    </row>
    <row r="22" spans="1:20">
      <c r="A22" s="24">
        <v>21</v>
      </c>
      <c r="B22" s="1" t="s">
        <v>35</v>
      </c>
      <c r="C22" s="3" t="s">
        <v>18</v>
      </c>
      <c r="D22" s="3" t="str">
        <f>IFERROR(VLOOKUP(RawTable[[#This Row],[Entity_Type]], EntityMap[], 2, FALSE), "")</f>
        <v>Payroll</v>
      </c>
      <c r="E22" s="3" t="s">
        <v>10</v>
      </c>
      <c r="F22" s="3" t="s">
        <v>29</v>
      </c>
      <c r="G22" s="3" t="str">
        <f>IFERROR(VLOOKUP(RawTable[[#This Row],[Name]], Name_Master!$A:$E, 4, FALSE), "")</f>
        <v>US-RT-000003702-AC-0000017034</v>
      </c>
      <c r="H2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PAY-Jordan-202601-000021</v>
      </c>
      <c r="I22" s="1">
        <f>IF(RawTable[[#This Row],[Month]]="","",DATE(YEAR(RawTable[[#This Row],[Month]]),MONTH(RawTable[[#This Row],[Month]]),1))</f>
        <v>46023</v>
      </c>
      <c r="J2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22" s="3" t="s">
        <v>11</v>
      </c>
      <c r="L22" s="4">
        <v>1805.94</v>
      </c>
      <c r="M22" s="2" t="str">
        <f>IF(RawTable[[#This Row],[Net_Amount]]="","",IF(RawTable[[#This Row],[Payment_Type]]="Vendor_Invoice","Yes","No"))</f>
        <v>No</v>
      </c>
      <c r="N22" s="6">
        <f>IF(D22="Vendor_Invoice",
     IFERROR(
         INDEX(System_Master_Data!$B$9:$B$14,
               MATCH(E22,System_Master_Data!$A$9:$A$14,0)
         ),
     0),
0)</f>
        <v>0</v>
      </c>
      <c r="O22" s="4">
        <f t="shared" si="0"/>
        <v>0</v>
      </c>
      <c r="P22" s="4">
        <f t="shared" si="1"/>
        <v>1805.94</v>
      </c>
      <c r="Q22" s="56">
        <f>IFERROR(VLOOKUP(RawTable[[#This Row],[Currency]], System_Master_Data!$A$24:$B$29, 2, FALSE), "")</f>
        <v>1.08643</v>
      </c>
      <c r="R22">
        <f>IF(RawTable[[#This Row],[Exchange_Rate]]="","",ROUND(RawTable[[#This Row],[Gross_Amount]]*RawTable[[#This Row],[Exchange_Rate]],2))</f>
        <v>1962.03</v>
      </c>
      <c r="S22" t="str">
        <f>IF(RawTable[[#This Row],[Entity_Type]]&lt;&gt;"Employee",RawTable[[#This Row],[Entity_Type]],
IF(RawTable[[#This Row],[Country]]="Switzerland","Direct","EOR")
)</f>
        <v>EOR</v>
      </c>
      <c r="T22" t="str">
        <f>IF(RawTable[[#This Row],[Employment_Model]]&lt;&gt;"EOR","",
IFERROR(VLOOKUP(RawTable[[#This Row],[Country]],EORMap[#All],3,FALSE),"")
)</f>
        <v>Oyster</v>
      </c>
    </row>
    <row r="23" spans="1:20">
      <c r="A23" s="24">
        <v>22</v>
      </c>
      <c r="B23" s="1" t="s">
        <v>35</v>
      </c>
      <c r="C23" s="3" t="s">
        <v>18</v>
      </c>
      <c r="D23" s="3" t="str">
        <f>IFERROR(VLOOKUP(RawTable[[#This Row],[Entity_Type]], EntityMap[], 2, FALSE), "")</f>
        <v>Payroll</v>
      </c>
      <c r="E23" s="3" t="s">
        <v>6</v>
      </c>
      <c r="F23" s="3" t="s">
        <v>48</v>
      </c>
      <c r="G23" s="3" t="str">
        <f>IFERROR(VLOOKUP(RawTable[[#This Row],[Name]], Name_Master!$A:$E, 4, FALSE), "")</f>
        <v>US-RT-000024680-AC-0000113560</v>
      </c>
      <c r="H2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PAY-USA-202601-000022</v>
      </c>
      <c r="I23" s="1">
        <f>IF(RawTable[[#This Row],[Month]]="","",DATE(YEAR(RawTable[[#This Row],[Month]]),MONTH(RawTable[[#This Row],[Month]]),1))</f>
        <v>46023</v>
      </c>
      <c r="J2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23" s="3" t="s">
        <v>7</v>
      </c>
      <c r="L23" s="4">
        <v>7464.1</v>
      </c>
      <c r="M23" s="2" t="str">
        <f>IF(RawTable[[#This Row],[Net_Amount]]="","",IF(RawTable[[#This Row],[Payment_Type]]="Vendor_Invoice","Yes","No"))</f>
        <v>No</v>
      </c>
      <c r="N23" s="6">
        <f>IF(D23="Vendor_Invoice",
     IFERROR(
         INDEX(System_Master_Data!$B$9:$B$14,
               MATCH(E23,System_Master_Data!$A$9:$A$14,0)
         ),
     0),
0)</f>
        <v>0</v>
      </c>
      <c r="O23" s="4">
        <f t="shared" si="0"/>
        <v>0</v>
      </c>
      <c r="P23" s="4">
        <f t="shared" si="1"/>
        <v>7464.1</v>
      </c>
      <c r="Q23" s="56">
        <f>IFERROR(VLOOKUP(RawTable[[#This Row],[Currency]], System_Master_Data!$A$24:$B$29, 2, FALSE), "")</f>
        <v>0.77017999999999998</v>
      </c>
      <c r="R23">
        <f>IF(RawTable[[#This Row],[Exchange_Rate]]="","",ROUND(RawTable[[#This Row],[Gross_Amount]]*RawTable[[#This Row],[Exchange_Rate]],2))</f>
        <v>5748.7</v>
      </c>
      <c r="S23" t="str">
        <f>IF(RawTable[[#This Row],[Entity_Type]]&lt;&gt;"Employee",RawTable[[#This Row],[Entity_Type]],
IF(RawTable[[#This Row],[Country]]="Switzerland","Direct","EOR")
)</f>
        <v>EOR</v>
      </c>
      <c r="T23" t="str">
        <f>IF(RawTable[[#This Row],[Employment_Model]]&lt;&gt;"EOR","",
IFERROR(VLOOKUP(RawTable[[#This Row],[Country]],EORMap[#All],3,FALSE),"")
)</f>
        <v>Remote</v>
      </c>
    </row>
    <row r="24" spans="1:20">
      <c r="A24" s="24">
        <v>23</v>
      </c>
      <c r="B24" s="1" t="s">
        <v>30</v>
      </c>
      <c r="C24" s="3" t="s">
        <v>18</v>
      </c>
      <c r="D24" s="3" t="str">
        <f>IFERROR(VLOOKUP(RawTable[[#This Row],[Entity_Type]], EntityMap[], 2, FALSE), "")</f>
        <v>Payroll</v>
      </c>
      <c r="E24" s="3" t="s">
        <v>2</v>
      </c>
      <c r="F24" s="3" t="s">
        <v>49</v>
      </c>
      <c r="G24" s="3" t="str">
        <f>IFERROR(VLOOKUP(RawTable[[#This Row],[Name]], Name_Master!$A:$E, 4, FALSE), "")</f>
        <v>CH930000000000518280</v>
      </c>
      <c r="H2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PAY-Switzerland-202603-000023</v>
      </c>
      <c r="I24" s="1">
        <f>IF(RawTable[[#This Row],[Month]]="","",DATE(YEAR(RawTable[[#This Row],[Month]]),MONTH(RawTable[[#This Row],[Month]]),1))</f>
        <v>46082</v>
      </c>
      <c r="J2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24" s="3" t="s">
        <v>3</v>
      </c>
      <c r="L24" s="4">
        <v>6494.8</v>
      </c>
      <c r="M24" s="2" t="str">
        <f>IF(RawTable[[#This Row],[Net_Amount]]="","",IF(RawTable[[#This Row],[Payment_Type]]="Vendor_Invoice","Yes","No"))</f>
        <v>No</v>
      </c>
      <c r="N24" s="6">
        <f>IF(D24="Vendor_Invoice",
     IFERROR(
         INDEX(System_Master_Data!$B$9:$B$14,
               MATCH(E24,System_Master_Data!$A$9:$A$14,0)
         ),
     0),
0)</f>
        <v>0</v>
      </c>
      <c r="O24" s="4">
        <f t="shared" si="0"/>
        <v>0</v>
      </c>
      <c r="P24" s="4">
        <f t="shared" si="1"/>
        <v>6494.8</v>
      </c>
      <c r="Q24" s="56">
        <f>IFERROR(VLOOKUP(RawTable[[#This Row],[Currency]], System_Master_Data!$A$24:$B$29, 2, FALSE), "")</f>
        <v>1</v>
      </c>
      <c r="R24">
        <f>IF(RawTable[[#This Row],[Exchange_Rate]]="","",ROUND(RawTable[[#This Row],[Gross_Amount]]*RawTable[[#This Row],[Exchange_Rate]],2))</f>
        <v>6494.8</v>
      </c>
      <c r="S24" t="str">
        <f>IF(RawTable[[#This Row],[Entity_Type]]&lt;&gt;"Employee",RawTable[[#This Row],[Entity_Type]],
IF(RawTable[[#This Row],[Country]]="Switzerland","Direct","EOR")
)</f>
        <v>Direct</v>
      </c>
      <c r="T24" t="str">
        <f>IF(RawTable[[#This Row],[Employment_Model]]&lt;&gt;"EOR","",
IFERROR(VLOOKUP(RawTable[[#This Row],[Country]],EORMap[#All],3,FALSE),"")
)</f>
        <v/>
      </c>
    </row>
    <row r="25" spans="1:20">
      <c r="A25" s="24">
        <v>24</v>
      </c>
      <c r="B25" s="1" t="s">
        <v>28</v>
      </c>
      <c r="C25" s="3" t="s">
        <v>18</v>
      </c>
      <c r="D25" s="3" t="str">
        <f>IFERROR(VLOOKUP(RawTable[[#This Row],[Entity_Type]], EntityMap[], 2, FALSE), "")</f>
        <v>Payroll</v>
      </c>
      <c r="E25" s="3" t="s">
        <v>4</v>
      </c>
      <c r="F25" s="3" t="s">
        <v>50</v>
      </c>
      <c r="G25" s="3" t="str">
        <f>IFERROR(VLOOKUP(RawTable[[#This Row],[Name]], Name_Master!$A:$E, 4, FALSE), "")</f>
        <v>DE890000000000298738</v>
      </c>
      <c r="H2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PAY-Germany-202602-000024</v>
      </c>
      <c r="I25" s="1">
        <f>IF(RawTable[[#This Row],[Month]]="","",DATE(YEAR(RawTable[[#This Row],[Month]]),MONTH(RawTable[[#This Row],[Month]]),1))</f>
        <v>46054</v>
      </c>
      <c r="J2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25" s="3" t="s">
        <v>5</v>
      </c>
      <c r="L25" s="4">
        <v>6219.6</v>
      </c>
      <c r="M25" s="2" t="str">
        <f>IF(RawTable[[#This Row],[Net_Amount]]="","",IF(RawTable[[#This Row],[Payment_Type]]="Vendor_Invoice","Yes","No"))</f>
        <v>No</v>
      </c>
      <c r="N25" s="6">
        <f>IF(D25="Vendor_Invoice",
     IFERROR(
         INDEX(System_Master_Data!$B$9:$B$14,
               MATCH(E25,System_Master_Data!$A$9:$A$14,0)
         ),
     0),
0)</f>
        <v>0</v>
      </c>
      <c r="O25" s="4">
        <f t="shared" si="0"/>
        <v>0</v>
      </c>
      <c r="P25" s="4">
        <f t="shared" si="1"/>
        <v>6219.6</v>
      </c>
      <c r="Q25" s="56">
        <f>IFERROR(VLOOKUP(RawTable[[#This Row],[Currency]], System_Master_Data!$A$24:$B$29, 2, FALSE), "")</f>
        <v>0.90888000000000002</v>
      </c>
      <c r="R25">
        <f>IF(RawTable[[#This Row],[Exchange_Rate]]="","",ROUND(RawTable[[#This Row],[Gross_Amount]]*RawTable[[#This Row],[Exchange_Rate]],2))</f>
        <v>5652.87</v>
      </c>
      <c r="S25" t="str">
        <f>IF(RawTable[[#This Row],[Entity_Type]]&lt;&gt;"Employee",RawTable[[#This Row],[Entity_Type]],
IF(RawTable[[#This Row],[Country]]="Switzerland","Direct","EOR")
)</f>
        <v>EOR</v>
      </c>
      <c r="T25" t="str">
        <f>IF(RawTable[[#This Row],[Employment_Model]]&lt;&gt;"EOR","",
IFERROR(VLOOKUP(RawTable[[#This Row],[Country]],EORMap[#All],3,FALSE),"")
)</f>
        <v>Oyster</v>
      </c>
    </row>
    <row r="26" spans="1:20">
      <c r="A26" s="24">
        <v>25</v>
      </c>
      <c r="B26" s="1" t="s">
        <v>30</v>
      </c>
      <c r="C26" s="3" t="s">
        <v>18</v>
      </c>
      <c r="D26" s="3" t="str">
        <f>IFERROR(VLOOKUP(RawTable[[#This Row],[Entity_Type]], EntityMap[], 2, FALSE), "")</f>
        <v>Payroll</v>
      </c>
      <c r="E26" s="3" t="s">
        <v>4</v>
      </c>
      <c r="F26" s="3" t="s">
        <v>51</v>
      </c>
      <c r="G26" s="3" t="str">
        <f>IFERROR(VLOOKUP(RawTable[[#This Row],[Name]], Name_Master!$A:$E, 4, FALSE), "")</f>
        <v>DE890000000000312317</v>
      </c>
      <c r="H2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PAY-Germany-202603-000025</v>
      </c>
      <c r="I26" s="1">
        <f>IF(RawTable[[#This Row],[Month]]="","",DATE(YEAR(RawTable[[#This Row],[Month]]),MONTH(RawTable[[#This Row],[Month]]),1))</f>
        <v>46082</v>
      </c>
      <c r="J2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26" s="3" t="s">
        <v>5</v>
      </c>
      <c r="L26" s="4">
        <v>5759.4</v>
      </c>
      <c r="M26" s="2" t="str">
        <f>IF(RawTable[[#This Row],[Net_Amount]]="","",IF(RawTable[[#This Row],[Payment_Type]]="Vendor_Invoice","Yes","No"))</f>
        <v>No</v>
      </c>
      <c r="N26" s="6">
        <f>IF(D26="Vendor_Invoice",
     IFERROR(
         INDEX(System_Master_Data!$B$9:$B$14,
               MATCH(E26,System_Master_Data!$A$9:$A$14,0)
         ),
     0),
0)</f>
        <v>0</v>
      </c>
      <c r="O26" s="4">
        <f t="shared" si="0"/>
        <v>0</v>
      </c>
      <c r="P26" s="4">
        <f t="shared" si="1"/>
        <v>5759.4</v>
      </c>
      <c r="Q26" s="56">
        <f>IFERROR(VLOOKUP(RawTable[[#This Row],[Currency]], System_Master_Data!$A$24:$B$29, 2, FALSE), "")</f>
        <v>0.90888000000000002</v>
      </c>
      <c r="R26">
        <f>IF(RawTable[[#This Row],[Exchange_Rate]]="","",ROUND(RawTable[[#This Row],[Gross_Amount]]*RawTable[[#This Row],[Exchange_Rate]],2))</f>
        <v>5234.6000000000004</v>
      </c>
      <c r="S26" t="str">
        <f>IF(RawTable[[#This Row],[Entity_Type]]&lt;&gt;"Employee",RawTable[[#This Row],[Entity_Type]],
IF(RawTable[[#This Row],[Country]]="Switzerland","Direct","EOR")
)</f>
        <v>EOR</v>
      </c>
      <c r="T26" t="str">
        <f>IF(RawTable[[#This Row],[Employment_Model]]&lt;&gt;"EOR","",
IFERROR(VLOOKUP(RawTable[[#This Row],[Country]],EORMap[#All],3,FALSE),"")
)</f>
        <v>Oyster</v>
      </c>
    </row>
    <row r="27" spans="1:20">
      <c r="A27" s="24">
        <v>26</v>
      </c>
      <c r="B27" s="1" t="s">
        <v>30</v>
      </c>
      <c r="C27" s="3" t="s">
        <v>18</v>
      </c>
      <c r="D27" s="3" t="str">
        <f>IFERROR(VLOOKUP(RawTable[[#This Row],[Entity_Type]], EntityMap[], 2, FALSE), "")</f>
        <v>Payroll</v>
      </c>
      <c r="E27" s="3" t="s">
        <v>2</v>
      </c>
      <c r="F27" s="3" t="s">
        <v>36</v>
      </c>
      <c r="G27" s="3" t="str">
        <f>IFERROR(VLOOKUP(RawTable[[#This Row],[Name]], Name_Master!$A:$E, 4, FALSE), "")</f>
        <v>JO-IBAN-00098760</v>
      </c>
      <c r="H2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PAY-Switzerland-202603-000026</v>
      </c>
      <c r="I27" s="1">
        <f>IF(RawTable[[#This Row],[Month]]="","",DATE(YEAR(RawTable[[#This Row],[Month]]),MONTH(RawTable[[#This Row],[Month]]),1))</f>
        <v>46082</v>
      </c>
      <c r="J2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27" s="3" t="s">
        <v>3</v>
      </c>
      <c r="L27" s="4">
        <v>6636.5</v>
      </c>
      <c r="M27" s="2" t="str">
        <f>IF(RawTable[[#This Row],[Net_Amount]]="","",IF(RawTable[[#This Row],[Payment_Type]]="Vendor_Invoice","Yes","No"))</f>
        <v>No</v>
      </c>
      <c r="N27" s="6">
        <f>IF(D27="Vendor_Invoice",
     IFERROR(
         INDEX(System_Master_Data!$B$9:$B$14,
               MATCH(E27,System_Master_Data!$A$9:$A$14,0)
         ),
     0),
0)</f>
        <v>0</v>
      </c>
      <c r="O27" s="4">
        <f t="shared" si="0"/>
        <v>0</v>
      </c>
      <c r="P27" s="4">
        <f t="shared" si="1"/>
        <v>6636.5</v>
      </c>
      <c r="Q27" s="56">
        <f>IFERROR(VLOOKUP(RawTable[[#This Row],[Currency]], System_Master_Data!$A$24:$B$29, 2, FALSE), "")</f>
        <v>1</v>
      </c>
      <c r="R27">
        <f>IF(RawTable[[#This Row],[Exchange_Rate]]="","",ROUND(RawTable[[#This Row],[Gross_Amount]]*RawTable[[#This Row],[Exchange_Rate]],2))</f>
        <v>6636.5</v>
      </c>
      <c r="S27" t="str">
        <f>IF(RawTable[[#This Row],[Entity_Type]]&lt;&gt;"Employee",RawTable[[#This Row],[Entity_Type]],
IF(RawTable[[#This Row],[Country]]="Switzerland","Direct","EOR")
)</f>
        <v>Direct</v>
      </c>
      <c r="T27" t="str">
        <f>IF(RawTable[[#This Row],[Employment_Model]]&lt;&gt;"EOR","",
IFERROR(VLOOKUP(RawTable[[#This Row],[Country]],EORMap[#All],3,FALSE),"")
)</f>
        <v/>
      </c>
    </row>
    <row r="28" spans="1:20">
      <c r="A28" s="24">
        <v>27</v>
      </c>
      <c r="B28" s="1" t="s">
        <v>28</v>
      </c>
      <c r="C28" s="3" t="s">
        <v>18</v>
      </c>
      <c r="D28" s="3" t="str">
        <f>IFERROR(VLOOKUP(RawTable[[#This Row],[Entity_Type]], EntityMap[], 2, FALSE), "")</f>
        <v>Payroll</v>
      </c>
      <c r="E28" s="3" t="s">
        <v>2</v>
      </c>
      <c r="F28" s="3" t="s">
        <v>52</v>
      </c>
      <c r="G28" s="3" t="str">
        <f>IFERROR(VLOOKUP(RawTable[[#This Row],[Name]], Name_Master!$A:$E, 4, FALSE), "")</f>
        <v>CH930000000000592320</v>
      </c>
      <c r="H2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PAY-Switzerland-202602-000027</v>
      </c>
      <c r="I28" s="1">
        <f>IF(RawTable[[#This Row],[Month]]="","",DATE(YEAR(RawTable[[#This Row],[Month]]),MONTH(RawTable[[#This Row],[Month]]),1))</f>
        <v>46054</v>
      </c>
      <c r="J2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28" s="3" t="s">
        <v>3</v>
      </c>
      <c r="L28" s="4">
        <v>6427.85</v>
      </c>
      <c r="M28" s="2" t="str">
        <f>IF(RawTable[[#This Row],[Net_Amount]]="","",IF(RawTable[[#This Row],[Payment_Type]]="Vendor_Invoice","Yes","No"))</f>
        <v>No</v>
      </c>
      <c r="N28" s="6">
        <f>IF(D28="Vendor_Invoice",
     IFERROR(
         INDEX(System_Master_Data!$B$9:$B$14,
               MATCH(E28,System_Master_Data!$A$9:$A$14,0)
         ),
     0),
0)</f>
        <v>0</v>
      </c>
      <c r="O28" s="4">
        <f t="shared" si="0"/>
        <v>0</v>
      </c>
      <c r="P28" s="4">
        <f t="shared" si="1"/>
        <v>6427.85</v>
      </c>
      <c r="Q28" s="56">
        <f>IFERROR(VLOOKUP(RawTable[[#This Row],[Currency]], System_Master_Data!$A$24:$B$29, 2, FALSE), "")</f>
        <v>1</v>
      </c>
      <c r="R28">
        <f>IF(RawTable[[#This Row],[Exchange_Rate]]="","",ROUND(RawTable[[#This Row],[Gross_Amount]]*RawTable[[#This Row],[Exchange_Rate]],2))</f>
        <v>6427.85</v>
      </c>
      <c r="S28" t="str">
        <f>IF(RawTable[[#This Row],[Entity_Type]]&lt;&gt;"Employee",RawTable[[#This Row],[Entity_Type]],
IF(RawTable[[#This Row],[Country]]="Switzerland","Direct","EOR")
)</f>
        <v>Direct</v>
      </c>
      <c r="T28" t="str">
        <f>IF(RawTable[[#This Row],[Employment_Model]]&lt;&gt;"EOR","",
IFERROR(VLOOKUP(RawTable[[#This Row],[Country]],EORMap[#All],3,FALSE),"")
)</f>
        <v/>
      </c>
    </row>
    <row r="29" spans="1:20">
      <c r="A29" s="24">
        <v>28</v>
      </c>
      <c r="B29" s="1" t="s">
        <v>28</v>
      </c>
      <c r="C29" s="3" t="s">
        <v>18</v>
      </c>
      <c r="D29" s="3" t="str">
        <f>IFERROR(VLOOKUP(RawTable[[#This Row],[Entity_Type]], EntityMap[], 2, FALSE), "")</f>
        <v>Payroll</v>
      </c>
      <c r="E29" s="3" t="s">
        <v>4</v>
      </c>
      <c r="F29" s="3" t="s">
        <v>53</v>
      </c>
      <c r="G29" s="3" t="str">
        <f>IFERROR(VLOOKUP(RawTable[[#This Row],[Name]], Name_Master!$A:$E, 4, FALSE), "")</f>
        <v>DE890000000000339475</v>
      </c>
      <c r="H2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PAY-Germany-202602-000028</v>
      </c>
      <c r="I29" s="1">
        <f>IF(RawTable[[#This Row],[Month]]="","",DATE(YEAR(RawTable[[#This Row],[Month]]),MONTH(RawTable[[#This Row],[Month]]),1))</f>
        <v>46054</v>
      </c>
      <c r="J2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29" s="3" t="s">
        <v>5</v>
      </c>
      <c r="L29" s="4">
        <v>6018.6</v>
      </c>
      <c r="M29" s="2" t="str">
        <f>IF(RawTable[[#This Row],[Net_Amount]]="","",IF(RawTable[[#This Row],[Payment_Type]]="Vendor_Invoice","Yes","No"))</f>
        <v>No</v>
      </c>
      <c r="N29" s="6">
        <f>IF(D29="Vendor_Invoice",
     IFERROR(
         INDEX(System_Master_Data!$B$9:$B$14,
               MATCH(E29,System_Master_Data!$A$9:$A$14,0)
         ),
     0),
0)</f>
        <v>0</v>
      </c>
      <c r="O29" s="4">
        <f t="shared" si="0"/>
        <v>0</v>
      </c>
      <c r="P29" s="4">
        <f t="shared" si="1"/>
        <v>6018.6</v>
      </c>
      <c r="Q29" s="56">
        <f>IFERROR(VLOOKUP(RawTable[[#This Row],[Currency]], System_Master_Data!$A$24:$B$29, 2, FALSE), "")</f>
        <v>0.90888000000000002</v>
      </c>
      <c r="R29">
        <f>IF(RawTable[[#This Row],[Exchange_Rate]]="","",ROUND(RawTable[[#This Row],[Gross_Amount]]*RawTable[[#This Row],[Exchange_Rate]],2))</f>
        <v>5470.19</v>
      </c>
      <c r="S29" t="str">
        <f>IF(RawTable[[#This Row],[Entity_Type]]&lt;&gt;"Employee",RawTable[[#This Row],[Entity_Type]],
IF(RawTable[[#This Row],[Country]]="Switzerland","Direct","EOR")
)</f>
        <v>EOR</v>
      </c>
      <c r="T29" t="str">
        <f>IF(RawTable[[#This Row],[Employment_Model]]&lt;&gt;"EOR","",
IFERROR(VLOOKUP(RawTable[[#This Row],[Country]],EORMap[#All],3,FALSE),"")
)</f>
        <v>Oyster</v>
      </c>
    </row>
    <row r="30" spans="1:20">
      <c r="A30" s="24">
        <v>29</v>
      </c>
      <c r="B30" s="1" t="s">
        <v>35</v>
      </c>
      <c r="C30" s="3" t="s">
        <v>18</v>
      </c>
      <c r="D30" s="3" t="str">
        <f>IFERROR(VLOOKUP(RawTable[[#This Row],[Entity_Type]], EntityMap[], 2, FALSE), "")</f>
        <v>Payroll</v>
      </c>
      <c r="E30" s="3" t="s">
        <v>2</v>
      </c>
      <c r="F30" s="3" t="s">
        <v>54</v>
      </c>
      <c r="G30" s="3" t="str">
        <f>IFERROR(VLOOKUP(RawTable[[#This Row],[Name]], Name_Master!$A:$E, 4, FALSE), "")</f>
        <v>CH930000000000641680</v>
      </c>
      <c r="H3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PAY-Switzerland-202601-000029</v>
      </c>
      <c r="I30" s="1">
        <f>IF(RawTable[[#This Row],[Month]]="","",DATE(YEAR(RawTable[[#This Row],[Month]]),MONTH(RawTable[[#This Row],[Month]]),1))</f>
        <v>46023</v>
      </c>
      <c r="J3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30" s="3" t="s">
        <v>3</v>
      </c>
      <c r="L30" s="4">
        <v>6904.3</v>
      </c>
      <c r="M30" s="2" t="str">
        <f>IF(RawTable[[#This Row],[Net_Amount]]="","",IF(RawTable[[#This Row],[Payment_Type]]="Vendor_Invoice","Yes","No"))</f>
        <v>No</v>
      </c>
      <c r="N30" s="6">
        <f>IF(D30="Vendor_Invoice",
     IFERROR(
         INDEX(System_Master_Data!$B$9:$B$14,
               MATCH(E30,System_Master_Data!$A$9:$A$14,0)
         ),
     0),
0)</f>
        <v>0</v>
      </c>
      <c r="O30" s="4">
        <f t="shared" si="0"/>
        <v>0</v>
      </c>
      <c r="P30" s="4">
        <f t="shared" si="1"/>
        <v>6904.3</v>
      </c>
      <c r="Q30" s="56">
        <f>IFERROR(VLOOKUP(RawTable[[#This Row],[Currency]], System_Master_Data!$A$24:$B$29, 2, FALSE), "")</f>
        <v>1</v>
      </c>
      <c r="R30">
        <f>IF(RawTable[[#This Row],[Exchange_Rate]]="","",ROUND(RawTable[[#This Row],[Gross_Amount]]*RawTable[[#This Row],[Exchange_Rate]],2))</f>
        <v>6904.3</v>
      </c>
      <c r="S30" t="str">
        <f>IF(RawTable[[#This Row],[Entity_Type]]&lt;&gt;"Employee",RawTable[[#This Row],[Entity_Type]],
IF(RawTable[[#This Row],[Country]]="Switzerland","Direct","EOR")
)</f>
        <v>Direct</v>
      </c>
      <c r="T30" t="str">
        <f>IF(RawTable[[#This Row],[Employment_Model]]&lt;&gt;"EOR","",
IFERROR(VLOOKUP(RawTable[[#This Row],[Country]],EORMap[#All],3,FALSE),"")
)</f>
        <v/>
      </c>
    </row>
    <row r="31" spans="1:20">
      <c r="A31" s="24">
        <v>30</v>
      </c>
      <c r="B31" s="1" t="s">
        <v>28</v>
      </c>
      <c r="C31" s="3" t="s">
        <v>18</v>
      </c>
      <c r="D31" s="3" t="str">
        <f>IFERROR(VLOOKUP(RawTable[[#This Row],[Entity_Type]], EntityMap[], 2, FALSE), "")</f>
        <v>Payroll</v>
      </c>
      <c r="E31" s="3" t="s">
        <v>4</v>
      </c>
      <c r="F31" s="3" t="s">
        <v>55</v>
      </c>
      <c r="G31" s="3" t="str">
        <f>IFERROR(VLOOKUP(RawTable[[#This Row],[Name]], Name_Master!$A:$E, 4, FALSE), "")</f>
        <v>DE890000000000366633</v>
      </c>
      <c r="H3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PAY-Germany-202602-000030</v>
      </c>
      <c r="I31" s="1">
        <f>IF(RawTable[[#This Row],[Month]]="","",DATE(YEAR(RawTable[[#This Row],[Month]]),MONTH(RawTable[[#This Row],[Month]]),1))</f>
        <v>46054</v>
      </c>
      <c r="J3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31" s="3" t="s">
        <v>5</v>
      </c>
      <c r="L31" s="4">
        <v>0</v>
      </c>
      <c r="M31" s="2" t="str">
        <f>IF(RawTable[[#This Row],[Net_Amount]]="","",IF(RawTable[[#This Row],[Payment_Type]]="Vendor_Invoice","Yes","No"))</f>
        <v>No</v>
      </c>
      <c r="N31" s="6">
        <f>IF(D31="Vendor_Invoice",
     IFERROR(
         INDEX(System_Master_Data!$B$9:$B$14,
               MATCH(E31,System_Master_Data!$A$9:$A$14,0)
         ),
     0),
0)</f>
        <v>0</v>
      </c>
      <c r="O31" s="4">
        <f t="shared" si="0"/>
        <v>0</v>
      </c>
      <c r="P31" s="4">
        <f t="shared" si="1"/>
        <v>0</v>
      </c>
      <c r="Q31" s="56">
        <f>IFERROR(VLOOKUP(RawTable[[#This Row],[Currency]], System_Master_Data!$A$24:$B$29, 2, FALSE), "")</f>
        <v>0.90888000000000002</v>
      </c>
      <c r="R31">
        <f>IF(RawTable[[#This Row],[Exchange_Rate]]="","",ROUND(RawTable[[#This Row],[Gross_Amount]]*RawTable[[#This Row],[Exchange_Rate]],2))</f>
        <v>0</v>
      </c>
      <c r="S31" t="str">
        <f>IF(RawTable[[#This Row],[Entity_Type]]&lt;&gt;"Employee",RawTable[[#This Row],[Entity_Type]],
IF(RawTable[[#This Row],[Country]]="Switzerland","Direct","EOR")
)</f>
        <v>EOR</v>
      </c>
      <c r="T31" t="str">
        <f>IF(RawTable[[#This Row],[Employment_Model]]&lt;&gt;"EOR","",
IFERROR(VLOOKUP(RawTable[[#This Row],[Country]],EORMap[#All],3,FALSE),"")
)</f>
        <v>Oyster</v>
      </c>
    </row>
    <row r="32" spans="1:20">
      <c r="A32" s="24">
        <v>31</v>
      </c>
      <c r="B32" s="1" t="s">
        <v>30</v>
      </c>
      <c r="C32" s="3" t="s">
        <v>18</v>
      </c>
      <c r="D32" s="3" t="str">
        <f>IFERROR(VLOOKUP(RawTable[[#This Row],[Entity_Type]], EntityMap[], 2, FALSE), "")</f>
        <v>Payroll</v>
      </c>
      <c r="E32" s="3" t="s">
        <v>8</v>
      </c>
      <c r="F32" s="3" t="s">
        <v>56</v>
      </c>
      <c r="G32" s="3" t="str">
        <f>IFERROR(VLOOKUP(RawTable[[#This Row],[Name]], Name_Master!$A:$E, 4, FALSE), "")</f>
        <v>AE-IBAN-01520988</v>
      </c>
      <c r="H3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PAY-UAE-202603-000031</v>
      </c>
      <c r="I32" s="1">
        <f>IF(RawTable[[#This Row],[Month]]="","",DATE(YEAR(RawTable[[#This Row],[Month]]),MONTH(RawTable[[#This Row],[Month]]),1))</f>
        <v>46082</v>
      </c>
      <c r="J3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32" s="3" t="s">
        <v>9</v>
      </c>
      <c r="L32" s="4">
        <v>23348.6</v>
      </c>
      <c r="M32" s="2" t="str">
        <f>IF(RawTable[[#This Row],[Net_Amount]]="","",IF(RawTable[[#This Row],[Payment_Type]]="Vendor_Invoice","Yes","No"))</f>
        <v>No</v>
      </c>
      <c r="N32" s="6">
        <f>IF(D32="Vendor_Invoice",
     IFERROR(
         INDEX(System_Master_Data!$B$9:$B$14,
               MATCH(E32,System_Master_Data!$A$9:$A$14,0)
         ),
     0),
0)</f>
        <v>0</v>
      </c>
      <c r="O32" s="4">
        <f t="shared" si="0"/>
        <v>0</v>
      </c>
      <c r="P32" s="4">
        <f t="shared" si="1"/>
        <v>23348.6</v>
      </c>
      <c r="Q32" s="56">
        <f>IFERROR(VLOOKUP(RawTable[[#This Row],[Currency]], System_Master_Data!$A$24:$B$29, 2, FALSE), "")</f>
        <v>0.21065</v>
      </c>
      <c r="R32">
        <f>IF(RawTable[[#This Row],[Exchange_Rate]]="","",ROUND(RawTable[[#This Row],[Gross_Amount]]*RawTable[[#This Row],[Exchange_Rate]],2))</f>
        <v>4918.38</v>
      </c>
      <c r="S32" t="str">
        <f>IF(RawTable[[#This Row],[Entity_Type]]&lt;&gt;"Employee",RawTable[[#This Row],[Entity_Type]],
IF(RawTable[[#This Row],[Country]]="Switzerland","Direct","EOR")
)</f>
        <v>EOR</v>
      </c>
      <c r="T32" t="str">
        <f>IF(RawTable[[#This Row],[Employment_Model]]&lt;&gt;"EOR","",
IFERROR(VLOOKUP(RawTable[[#This Row],[Country]],EORMap[#All],3,FALSE),"")
)</f>
        <v>Deel</v>
      </c>
    </row>
    <row r="33" spans="1:20">
      <c r="A33" s="24">
        <v>32</v>
      </c>
      <c r="B33" s="1" t="s">
        <v>35</v>
      </c>
      <c r="C33" s="3" t="s">
        <v>18</v>
      </c>
      <c r="D33" s="3" t="str">
        <f>IFERROR(VLOOKUP(RawTable[[#This Row],[Entity_Type]], EntityMap[], 2, FALSE), "")</f>
        <v>Payroll</v>
      </c>
      <c r="E33" s="3" t="s">
        <v>2</v>
      </c>
      <c r="F33" s="3" t="s">
        <v>57</v>
      </c>
      <c r="G33" s="3" t="str">
        <f>IFERROR(VLOOKUP(RawTable[[#This Row],[Name]], Name_Master!$A:$E, 4, FALSE), "")</f>
        <v>CH930000000000715720</v>
      </c>
      <c r="H3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PAY-Switzerland-202601-000032</v>
      </c>
      <c r="I33" s="1">
        <f>IF(RawTable[[#This Row],[Month]]="","",DATE(YEAR(RawTable[[#This Row],[Month]]),MONTH(RawTable[[#This Row],[Month]]),1))</f>
        <v>46023</v>
      </c>
      <c r="J3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33" s="3" t="s">
        <v>3</v>
      </c>
      <c r="L33" s="4">
        <v>7104.5</v>
      </c>
      <c r="M33" s="2" t="str">
        <f>IF(RawTable[[#This Row],[Net_Amount]]="","",IF(RawTable[[#This Row],[Payment_Type]]="Vendor_Invoice","Yes","No"))</f>
        <v>No</v>
      </c>
      <c r="N33" s="6">
        <f>IF(D33="Vendor_Invoice",
     IFERROR(
         INDEX(System_Master_Data!$B$9:$B$14,
               MATCH(E33,System_Master_Data!$A$9:$A$14,0)
         ),
     0),
0)</f>
        <v>0</v>
      </c>
      <c r="O33" s="4">
        <f t="shared" si="0"/>
        <v>0</v>
      </c>
      <c r="P33" s="4">
        <f t="shared" si="1"/>
        <v>7104.5</v>
      </c>
      <c r="Q33" s="56">
        <f>IFERROR(VLOOKUP(RawTable[[#This Row],[Currency]], System_Master_Data!$A$24:$B$29, 2, FALSE), "")</f>
        <v>1</v>
      </c>
      <c r="R33">
        <f>IF(RawTable[[#This Row],[Exchange_Rate]]="","",ROUND(RawTable[[#This Row],[Gross_Amount]]*RawTable[[#This Row],[Exchange_Rate]],2))</f>
        <v>7104.5</v>
      </c>
      <c r="S33" t="str">
        <f>IF(RawTable[[#This Row],[Entity_Type]]&lt;&gt;"Employee",RawTable[[#This Row],[Entity_Type]],
IF(RawTable[[#This Row],[Country]]="Switzerland","Direct","EOR")
)</f>
        <v>Direct</v>
      </c>
      <c r="T33" t="str">
        <f>IF(RawTable[[#This Row],[Employment_Model]]&lt;&gt;"EOR","",
IFERROR(VLOOKUP(RawTable[[#This Row],[Country]],EORMap[#All],3,FALSE),"")
)</f>
        <v/>
      </c>
    </row>
    <row r="34" spans="1:20">
      <c r="A34" s="24">
        <v>33</v>
      </c>
      <c r="B34" s="1" t="s">
        <v>28</v>
      </c>
      <c r="C34" s="3" t="s">
        <v>18</v>
      </c>
      <c r="D34" s="3" t="str">
        <f>IFERROR(VLOOKUP(RawTable[[#This Row],[Entity_Type]], EntityMap[], 2, FALSE), "")</f>
        <v>Payroll</v>
      </c>
      <c r="E34" s="3" t="s">
        <v>6</v>
      </c>
      <c r="F34" s="3" t="s">
        <v>55</v>
      </c>
      <c r="G34" s="3" t="str">
        <f>IFERROR(VLOOKUP(RawTable[[#This Row],[Name]], Name_Master!$A:$E, 4, FALSE), "")</f>
        <v>DE890000000000366633</v>
      </c>
      <c r="H3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PAY-USA-202602-000033</v>
      </c>
      <c r="I34" s="1">
        <f>IF(RawTable[[#This Row],[Month]]="","",DATE(YEAR(RawTable[[#This Row],[Month]]),MONTH(RawTable[[#This Row],[Month]]),1))</f>
        <v>46054</v>
      </c>
      <c r="J3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34" s="3" t="s">
        <v>7</v>
      </c>
      <c r="L34" s="4">
        <v>7047.6</v>
      </c>
      <c r="M34" s="2" t="str">
        <f>IF(RawTable[[#This Row],[Net_Amount]]="","",IF(RawTable[[#This Row],[Payment_Type]]="Vendor_Invoice","Yes","No"))</f>
        <v>No</v>
      </c>
      <c r="N34" s="6">
        <f>IF(D34="Vendor_Invoice",
     IFERROR(
         INDEX(System_Master_Data!$B$9:$B$14,
               MATCH(E34,System_Master_Data!$A$9:$A$14,0)
         ),
     0),
0)</f>
        <v>0</v>
      </c>
      <c r="O34" s="4">
        <f t="shared" si="0"/>
        <v>0</v>
      </c>
      <c r="P34" s="4">
        <f t="shared" si="1"/>
        <v>7047.6</v>
      </c>
      <c r="Q34" s="56">
        <f>IFERROR(VLOOKUP(RawTable[[#This Row],[Currency]], System_Master_Data!$A$24:$B$29, 2, FALSE), "")</f>
        <v>0.77017999999999998</v>
      </c>
      <c r="R34">
        <f>IF(RawTable[[#This Row],[Exchange_Rate]]="","",ROUND(RawTable[[#This Row],[Gross_Amount]]*RawTable[[#This Row],[Exchange_Rate]],2))</f>
        <v>5427.92</v>
      </c>
      <c r="S34" t="str">
        <f>IF(RawTable[[#This Row],[Entity_Type]]&lt;&gt;"Employee",RawTable[[#This Row],[Entity_Type]],
IF(RawTable[[#This Row],[Country]]="Switzerland","Direct","EOR")
)</f>
        <v>EOR</v>
      </c>
      <c r="T34" t="str">
        <f>IF(RawTable[[#This Row],[Employment_Model]]&lt;&gt;"EOR","",
IFERROR(VLOOKUP(RawTable[[#This Row],[Country]],EORMap[#All],3,FALSE),"")
)</f>
        <v>Remote</v>
      </c>
    </row>
    <row r="35" spans="1:20">
      <c r="A35" s="24">
        <v>34</v>
      </c>
      <c r="B35" s="1" t="s">
        <v>28</v>
      </c>
      <c r="C35" s="3" t="s">
        <v>18</v>
      </c>
      <c r="D35" s="3" t="str">
        <f>IFERROR(VLOOKUP(RawTable[[#This Row],[Entity_Type]], EntityMap[], 2, FALSE), "")</f>
        <v>Payroll</v>
      </c>
      <c r="E35" s="3" t="s">
        <v>2</v>
      </c>
      <c r="F35" s="3" t="s">
        <v>34</v>
      </c>
      <c r="G35" s="3" t="str">
        <f>IFERROR(VLOOKUP(RawTable[[#This Row],[Name]], Name_Master!$A:$E, 4, FALSE), "")</f>
        <v>DE890000000000095053</v>
      </c>
      <c r="H3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PAY-Switzerland-202602-000034</v>
      </c>
      <c r="I35" s="1">
        <f>IF(RawTable[[#This Row],[Month]]="","",DATE(YEAR(RawTable[[#This Row],[Month]]),MONTH(RawTable[[#This Row],[Month]]),1))</f>
        <v>46054</v>
      </c>
      <c r="J3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35" s="3" t="s">
        <v>3</v>
      </c>
      <c r="L35" s="4">
        <v>6256.25</v>
      </c>
      <c r="M35" s="2" t="str">
        <f>IF(RawTable[[#This Row],[Net_Amount]]="","",IF(RawTable[[#This Row],[Payment_Type]]="Vendor_Invoice","Yes","No"))</f>
        <v>No</v>
      </c>
      <c r="N35" s="6">
        <f>IF(D35="Vendor_Invoice",
     IFERROR(
         INDEX(System_Master_Data!$B$9:$B$14,
               MATCH(E35,System_Master_Data!$A$9:$A$14,0)
         ),
     0),
0)</f>
        <v>0</v>
      </c>
      <c r="O35" s="4">
        <f t="shared" si="0"/>
        <v>0</v>
      </c>
      <c r="P35" s="4">
        <f t="shared" si="1"/>
        <v>6256.25</v>
      </c>
      <c r="Q35" s="56">
        <f>IFERROR(VLOOKUP(RawTable[[#This Row],[Currency]], System_Master_Data!$A$24:$B$29, 2, FALSE), "")</f>
        <v>1</v>
      </c>
      <c r="R35">
        <f>IF(RawTable[[#This Row],[Exchange_Rate]]="","",ROUND(RawTable[[#This Row],[Gross_Amount]]*RawTable[[#This Row],[Exchange_Rate]],2))</f>
        <v>6256.25</v>
      </c>
      <c r="S35" t="str">
        <f>IF(RawTable[[#This Row],[Entity_Type]]&lt;&gt;"Employee",RawTable[[#This Row],[Entity_Type]],
IF(RawTable[[#This Row],[Country]]="Switzerland","Direct","EOR")
)</f>
        <v>Direct</v>
      </c>
      <c r="T35" t="str">
        <f>IF(RawTable[[#This Row],[Employment_Model]]&lt;&gt;"EOR","",
IFERROR(VLOOKUP(RawTable[[#This Row],[Country]],EORMap[#All],3,FALSE),"")
)</f>
        <v/>
      </c>
    </row>
    <row r="36" spans="1:20">
      <c r="A36" s="24">
        <v>35</v>
      </c>
      <c r="B36" s="1" t="s">
        <v>28</v>
      </c>
      <c r="C36" s="3" t="s">
        <v>18</v>
      </c>
      <c r="D36" s="3" t="str">
        <f>IFERROR(VLOOKUP(RawTable[[#This Row],[Entity_Type]], EntityMap[], 2, FALSE), "")</f>
        <v>Payroll</v>
      </c>
      <c r="E36" s="3" t="s">
        <v>2</v>
      </c>
      <c r="F36" s="3" t="s">
        <v>58</v>
      </c>
      <c r="G36" s="3" t="str">
        <f>IFERROR(VLOOKUP(RawTable[[#This Row],[Name]], Name_Master!$A:$E, 4, FALSE), "")</f>
        <v>CH930000000000740400</v>
      </c>
      <c r="H3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PAY-Switzerland-202602-000035</v>
      </c>
      <c r="I36" s="1">
        <f>IF(RawTable[[#This Row],[Month]]="","",DATE(YEAR(RawTable[[#This Row],[Month]]),MONTH(RawTable[[#This Row],[Month]]),1))</f>
        <v>46054</v>
      </c>
      <c r="J3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36" s="3" t="s">
        <v>3</v>
      </c>
      <c r="L36" s="4">
        <v>6693.05</v>
      </c>
      <c r="M36" s="2" t="str">
        <f>IF(RawTable[[#This Row],[Net_Amount]]="","",IF(RawTable[[#This Row],[Payment_Type]]="Vendor_Invoice","Yes","No"))</f>
        <v>No</v>
      </c>
      <c r="N36" s="6">
        <f>IF(D36="Vendor_Invoice",
     IFERROR(
         INDEX(System_Master_Data!$B$9:$B$14,
               MATCH(E36,System_Master_Data!$A$9:$A$14,0)
         ),
     0),
0)</f>
        <v>0</v>
      </c>
      <c r="O36" s="4">
        <f t="shared" si="0"/>
        <v>0</v>
      </c>
      <c r="P36" s="4">
        <f t="shared" si="1"/>
        <v>6693.05</v>
      </c>
      <c r="Q36" s="56">
        <f>IFERROR(VLOOKUP(RawTable[[#This Row],[Currency]], System_Master_Data!$A$24:$B$29, 2, FALSE), "")</f>
        <v>1</v>
      </c>
      <c r="R36">
        <f>IF(RawTable[[#This Row],[Exchange_Rate]]="","",ROUND(RawTable[[#This Row],[Gross_Amount]]*RawTable[[#This Row],[Exchange_Rate]],2))</f>
        <v>6693.05</v>
      </c>
      <c r="S36" t="str">
        <f>IF(RawTable[[#This Row],[Entity_Type]]&lt;&gt;"Employee",RawTable[[#This Row],[Entity_Type]],
IF(RawTable[[#This Row],[Country]]="Switzerland","Direct","EOR")
)</f>
        <v>Direct</v>
      </c>
      <c r="T36" t="str">
        <f>IF(RawTable[[#This Row],[Employment_Model]]&lt;&gt;"EOR","",
IFERROR(VLOOKUP(RawTable[[#This Row],[Country]],EORMap[#All],3,FALSE),"")
)</f>
        <v/>
      </c>
    </row>
    <row r="37" spans="1:20">
      <c r="A37" s="24">
        <v>36</v>
      </c>
      <c r="B37" s="1" t="s">
        <v>35</v>
      </c>
      <c r="C37" s="3" t="s">
        <v>18</v>
      </c>
      <c r="D37" s="3" t="str">
        <f>IFERROR(VLOOKUP(RawTable[[#This Row],[Entity_Type]], EntityMap[], 2, FALSE), "")</f>
        <v>Payroll</v>
      </c>
      <c r="E37" s="3" t="s">
        <v>10</v>
      </c>
      <c r="F37" s="3" t="s">
        <v>59</v>
      </c>
      <c r="G37" s="3" t="str">
        <f>IFERROR(VLOOKUP(RawTable[[#This Row],[Name]], Name_Master!$A:$E, 4, FALSE), "")</f>
        <v>JO-IBAN-00382695</v>
      </c>
      <c r="H3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PAY-Jordan-202601-000036</v>
      </c>
      <c r="I37" s="1">
        <f>IF(RawTable[[#This Row],[Month]]="","",DATE(YEAR(RawTable[[#This Row],[Month]]),MONTH(RawTable[[#This Row],[Month]]),1))</f>
        <v>46023</v>
      </c>
      <c r="J3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37" s="3" t="s">
        <v>11</v>
      </c>
      <c r="L37" s="4">
        <v>1645.56</v>
      </c>
      <c r="M37" s="2" t="str">
        <f>IF(RawTable[[#This Row],[Net_Amount]]="","",IF(RawTable[[#This Row],[Payment_Type]]="Vendor_Invoice","Yes","No"))</f>
        <v>No</v>
      </c>
      <c r="N37" s="6">
        <f>IF(D37="Vendor_Invoice",
     IFERROR(
         INDEX(System_Master_Data!$B$9:$B$14,
               MATCH(E37,System_Master_Data!$A$9:$A$14,0)
         ),
     0),
0)</f>
        <v>0</v>
      </c>
      <c r="O37" s="4">
        <f t="shared" si="0"/>
        <v>0</v>
      </c>
      <c r="P37" s="4">
        <f t="shared" si="1"/>
        <v>1645.56</v>
      </c>
      <c r="Q37" s="56">
        <f>IFERROR(VLOOKUP(RawTable[[#This Row],[Currency]], System_Master_Data!$A$24:$B$29, 2, FALSE), "")</f>
        <v>1.08643</v>
      </c>
      <c r="R37">
        <f>IF(RawTable[[#This Row],[Exchange_Rate]]="","",ROUND(RawTable[[#This Row],[Gross_Amount]]*RawTable[[#This Row],[Exchange_Rate]],2))</f>
        <v>1787.79</v>
      </c>
      <c r="S37" t="str">
        <f>IF(RawTable[[#This Row],[Entity_Type]]&lt;&gt;"Employee",RawTable[[#This Row],[Entity_Type]],
IF(RawTable[[#This Row],[Country]]="Switzerland","Direct","EOR")
)</f>
        <v>EOR</v>
      </c>
      <c r="T37" t="str">
        <f>IF(RawTable[[#This Row],[Employment_Model]]&lt;&gt;"EOR","",
IFERROR(VLOOKUP(RawTable[[#This Row],[Country]],EORMap[#All],3,FALSE),"")
)</f>
        <v>Oyster</v>
      </c>
    </row>
    <row r="38" spans="1:20">
      <c r="A38" s="24">
        <v>37</v>
      </c>
      <c r="B38" s="1" t="s">
        <v>30</v>
      </c>
      <c r="C38" s="3" t="s">
        <v>18</v>
      </c>
      <c r="D38" s="3" t="str">
        <f>IFERROR(VLOOKUP(RawTable[[#This Row],[Entity_Type]], EntityMap[], 2, FALSE), "")</f>
        <v>Payroll</v>
      </c>
      <c r="E38" s="3" t="s">
        <v>8</v>
      </c>
      <c r="F38" s="3" t="s">
        <v>39</v>
      </c>
      <c r="G38" s="3" t="str">
        <f>IFERROR(VLOOKUP(RawTable[[#This Row],[Name]], Name_Master!$A:$E, 4, FALSE), "")</f>
        <v>US-RT-000013574-AC-0000062458</v>
      </c>
      <c r="H3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PAY-UAE-202603-000037</v>
      </c>
      <c r="I38" s="1">
        <f>IF(RawTable[[#This Row],[Month]]="","",DATE(YEAR(RawTable[[#This Row],[Month]]),MONTH(RawTable[[#This Row],[Month]]),1))</f>
        <v>46082</v>
      </c>
      <c r="J3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38" s="3" t="s">
        <v>9</v>
      </c>
      <c r="L38" s="4">
        <v>22448.799999999999</v>
      </c>
      <c r="M38" s="2" t="str">
        <f>IF(RawTable[[#This Row],[Net_Amount]]="","",IF(RawTable[[#This Row],[Payment_Type]]="Vendor_Invoice","Yes","No"))</f>
        <v>No</v>
      </c>
      <c r="N38" s="6">
        <f>IF(D38="Vendor_Invoice",
     IFERROR(
         INDEX(System_Master_Data!$B$9:$B$14,
               MATCH(E38,System_Master_Data!$A$9:$A$14,0)
         ),
     0),
0)</f>
        <v>0</v>
      </c>
      <c r="O38" s="4">
        <f t="shared" si="0"/>
        <v>0</v>
      </c>
      <c r="P38" s="4">
        <f t="shared" si="1"/>
        <v>22448.799999999999</v>
      </c>
      <c r="Q38" s="56">
        <f>IFERROR(VLOOKUP(RawTable[[#This Row],[Currency]], System_Master_Data!$A$24:$B$29, 2, FALSE), "")</f>
        <v>0.21065</v>
      </c>
      <c r="R38">
        <f>IF(RawTable[[#This Row],[Exchange_Rate]]="","",ROUND(RawTable[[#This Row],[Gross_Amount]]*RawTable[[#This Row],[Exchange_Rate]],2))</f>
        <v>4728.84</v>
      </c>
      <c r="S38" t="str">
        <f>IF(RawTable[[#This Row],[Entity_Type]]&lt;&gt;"Employee",RawTable[[#This Row],[Entity_Type]],
IF(RawTable[[#This Row],[Country]]="Switzerland","Direct","EOR")
)</f>
        <v>EOR</v>
      </c>
      <c r="T38" t="str">
        <f>IF(RawTable[[#This Row],[Employment_Model]]&lt;&gt;"EOR","",
IFERROR(VLOOKUP(RawTable[[#This Row],[Country]],EORMap[#All],3,FALSE),"")
)</f>
        <v>Deel</v>
      </c>
    </row>
    <row r="39" spans="1:20">
      <c r="A39" s="24">
        <v>38</v>
      </c>
      <c r="B39" s="1" t="s">
        <v>35</v>
      </c>
      <c r="C39" s="3" t="s">
        <v>18</v>
      </c>
      <c r="D39" s="3" t="str">
        <f>IFERROR(VLOOKUP(RawTable[[#This Row],[Entity_Type]], EntityMap[], 2, FALSE), "")</f>
        <v>Payroll</v>
      </c>
      <c r="E39" s="3" t="s">
        <v>8</v>
      </c>
      <c r="F39" s="3" t="s">
        <v>60</v>
      </c>
      <c r="G39" s="3" t="str">
        <f>IFERROR(VLOOKUP(RawTable[[#This Row],[Name]], Name_Master!$A:$E, 4, FALSE), "")</f>
        <v>AE-IBAN-01738272</v>
      </c>
      <c r="H3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PAY-UAE-202601-000038</v>
      </c>
      <c r="I39" s="1">
        <f>IF(RawTable[[#This Row],[Month]]="","",DATE(YEAR(RawTable[[#This Row],[Month]]),MONTH(RawTable[[#This Row],[Month]]),1))</f>
        <v>46023</v>
      </c>
      <c r="J3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39" s="3" t="s">
        <v>9</v>
      </c>
      <c r="L39" s="4">
        <v>20748.2</v>
      </c>
      <c r="M39" s="2" t="str">
        <f>IF(RawTable[[#This Row],[Net_Amount]]="","",IF(RawTable[[#This Row],[Payment_Type]]="Vendor_Invoice","Yes","No"))</f>
        <v>No</v>
      </c>
      <c r="N39" s="6">
        <f>IF(D39="Vendor_Invoice",
     IFERROR(
         INDEX(System_Master_Data!$B$9:$B$14,
               MATCH(E39,System_Master_Data!$A$9:$A$14,0)
         ),
     0),
0)</f>
        <v>0</v>
      </c>
      <c r="O39" s="4">
        <f t="shared" si="0"/>
        <v>0</v>
      </c>
      <c r="P39" s="4">
        <f t="shared" si="1"/>
        <v>20748.2</v>
      </c>
      <c r="Q39" s="56">
        <f>IFERROR(VLOOKUP(RawTable[[#This Row],[Currency]], System_Master_Data!$A$24:$B$29, 2, FALSE), "")</f>
        <v>0.21065</v>
      </c>
      <c r="R39">
        <f>IF(RawTable[[#This Row],[Exchange_Rate]]="","",ROUND(RawTable[[#This Row],[Gross_Amount]]*RawTable[[#This Row],[Exchange_Rate]],2))</f>
        <v>4370.6099999999997</v>
      </c>
      <c r="S39" t="str">
        <f>IF(RawTable[[#This Row],[Entity_Type]]&lt;&gt;"Employee",RawTable[[#This Row],[Entity_Type]],
IF(RawTable[[#This Row],[Country]]="Switzerland","Direct","EOR")
)</f>
        <v>EOR</v>
      </c>
      <c r="T39" t="str">
        <f>IF(RawTable[[#This Row],[Employment_Model]]&lt;&gt;"EOR","",
IFERROR(VLOOKUP(RawTable[[#This Row],[Country]],EORMap[#All],3,FALSE),"")
)</f>
        <v>Deel</v>
      </c>
    </row>
    <row r="40" spans="1:20">
      <c r="A40" s="24">
        <v>39</v>
      </c>
      <c r="B40" s="1" t="s">
        <v>35</v>
      </c>
      <c r="C40" s="3" t="s">
        <v>18</v>
      </c>
      <c r="D40" s="3" t="str">
        <f>IFERROR(VLOOKUP(RawTable[[#This Row],[Entity_Type]], EntityMap[], 2, FALSE), "")</f>
        <v>Payroll</v>
      </c>
      <c r="E40" s="3" t="s">
        <v>8</v>
      </c>
      <c r="F40" s="3" t="s">
        <v>61</v>
      </c>
      <c r="G40" s="3" t="str">
        <f>IFERROR(VLOOKUP(RawTable[[#This Row],[Name]], Name_Master!$A:$E, 4, FALSE), "")</f>
        <v>AE-IBAN-01792593</v>
      </c>
      <c r="H4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PAY-UAE-202601-000039</v>
      </c>
      <c r="I40" s="1">
        <f>IF(RawTable[[#This Row],[Month]]="","",DATE(YEAR(RawTable[[#This Row],[Month]]),MONTH(RawTable[[#This Row],[Month]]),1))</f>
        <v>46023</v>
      </c>
      <c r="J4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40" s="3" t="s">
        <v>9</v>
      </c>
      <c r="L40" s="4">
        <v>22055</v>
      </c>
      <c r="M40" s="2" t="str">
        <f>IF(RawTable[[#This Row],[Net_Amount]]="","",IF(RawTable[[#This Row],[Payment_Type]]="Vendor_Invoice","Yes","No"))</f>
        <v>No</v>
      </c>
      <c r="N40" s="6">
        <f>IF(D40="Vendor_Invoice",
     IFERROR(
         INDEX(System_Master_Data!$B$9:$B$14,
               MATCH(E40,System_Master_Data!$A$9:$A$14,0)
         ),
     0),
0)</f>
        <v>0</v>
      </c>
      <c r="O40" s="4">
        <f t="shared" si="0"/>
        <v>0</v>
      </c>
      <c r="P40" s="4">
        <f t="shared" si="1"/>
        <v>22055</v>
      </c>
      <c r="Q40" s="56">
        <f>IFERROR(VLOOKUP(RawTable[[#This Row],[Currency]], System_Master_Data!$A$24:$B$29, 2, FALSE), "")</f>
        <v>0.21065</v>
      </c>
      <c r="R40">
        <f>IF(RawTable[[#This Row],[Exchange_Rate]]="","",ROUND(RawTable[[#This Row],[Gross_Amount]]*RawTable[[#This Row],[Exchange_Rate]],2))</f>
        <v>4645.8900000000003</v>
      </c>
      <c r="S40" t="str">
        <f>IF(RawTable[[#This Row],[Entity_Type]]&lt;&gt;"Employee",RawTable[[#This Row],[Entity_Type]],
IF(RawTable[[#This Row],[Country]]="Switzerland","Direct","EOR")
)</f>
        <v>EOR</v>
      </c>
      <c r="T40" t="str">
        <f>IF(RawTable[[#This Row],[Employment_Model]]&lt;&gt;"EOR","",
IFERROR(VLOOKUP(RawTable[[#This Row],[Country]],EORMap[#All],3,FALSE),"")
)</f>
        <v>Deel</v>
      </c>
    </row>
    <row r="41" spans="1:20">
      <c r="A41" s="24">
        <v>40</v>
      </c>
      <c r="B41" s="1" t="s">
        <v>28</v>
      </c>
      <c r="C41" s="3" t="s">
        <v>18</v>
      </c>
      <c r="D41" s="3" t="str">
        <f>IFERROR(VLOOKUP(RawTable[[#This Row],[Entity_Type]], EntityMap[], 2, FALSE), "")</f>
        <v>Payroll</v>
      </c>
      <c r="E41" s="3" t="s">
        <v>6</v>
      </c>
      <c r="F41" s="3" t="s">
        <v>62</v>
      </c>
      <c r="G41" s="3" t="str">
        <f>IFERROR(VLOOKUP(RawTable[[#This Row],[Name]], Name_Master!$A:$E, 4, FALSE), "")</f>
        <v>US-RT-000041956-AC-0000193052</v>
      </c>
      <c r="H4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PAY-USA-202602-000040</v>
      </c>
      <c r="I41" s="1">
        <f>IF(RawTable[[#This Row],[Month]]="","",DATE(YEAR(RawTable[[#This Row],[Month]]),MONTH(RawTable[[#This Row],[Month]]),1))</f>
        <v>46054</v>
      </c>
      <c r="J4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41" s="3" t="s">
        <v>7</v>
      </c>
      <c r="L41" s="4">
        <v>7366.1</v>
      </c>
      <c r="M41" s="2" t="str">
        <f>IF(RawTable[[#This Row],[Net_Amount]]="","",IF(RawTable[[#This Row],[Payment_Type]]="Vendor_Invoice","Yes","No"))</f>
        <v>No</v>
      </c>
      <c r="N41" s="6">
        <f>IF(D41="Vendor_Invoice",
     IFERROR(
         INDEX(System_Master_Data!$B$9:$B$14,
               MATCH(E41,System_Master_Data!$A$9:$A$14,0)
         ),
     0),
0)</f>
        <v>0</v>
      </c>
      <c r="O41" s="4">
        <f t="shared" si="0"/>
        <v>0</v>
      </c>
      <c r="P41" s="4">
        <f t="shared" si="1"/>
        <v>7366.1</v>
      </c>
      <c r="Q41" s="56">
        <f>IFERROR(VLOOKUP(RawTable[[#This Row],[Currency]], System_Master_Data!$A$24:$B$29, 2, FALSE), "")</f>
        <v>0.77017999999999998</v>
      </c>
      <c r="R41">
        <f>IF(RawTable[[#This Row],[Exchange_Rate]]="","",ROUND(RawTable[[#This Row],[Gross_Amount]]*RawTable[[#This Row],[Exchange_Rate]],2))</f>
        <v>5673.22</v>
      </c>
      <c r="S41" t="str">
        <f>IF(RawTable[[#This Row],[Entity_Type]]&lt;&gt;"Employee",RawTable[[#This Row],[Entity_Type]],
IF(RawTable[[#This Row],[Country]]="Switzerland","Direct","EOR")
)</f>
        <v>EOR</v>
      </c>
      <c r="T41" t="str">
        <f>IF(RawTable[[#This Row],[Employment_Model]]&lt;&gt;"EOR","",
IFERROR(VLOOKUP(RawTable[[#This Row],[Country]],EORMap[#All],3,FALSE),"")
)</f>
        <v>Remote</v>
      </c>
    </row>
    <row r="42" spans="1:20">
      <c r="A42" s="24">
        <v>41</v>
      </c>
      <c r="B42" s="1" t="s">
        <v>35</v>
      </c>
      <c r="C42" s="3" t="s">
        <v>18</v>
      </c>
      <c r="D42" s="3" t="str">
        <f>IFERROR(VLOOKUP(RawTable[[#This Row],[Entity_Type]], EntityMap[], 2, FALSE), "")</f>
        <v>Payroll</v>
      </c>
      <c r="E42" s="3" t="s">
        <v>2</v>
      </c>
      <c r="F42" s="3" t="s">
        <v>63</v>
      </c>
      <c r="G42" s="3" t="str">
        <f>IFERROR(VLOOKUP(RawTable[[#This Row],[Name]], Name_Master!$A:$E, 4, FALSE), "")</f>
        <v>CH930000000000863800</v>
      </c>
      <c r="H4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PAY-Switzerland-202601-000041</v>
      </c>
      <c r="I42" s="1">
        <f>IF(RawTable[[#This Row],[Month]]="","",DATE(YEAR(RawTable[[#This Row],[Month]]),MONTH(RawTable[[#This Row],[Month]]),1))</f>
        <v>46023</v>
      </c>
      <c r="J4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42" s="3" t="s">
        <v>3</v>
      </c>
      <c r="L42" s="4">
        <v>6855.55</v>
      </c>
      <c r="M42" s="2" t="str">
        <f>IF(RawTable[[#This Row],[Net_Amount]]="","",IF(RawTable[[#This Row],[Payment_Type]]="Vendor_Invoice","Yes","No"))</f>
        <v>No</v>
      </c>
      <c r="N42" s="6">
        <f>IF(D42="Vendor_Invoice",
     IFERROR(
         INDEX(System_Master_Data!$B$9:$B$14,
               MATCH(E42,System_Master_Data!$A$9:$A$14,0)
         ),
     0),
0)</f>
        <v>0</v>
      </c>
      <c r="O42" s="4">
        <f t="shared" si="0"/>
        <v>0</v>
      </c>
      <c r="P42" s="4">
        <f t="shared" si="1"/>
        <v>6855.55</v>
      </c>
      <c r="Q42" s="56">
        <f>IFERROR(VLOOKUP(RawTable[[#This Row],[Currency]], System_Master_Data!$A$24:$B$29, 2, FALSE), "")</f>
        <v>1</v>
      </c>
      <c r="R42">
        <f>IF(RawTable[[#This Row],[Exchange_Rate]]="","",ROUND(RawTable[[#This Row],[Gross_Amount]]*RawTable[[#This Row],[Exchange_Rate]],2))</f>
        <v>6855.55</v>
      </c>
      <c r="S42" t="str">
        <f>IF(RawTable[[#This Row],[Entity_Type]]&lt;&gt;"Employee",RawTable[[#This Row],[Entity_Type]],
IF(RawTable[[#This Row],[Country]]="Switzerland","Direct","EOR")
)</f>
        <v>Direct</v>
      </c>
      <c r="T42" t="str">
        <f>IF(RawTable[[#This Row],[Employment_Model]]&lt;&gt;"EOR","",
IFERROR(VLOOKUP(RawTable[[#This Row],[Country]],EORMap[#All],3,FALSE),"")
)</f>
        <v/>
      </c>
    </row>
    <row r="43" spans="1:20">
      <c r="A43" s="24">
        <v>42</v>
      </c>
      <c r="B43" s="1" t="s">
        <v>35</v>
      </c>
      <c r="C43" s="3" t="s">
        <v>18</v>
      </c>
      <c r="D43" s="3" t="str">
        <f>IFERROR(VLOOKUP(RawTable[[#This Row],[Entity_Type]], EntityMap[], 2, FALSE), "")</f>
        <v>Payroll</v>
      </c>
      <c r="E43" s="3" t="s">
        <v>10</v>
      </c>
      <c r="F43" s="3" t="s">
        <v>64</v>
      </c>
      <c r="G43" s="3" t="str">
        <f>IFERROR(VLOOKUP(RawTable[[#This Row],[Name]], Name_Master!$A:$E, 4, FALSE), "")</f>
        <v>JO-IBAN-00444420</v>
      </c>
      <c r="H4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PAY-Jordan-202601-000042</v>
      </c>
      <c r="I43" s="1">
        <f>IF(RawTable[[#This Row],[Month]]="","",DATE(YEAR(RawTable[[#This Row],[Month]]),MONTH(RawTable[[#This Row],[Month]]),1))</f>
        <v>46023</v>
      </c>
      <c r="J4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43" s="3" t="s">
        <v>11</v>
      </c>
      <c r="L43" s="4">
        <v>1929.6</v>
      </c>
      <c r="M43" s="2" t="str">
        <f>IF(RawTable[[#This Row],[Net_Amount]]="","",IF(RawTable[[#This Row],[Payment_Type]]="Vendor_Invoice","Yes","No"))</f>
        <v>No</v>
      </c>
      <c r="N43" s="6">
        <f>IF(D43="Vendor_Invoice",
     IFERROR(
         INDEX(System_Master_Data!$B$9:$B$14,
               MATCH(E43,System_Master_Data!$A$9:$A$14,0)
         ),
     0),
0)</f>
        <v>0</v>
      </c>
      <c r="O43" s="4">
        <f t="shared" si="0"/>
        <v>0</v>
      </c>
      <c r="P43" s="4">
        <f t="shared" si="1"/>
        <v>1929.6</v>
      </c>
      <c r="Q43" s="56">
        <f>IFERROR(VLOOKUP(RawTable[[#This Row],[Currency]], System_Master_Data!$A$24:$B$29, 2, FALSE), "")</f>
        <v>1.08643</v>
      </c>
      <c r="R43">
        <f>IF(RawTable[[#This Row],[Exchange_Rate]]="","",ROUND(RawTable[[#This Row],[Gross_Amount]]*RawTable[[#This Row],[Exchange_Rate]],2))</f>
        <v>2096.38</v>
      </c>
      <c r="S43" t="str">
        <f>IF(RawTable[[#This Row],[Entity_Type]]&lt;&gt;"Employee",RawTable[[#This Row],[Entity_Type]],
IF(RawTable[[#This Row],[Country]]="Switzerland","Direct","EOR")
)</f>
        <v>EOR</v>
      </c>
      <c r="T43" t="str">
        <f>IF(RawTable[[#This Row],[Employment_Model]]&lt;&gt;"EOR","",
IFERROR(VLOOKUP(RawTable[[#This Row],[Country]],EORMap[#All],3,FALSE),"")
)</f>
        <v>Oyster</v>
      </c>
    </row>
    <row r="44" spans="1:20">
      <c r="A44" s="24">
        <v>43</v>
      </c>
      <c r="B44" s="1" t="s">
        <v>35</v>
      </c>
      <c r="C44" s="3" t="s">
        <v>18</v>
      </c>
      <c r="D44" s="3" t="str">
        <f>IFERROR(VLOOKUP(RawTable[[#This Row],[Entity_Type]], EntityMap[], 2, FALSE), "")</f>
        <v>Payroll</v>
      </c>
      <c r="E44" s="3" t="s">
        <v>8</v>
      </c>
      <c r="F44" s="3" t="s">
        <v>65</v>
      </c>
      <c r="G44" s="3" t="str">
        <f>IFERROR(VLOOKUP(RawTable[[#This Row],[Name]], Name_Master!$A:$E, 4, FALSE), "")</f>
        <v>AE-IBAN-02009877</v>
      </c>
      <c r="H4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PAY-UAE-202601-000043</v>
      </c>
      <c r="I44" s="1">
        <f>IF(RawTable[[#This Row],[Month]]="","",DATE(YEAR(RawTable[[#This Row],[Month]]),MONTH(RawTable[[#This Row],[Month]]),1))</f>
        <v>46023</v>
      </c>
      <c r="J4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44" s="3" t="s">
        <v>9</v>
      </c>
      <c r="L44" s="4">
        <v>21131</v>
      </c>
      <c r="M44" s="2" t="str">
        <f>IF(RawTable[[#This Row],[Net_Amount]]="","",IF(RawTable[[#This Row],[Payment_Type]]="Vendor_Invoice","Yes","No"))</f>
        <v>No</v>
      </c>
      <c r="N44" s="6">
        <f>IF(D44="Vendor_Invoice",
     IFERROR(
         INDEX(System_Master_Data!$B$9:$B$14,
               MATCH(E44,System_Master_Data!$A$9:$A$14,0)
         ),
     0),
0)</f>
        <v>0</v>
      </c>
      <c r="O44" s="4">
        <f t="shared" si="0"/>
        <v>0</v>
      </c>
      <c r="P44" s="4">
        <f t="shared" si="1"/>
        <v>21131</v>
      </c>
      <c r="Q44" s="56">
        <f>IFERROR(VLOOKUP(RawTable[[#This Row],[Currency]], System_Master_Data!$A$24:$B$29, 2, FALSE), "")</f>
        <v>0.21065</v>
      </c>
      <c r="R44">
        <f>IF(RawTable[[#This Row],[Exchange_Rate]]="","",ROUND(RawTable[[#This Row],[Gross_Amount]]*RawTable[[#This Row],[Exchange_Rate]],2))</f>
        <v>4451.25</v>
      </c>
      <c r="S44" t="str">
        <f>IF(RawTable[[#This Row],[Entity_Type]]&lt;&gt;"Employee",RawTable[[#This Row],[Entity_Type]],
IF(RawTable[[#This Row],[Country]]="Switzerland","Direct","EOR")
)</f>
        <v>EOR</v>
      </c>
      <c r="T44" t="str">
        <f>IF(RawTable[[#This Row],[Employment_Model]]&lt;&gt;"EOR","",
IFERROR(VLOOKUP(RawTable[[#This Row],[Country]],EORMap[#All],3,FALSE),"")
)</f>
        <v>Deel</v>
      </c>
    </row>
    <row r="45" spans="1:20">
      <c r="A45" s="24">
        <v>44</v>
      </c>
      <c r="B45" s="1" t="s">
        <v>35</v>
      </c>
      <c r="C45" s="3" t="s">
        <v>18</v>
      </c>
      <c r="D45" s="3" t="str">
        <f>IFERROR(VLOOKUP(RawTable[[#This Row],[Entity_Type]], EntityMap[], 2, FALSE), "")</f>
        <v>Payroll</v>
      </c>
      <c r="E45" s="3" t="s">
        <v>10</v>
      </c>
      <c r="F45" s="3" t="s">
        <v>66</v>
      </c>
      <c r="G45" s="3" t="str">
        <f>IFERROR(VLOOKUP(RawTable[[#This Row],[Name]], Name_Master!$A:$E, 4, FALSE), "")</f>
        <v>JO-IBAN-00469110</v>
      </c>
      <c r="H4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PAY-Jordan-202601-000044</v>
      </c>
      <c r="I45" s="1">
        <f>IF(RawTable[[#This Row],[Month]]="","",DATE(YEAR(RawTable[[#This Row],[Month]]),MONTH(RawTable[[#This Row],[Month]]),1))</f>
        <v>46023</v>
      </c>
      <c r="J4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45" s="3" t="s">
        <v>11</v>
      </c>
      <c r="L45" s="4">
        <v>1893.06</v>
      </c>
      <c r="M45" s="2" t="str">
        <f>IF(RawTable[[#This Row],[Net_Amount]]="","",IF(RawTable[[#This Row],[Payment_Type]]="Vendor_Invoice","Yes","No"))</f>
        <v>No</v>
      </c>
      <c r="N45" s="6">
        <f>IF(D45="Vendor_Invoice",
     IFERROR(
         INDEX(System_Master_Data!$B$9:$B$14,
               MATCH(E45,System_Master_Data!$A$9:$A$14,0)
         ),
     0),
0)</f>
        <v>0</v>
      </c>
      <c r="O45" s="4">
        <f t="shared" si="0"/>
        <v>0</v>
      </c>
      <c r="P45" s="4">
        <f t="shared" si="1"/>
        <v>1893.06</v>
      </c>
      <c r="Q45" s="56">
        <f>IFERROR(VLOOKUP(RawTable[[#This Row],[Currency]], System_Master_Data!$A$24:$B$29, 2, FALSE), "")</f>
        <v>1.08643</v>
      </c>
      <c r="R45">
        <f>IF(RawTable[[#This Row],[Exchange_Rate]]="","",ROUND(RawTable[[#This Row],[Gross_Amount]]*RawTable[[#This Row],[Exchange_Rate]],2))</f>
        <v>2056.6799999999998</v>
      </c>
      <c r="S45" t="str">
        <f>IF(RawTable[[#This Row],[Entity_Type]]&lt;&gt;"Employee",RawTable[[#This Row],[Entity_Type]],
IF(RawTable[[#This Row],[Country]]="Switzerland","Direct","EOR")
)</f>
        <v>EOR</v>
      </c>
      <c r="T45" t="str">
        <f>IF(RawTable[[#This Row],[Employment_Model]]&lt;&gt;"EOR","",
IFERROR(VLOOKUP(RawTable[[#This Row],[Country]],EORMap[#All],3,FALSE),"")
)</f>
        <v>Oyster</v>
      </c>
    </row>
    <row r="46" spans="1:20">
      <c r="A46" s="24">
        <v>45</v>
      </c>
      <c r="B46" s="1" t="s">
        <v>35</v>
      </c>
      <c r="C46" s="3" t="s">
        <v>18</v>
      </c>
      <c r="D46" s="3" t="str">
        <f>IFERROR(VLOOKUP(RawTable[[#This Row],[Entity_Type]], EntityMap[], 2, FALSE), "")</f>
        <v>Payroll</v>
      </c>
      <c r="E46" s="3" t="s">
        <v>2</v>
      </c>
      <c r="F46" s="3" t="s">
        <v>67</v>
      </c>
      <c r="G46" s="3" t="str">
        <f>IFERROR(VLOOKUP(RawTable[[#This Row],[Name]], Name_Master!$A:$E, 4, FALSE), "")</f>
        <v>CH930000000000962520</v>
      </c>
      <c r="H4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PAY-Switzerland-202601-000045</v>
      </c>
      <c r="I46" s="1">
        <f>IF(RawTable[[#This Row],[Month]]="","",DATE(YEAR(RawTable[[#This Row],[Month]]),MONTH(RawTable[[#This Row],[Month]]),1))</f>
        <v>46023</v>
      </c>
      <c r="J4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46" s="3" t="s">
        <v>3</v>
      </c>
      <c r="L46" s="4">
        <v>7097.35</v>
      </c>
      <c r="M46" s="2" t="str">
        <f>IF(RawTable[[#This Row],[Net_Amount]]="","",IF(RawTable[[#This Row],[Payment_Type]]="Vendor_Invoice","Yes","No"))</f>
        <v>No</v>
      </c>
      <c r="N46" s="6">
        <f>IF(D46="Vendor_Invoice",
     IFERROR(
         INDEX(System_Master_Data!$B$9:$B$14,
               MATCH(E46,System_Master_Data!$A$9:$A$14,0)
         ),
     0),
0)</f>
        <v>0</v>
      </c>
      <c r="O46" s="4">
        <f t="shared" si="0"/>
        <v>0</v>
      </c>
      <c r="P46" s="4">
        <f t="shared" si="1"/>
        <v>7097.35</v>
      </c>
      <c r="Q46" s="56">
        <f>IFERROR(VLOOKUP(RawTable[[#This Row],[Currency]], System_Master_Data!$A$24:$B$29, 2, FALSE), "")</f>
        <v>1</v>
      </c>
      <c r="R46">
        <f>IF(RawTable[[#This Row],[Exchange_Rate]]="","",ROUND(RawTable[[#This Row],[Gross_Amount]]*RawTable[[#This Row],[Exchange_Rate]],2))</f>
        <v>7097.35</v>
      </c>
      <c r="S46" t="str">
        <f>IF(RawTable[[#This Row],[Entity_Type]]&lt;&gt;"Employee",RawTable[[#This Row],[Entity_Type]],
IF(RawTable[[#This Row],[Country]]="Switzerland","Direct","EOR")
)</f>
        <v>Direct</v>
      </c>
      <c r="T46" t="str">
        <f>IF(RawTable[[#This Row],[Employment_Model]]&lt;&gt;"EOR","",
IFERROR(VLOOKUP(RawTable[[#This Row],[Country]],EORMap[#All],3,FALSE),"")
)</f>
        <v/>
      </c>
    </row>
    <row r="47" spans="1:20">
      <c r="A47" s="24">
        <v>46</v>
      </c>
      <c r="B47" s="1" t="s">
        <v>28</v>
      </c>
      <c r="C47" s="3" t="s">
        <v>18</v>
      </c>
      <c r="D47" s="3" t="str">
        <f>IFERROR(VLOOKUP(RawTable[[#This Row],[Entity_Type]], EntityMap[], 2, FALSE), "")</f>
        <v>Payroll</v>
      </c>
      <c r="E47" s="3" t="s">
        <v>8</v>
      </c>
      <c r="F47" s="3" t="s">
        <v>68</v>
      </c>
      <c r="G47" s="3" t="str">
        <f>IFERROR(VLOOKUP(RawTable[[#This Row],[Name]], Name_Master!$A:$E, 4, FALSE), "")</f>
        <v>AE-IBAN-02172840</v>
      </c>
      <c r="H4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PAY-UAE-202602-000046</v>
      </c>
      <c r="I47" s="1">
        <f>IF(RawTable[[#This Row],[Month]]="","",DATE(YEAR(RawTable[[#This Row],[Month]]),MONTH(RawTable[[#This Row],[Month]]),1))</f>
        <v>46054</v>
      </c>
      <c r="J4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47" s="3" t="s">
        <v>9</v>
      </c>
      <c r="L47" s="4">
        <v>23579.599999999999</v>
      </c>
      <c r="M47" s="2" t="str">
        <f>IF(RawTable[[#This Row],[Net_Amount]]="","",IF(RawTable[[#This Row],[Payment_Type]]="Vendor_Invoice","Yes","No"))</f>
        <v>No</v>
      </c>
      <c r="N47" s="6">
        <f>IF(D47="Vendor_Invoice",
     IFERROR(
         INDEX(System_Master_Data!$B$9:$B$14,
               MATCH(E47,System_Master_Data!$A$9:$A$14,0)
         ),
     0),
0)</f>
        <v>0</v>
      </c>
      <c r="O47" s="4">
        <f t="shared" si="0"/>
        <v>0</v>
      </c>
      <c r="P47" s="4">
        <f t="shared" si="1"/>
        <v>23579.599999999999</v>
      </c>
      <c r="Q47" s="56">
        <f>IFERROR(VLOOKUP(RawTable[[#This Row],[Currency]], System_Master_Data!$A$24:$B$29, 2, FALSE), "")</f>
        <v>0.21065</v>
      </c>
      <c r="R47">
        <f>IF(RawTable[[#This Row],[Exchange_Rate]]="","",ROUND(RawTable[[#This Row],[Gross_Amount]]*RawTable[[#This Row],[Exchange_Rate]],2))</f>
        <v>4967.04</v>
      </c>
      <c r="S47" t="str">
        <f>IF(RawTable[[#This Row],[Entity_Type]]&lt;&gt;"Employee",RawTable[[#This Row],[Entity_Type]],
IF(RawTable[[#This Row],[Country]]="Switzerland","Direct","EOR")
)</f>
        <v>EOR</v>
      </c>
      <c r="T47" t="str">
        <f>IF(RawTable[[#This Row],[Employment_Model]]&lt;&gt;"EOR","",
IFERROR(VLOOKUP(RawTable[[#This Row],[Country]],EORMap[#All],3,FALSE),"")
)</f>
        <v>Deel</v>
      </c>
    </row>
    <row r="48" spans="1:20">
      <c r="A48" s="24">
        <v>47</v>
      </c>
      <c r="B48" s="1" t="s">
        <v>28</v>
      </c>
      <c r="C48" s="3" t="s">
        <v>18</v>
      </c>
      <c r="D48" s="3" t="str">
        <f>IFERROR(VLOOKUP(RawTable[[#This Row],[Entity_Type]], EntityMap[], 2, FALSE), "")</f>
        <v>Payroll</v>
      </c>
      <c r="E48" s="3" t="s">
        <v>6</v>
      </c>
      <c r="F48" s="3" t="s">
        <v>69</v>
      </c>
      <c r="G48" s="3" t="str">
        <f>IFERROR(VLOOKUP(RawTable[[#This Row],[Name]], Name_Master!$A:$E, 4, FALSE), "")</f>
        <v>US-RT-000050594-AC-0000232798</v>
      </c>
      <c r="H4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PAY-USA-202602-000047</v>
      </c>
      <c r="I48" s="1">
        <f>IF(RawTable[[#This Row],[Month]]="","",DATE(YEAR(RawTable[[#This Row],[Month]]),MONTH(RawTable[[#This Row],[Month]]),1))</f>
        <v>46054</v>
      </c>
      <c r="J4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48" s="3" t="s">
        <v>7</v>
      </c>
      <c r="L48" s="4">
        <v>6708.8</v>
      </c>
      <c r="M48" s="2" t="str">
        <f>IF(RawTable[[#This Row],[Net_Amount]]="","",IF(RawTable[[#This Row],[Payment_Type]]="Vendor_Invoice","Yes","No"))</f>
        <v>No</v>
      </c>
      <c r="N48" s="6">
        <f>IF(D48="Vendor_Invoice",
     IFERROR(
         INDEX(System_Master_Data!$B$9:$B$14,
               MATCH(E48,System_Master_Data!$A$9:$A$14,0)
         ),
     0),
0)</f>
        <v>0</v>
      </c>
      <c r="O48" s="4">
        <f t="shared" si="0"/>
        <v>0</v>
      </c>
      <c r="P48" s="4">
        <f t="shared" si="1"/>
        <v>6708.8</v>
      </c>
      <c r="Q48" s="56">
        <f>IFERROR(VLOOKUP(RawTable[[#This Row],[Currency]], System_Master_Data!$A$24:$B$29, 2, FALSE), "")</f>
        <v>0.77017999999999998</v>
      </c>
      <c r="R48">
        <f>IF(RawTable[[#This Row],[Exchange_Rate]]="","",ROUND(RawTable[[#This Row],[Gross_Amount]]*RawTable[[#This Row],[Exchange_Rate]],2))</f>
        <v>5166.9799999999996</v>
      </c>
      <c r="S48" t="str">
        <f>IF(RawTable[[#This Row],[Entity_Type]]&lt;&gt;"Employee",RawTable[[#This Row],[Entity_Type]],
IF(RawTable[[#This Row],[Country]]="Switzerland","Direct","EOR")
)</f>
        <v>EOR</v>
      </c>
      <c r="T48" t="str">
        <f>IF(RawTable[[#This Row],[Employment_Model]]&lt;&gt;"EOR","",
IFERROR(VLOOKUP(RawTable[[#This Row],[Country]],EORMap[#All],3,FALSE),"")
)</f>
        <v>Remote</v>
      </c>
    </row>
    <row r="49" spans="1:20">
      <c r="A49" s="24">
        <v>48</v>
      </c>
      <c r="B49" s="1" t="s">
        <v>30</v>
      </c>
      <c r="C49" s="3" t="s">
        <v>18</v>
      </c>
      <c r="D49" s="3" t="str">
        <f>IFERROR(VLOOKUP(RawTable[[#This Row],[Entity_Type]], EntityMap[], 2, FALSE), "")</f>
        <v>Payroll</v>
      </c>
      <c r="E49" s="3" t="s">
        <v>2</v>
      </c>
      <c r="F49" s="3" t="s">
        <v>47</v>
      </c>
      <c r="G49" s="3" t="str">
        <f>IFERROR(VLOOKUP(RawTable[[#This Row],[Name]], Name_Master!$A:$E, 4, FALSE), "")</f>
        <v>JO-IBAN-00234555</v>
      </c>
      <c r="H4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PAY-Switzerland-202603-000048</v>
      </c>
      <c r="I49" s="1">
        <f>IF(RawTable[[#This Row],[Month]]="","",DATE(YEAR(RawTable[[#This Row],[Month]]),MONTH(RawTable[[#This Row],[Month]]),1))</f>
        <v>46082</v>
      </c>
      <c r="J4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49" s="3" t="s">
        <v>3</v>
      </c>
      <c r="L49" s="4">
        <v>7073.95</v>
      </c>
      <c r="M49" s="2" t="str">
        <f>IF(RawTable[[#This Row],[Net_Amount]]="","",IF(RawTable[[#This Row],[Payment_Type]]="Vendor_Invoice","Yes","No"))</f>
        <v>No</v>
      </c>
      <c r="N49" s="6">
        <f>IF(D49="Vendor_Invoice",
     IFERROR(
         INDEX(System_Master_Data!$B$9:$B$14,
               MATCH(E49,System_Master_Data!$A$9:$A$14,0)
         ),
     0),
0)</f>
        <v>0</v>
      </c>
      <c r="O49" s="4">
        <f t="shared" si="0"/>
        <v>0</v>
      </c>
      <c r="P49" s="4">
        <f t="shared" si="1"/>
        <v>7073.95</v>
      </c>
      <c r="Q49" s="56">
        <f>IFERROR(VLOOKUP(RawTable[[#This Row],[Currency]], System_Master_Data!$A$24:$B$29, 2, FALSE), "")</f>
        <v>1</v>
      </c>
      <c r="R49">
        <f>IF(RawTable[[#This Row],[Exchange_Rate]]="","",ROUND(RawTable[[#This Row],[Gross_Amount]]*RawTable[[#This Row],[Exchange_Rate]],2))</f>
        <v>7073.95</v>
      </c>
      <c r="S49" t="str">
        <f>IF(RawTable[[#This Row],[Entity_Type]]&lt;&gt;"Employee",RawTable[[#This Row],[Entity_Type]],
IF(RawTable[[#This Row],[Country]]="Switzerland","Direct","EOR")
)</f>
        <v>Direct</v>
      </c>
      <c r="T49" t="str">
        <f>IF(RawTable[[#This Row],[Employment_Model]]&lt;&gt;"EOR","",
IFERROR(VLOOKUP(RawTable[[#This Row],[Country]],EORMap[#All],3,FALSE),"")
)</f>
        <v/>
      </c>
    </row>
    <row r="50" spans="1:20">
      <c r="A50" s="24">
        <v>49</v>
      </c>
      <c r="B50" s="1" t="s">
        <v>35</v>
      </c>
      <c r="C50" s="3" t="s">
        <v>18</v>
      </c>
      <c r="D50" s="3" t="str">
        <f>IFERROR(VLOOKUP(RawTable[[#This Row],[Entity_Type]], EntityMap[], 2, FALSE), "")</f>
        <v>Payroll</v>
      </c>
      <c r="E50" s="3" t="s">
        <v>6</v>
      </c>
      <c r="F50" s="3" t="s">
        <v>70</v>
      </c>
      <c r="G50" s="3" t="str">
        <f>IFERROR(VLOOKUP(RawTable[[#This Row],[Name]], Name_Master!$A:$E, 4, FALSE), "")</f>
        <v>US-RT-000051828-AC-0000238476</v>
      </c>
      <c r="H5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PAY-USA-202601-000049</v>
      </c>
      <c r="I50" s="1">
        <f>IF(RawTable[[#This Row],[Month]]="","",DATE(YEAR(RawTable[[#This Row],[Month]]),MONTH(RawTable[[#This Row],[Month]]),1))</f>
        <v>46023</v>
      </c>
      <c r="J5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50" s="3" t="s">
        <v>7</v>
      </c>
      <c r="L50" s="4">
        <v>7567</v>
      </c>
      <c r="M50" s="2" t="str">
        <f>IF(RawTable[[#This Row],[Net_Amount]]="","",IF(RawTable[[#This Row],[Payment_Type]]="Vendor_Invoice","Yes","No"))</f>
        <v>No</v>
      </c>
      <c r="N50" s="6">
        <f>IF(D50="Vendor_Invoice",
     IFERROR(
         INDEX(System_Master_Data!$B$9:$B$14,
               MATCH(E50,System_Master_Data!$A$9:$A$14,0)
         ),
     0),
0)</f>
        <v>0</v>
      </c>
      <c r="O50" s="4">
        <f t="shared" si="0"/>
        <v>0</v>
      </c>
      <c r="P50" s="4">
        <f t="shared" si="1"/>
        <v>7567</v>
      </c>
      <c r="Q50" s="56">
        <f>IFERROR(VLOOKUP(RawTable[[#This Row],[Currency]], System_Master_Data!$A$24:$B$29, 2, FALSE), "")</f>
        <v>0.77017999999999998</v>
      </c>
      <c r="R50">
        <f>IF(RawTable[[#This Row],[Exchange_Rate]]="","",ROUND(RawTable[[#This Row],[Gross_Amount]]*RawTable[[#This Row],[Exchange_Rate]],2))</f>
        <v>5827.95</v>
      </c>
      <c r="S50" t="str">
        <f>IF(RawTable[[#This Row],[Entity_Type]]&lt;&gt;"Employee",RawTable[[#This Row],[Entity_Type]],
IF(RawTable[[#This Row],[Country]]="Switzerland","Direct","EOR")
)</f>
        <v>EOR</v>
      </c>
      <c r="T50" t="str">
        <f>IF(RawTable[[#This Row],[Employment_Model]]&lt;&gt;"EOR","",
IFERROR(VLOOKUP(RawTable[[#This Row],[Country]],EORMap[#All],3,FALSE),"")
)</f>
        <v>Remote</v>
      </c>
    </row>
    <row r="51" spans="1:20">
      <c r="A51" s="24">
        <v>50</v>
      </c>
      <c r="B51" s="1" t="s">
        <v>28</v>
      </c>
      <c r="C51" s="3" t="s">
        <v>18</v>
      </c>
      <c r="D51" s="3" t="str">
        <f>IFERROR(VLOOKUP(RawTable[[#This Row],[Entity_Type]], EntityMap[], 2, FALSE), "")</f>
        <v>Payroll</v>
      </c>
      <c r="E51" s="3" t="s">
        <v>10</v>
      </c>
      <c r="F51" s="3" t="s">
        <v>45</v>
      </c>
      <c r="G51" s="3" t="str">
        <f>IFERROR(VLOOKUP(RawTable[[#This Row],[Name]], Name_Master!$A:$E, 4, FALSE), "")</f>
        <v>JO-IBAN-00209865</v>
      </c>
      <c r="H5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PAY-Jordan-202602-000050</v>
      </c>
      <c r="I51" s="1">
        <f>IF(RawTable[[#This Row],[Month]]="","",DATE(YEAR(RawTable[[#This Row],[Month]]),MONTH(RawTable[[#This Row],[Month]]),1))</f>
        <v>46054</v>
      </c>
      <c r="J5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51" s="3" t="s">
        <v>11</v>
      </c>
      <c r="L51" s="4">
        <v>1901.91</v>
      </c>
      <c r="M51" s="2" t="str">
        <f>IF(RawTable[[#This Row],[Net_Amount]]="","",IF(RawTable[[#This Row],[Payment_Type]]="Vendor_Invoice","Yes","No"))</f>
        <v>No</v>
      </c>
      <c r="N51" s="6">
        <f>IF(D51="Vendor_Invoice",
     IFERROR(
         INDEX(System_Master_Data!$B$9:$B$14,
               MATCH(E51,System_Master_Data!$A$9:$A$14,0)
         ),
     0),
0)</f>
        <v>0</v>
      </c>
      <c r="O51" s="4">
        <f t="shared" si="0"/>
        <v>0</v>
      </c>
      <c r="P51" s="4">
        <f t="shared" si="1"/>
        <v>1901.91</v>
      </c>
      <c r="Q51" s="56">
        <f>IFERROR(VLOOKUP(RawTable[[#This Row],[Currency]], System_Master_Data!$A$24:$B$29, 2, FALSE), "")</f>
        <v>1.08643</v>
      </c>
      <c r="R51">
        <f>IF(RawTable[[#This Row],[Exchange_Rate]]="","",ROUND(RawTable[[#This Row],[Gross_Amount]]*RawTable[[#This Row],[Exchange_Rate]],2))</f>
        <v>2066.29</v>
      </c>
      <c r="S51" t="str">
        <f>IF(RawTable[[#This Row],[Entity_Type]]&lt;&gt;"Employee",RawTable[[#This Row],[Entity_Type]],
IF(RawTable[[#This Row],[Country]]="Switzerland","Direct","EOR")
)</f>
        <v>EOR</v>
      </c>
      <c r="T51" t="str">
        <f>IF(RawTable[[#This Row],[Employment_Model]]&lt;&gt;"EOR","",
IFERROR(VLOOKUP(RawTable[[#This Row],[Country]],EORMap[#All],3,FALSE),"")
)</f>
        <v>Oyster</v>
      </c>
    </row>
    <row r="52" spans="1:20">
      <c r="A52" s="24">
        <v>51</v>
      </c>
      <c r="B52" s="1" t="s">
        <v>28</v>
      </c>
      <c r="C52" s="3" t="s">
        <v>18</v>
      </c>
      <c r="D52" s="3" t="str">
        <f>IFERROR(VLOOKUP(RawTable[[#This Row],[Entity_Type]], EntityMap[], 2, FALSE), "")</f>
        <v>Payroll</v>
      </c>
      <c r="E52" s="3" t="s">
        <v>6</v>
      </c>
      <c r="F52" s="3" t="s">
        <v>71</v>
      </c>
      <c r="G52" s="3" t="str">
        <f>IFERROR(VLOOKUP(RawTable[[#This Row],[Name]], Name_Master!$A:$E, 4, FALSE), "")</f>
        <v>US-RT-000053062-AC-0000244154</v>
      </c>
      <c r="H5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PAY-USA-202602-000051</v>
      </c>
      <c r="I52" s="1">
        <f>IF(RawTable[[#This Row],[Month]]="","",DATE(YEAR(RawTable[[#This Row],[Month]]),MONTH(RawTable[[#This Row],[Month]]),1))</f>
        <v>46054</v>
      </c>
      <c r="J5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52" s="3" t="s">
        <v>7</v>
      </c>
      <c r="L52" s="4">
        <v>6624.8</v>
      </c>
      <c r="M52" s="2" t="str">
        <f>IF(RawTable[[#This Row],[Net_Amount]]="","",IF(RawTable[[#This Row],[Payment_Type]]="Vendor_Invoice","Yes","No"))</f>
        <v>No</v>
      </c>
      <c r="N52" s="6">
        <f>IF(D52="Vendor_Invoice",
     IFERROR(
         INDEX(System_Master_Data!$B$9:$B$14,
               MATCH(E52,System_Master_Data!$A$9:$A$14,0)
         ),
     0),
0)</f>
        <v>0</v>
      </c>
      <c r="O52" s="4">
        <f t="shared" si="0"/>
        <v>0</v>
      </c>
      <c r="P52" s="4">
        <f t="shared" si="1"/>
        <v>6624.8</v>
      </c>
      <c r="Q52" s="56">
        <f>IFERROR(VLOOKUP(RawTable[[#This Row],[Currency]], System_Master_Data!$A$24:$B$29, 2, FALSE), "")</f>
        <v>0.77017999999999998</v>
      </c>
      <c r="R52">
        <f>IF(RawTable[[#This Row],[Exchange_Rate]]="","",ROUND(RawTable[[#This Row],[Gross_Amount]]*RawTable[[#This Row],[Exchange_Rate]],2))</f>
        <v>5102.29</v>
      </c>
      <c r="S52" t="str">
        <f>IF(RawTable[[#This Row],[Entity_Type]]&lt;&gt;"Employee",RawTable[[#This Row],[Entity_Type]],
IF(RawTable[[#This Row],[Country]]="Switzerland","Direct","EOR")
)</f>
        <v>EOR</v>
      </c>
      <c r="T52" t="str">
        <f>IF(RawTable[[#This Row],[Employment_Model]]&lt;&gt;"EOR","",
IFERROR(VLOOKUP(RawTable[[#This Row],[Country]],EORMap[#All],3,FALSE),"")
)</f>
        <v>Remote</v>
      </c>
    </row>
    <row r="53" spans="1:20">
      <c r="A53" s="24">
        <v>52</v>
      </c>
      <c r="B53" s="1" t="s">
        <v>28</v>
      </c>
      <c r="C53" s="3" t="s">
        <v>18</v>
      </c>
      <c r="D53" s="3" t="str">
        <f>IFERROR(VLOOKUP(RawTable[[#This Row],[Entity_Type]], EntityMap[], 2, FALSE), "")</f>
        <v>Payroll</v>
      </c>
      <c r="E53" s="3" t="s">
        <v>6</v>
      </c>
      <c r="F53" s="3" t="s">
        <v>72</v>
      </c>
      <c r="G53" s="3" t="str">
        <f>IFERROR(VLOOKUP(RawTable[[#This Row],[Name]], Name_Master!$A:$E, 4, FALSE), "")</f>
        <v>US-RT-000054296-AC-0000249832</v>
      </c>
      <c r="H5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PAY-USA-202602-000052</v>
      </c>
      <c r="I53" s="1">
        <f>IF(RawTable[[#This Row],[Month]]="","",DATE(YEAR(RawTable[[#This Row],[Month]]),MONTH(RawTable[[#This Row],[Month]]),1))</f>
        <v>46054</v>
      </c>
      <c r="J5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53" s="3" t="s">
        <v>7</v>
      </c>
      <c r="L53" s="4">
        <v>6711.6</v>
      </c>
      <c r="M53" s="2" t="str">
        <f>IF(RawTable[[#This Row],[Net_Amount]]="","",IF(RawTable[[#This Row],[Payment_Type]]="Vendor_Invoice","Yes","No"))</f>
        <v>No</v>
      </c>
      <c r="N53" s="6">
        <f>IF(D53="Vendor_Invoice",
     IFERROR(
         INDEX(System_Master_Data!$B$9:$B$14,
               MATCH(E53,System_Master_Data!$A$9:$A$14,0)
         ),
     0),
0)</f>
        <v>0</v>
      </c>
      <c r="O53" s="4">
        <f t="shared" si="0"/>
        <v>0</v>
      </c>
      <c r="P53" s="4">
        <f t="shared" si="1"/>
        <v>6711.6</v>
      </c>
      <c r="Q53" s="56">
        <f>IFERROR(VLOOKUP(RawTable[[#This Row],[Currency]], System_Master_Data!$A$24:$B$29, 2, FALSE), "")</f>
        <v>0.77017999999999998</v>
      </c>
      <c r="R53">
        <f>IF(RawTable[[#This Row],[Exchange_Rate]]="","",ROUND(RawTable[[#This Row],[Gross_Amount]]*RawTable[[#This Row],[Exchange_Rate]],2))</f>
        <v>5169.1400000000003</v>
      </c>
      <c r="S53" t="str">
        <f>IF(RawTable[[#This Row],[Entity_Type]]&lt;&gt;"Employee",RawTable[[#This Row],[Entity_Type]],
IF(RawTable[[#This Row],[Country]]="Switzerland","Direct","EOR")
)</f>
        <v>EOR</v>
      </c>
      <c r="T53" t="str">
        <f>IF(RawTable[[#This Row],[Employment_Model]]&lt;&gt;"EOR","",
IFERROR(VLOOKUP(RawTable[[#This Row],[Country]],EORMap[#All],3,FALSE),"")
)</f>
        <v>Remote</v>
      </c>
    </row>
    <row r="54" spans="1:20">
      <c r="A54" s="24">
        <v>53</v>
      </c>
      <c r="B54" s="1" t="s">
        <v>35</v>
      </c>
      <c r="C54" s="3" t="s">
        <v>18</v>
      </c>
      <c r="D54" s="3" t="str">
        <f>IFERROR(VLOOKUP(RawTable[[#This Row],[Entity_Type]], EntityMap[], 2, FALSE), "")</f>
        <v>Payroll</v>
      </c>
      <c r="E54" s="3" t="s">
        <v>4</v>
      </c>
      <c r="F54" s="3" t="s">
        <v>34</v>
      </c>
      <c r="G54" s="3" t="str">
        <f>IFERROR(VLOOKUP(RawTable[[#This Row],[Name]], Name_Master!$A:$E, 4, FALSE), "")</f>
        <v>DE890000000000095053</v>
      </c>
      <c r="H5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PAY-Germany-202601-000053</v>
      </c>
      <c r="I54" s="1">
        <f>IF(RawTable[[#This Row],[Month]]="","",DATE(YEAR(RawTable[[#This Row],[Month]]),MONTH(RawTable[[#This Row],[Month]]),1))</f>
        <v>46023</v>
      </c>
      <c r="J5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54" s="3" t="s">
        <v>5</v>
      </c>
      <c r="L54" s="4">
        <v>5861.62</v>
      </c>
      <c r="M54" s="2" t="str">
        <f>IF(RawTable[[#This Row],[Net_Amount]]="","",IF(RawTable[[#This Row],[Payment_Type]]="Vendor_Invoice","Yes","No"))</f>
        <v>No</v>
      </c>
      <c r="N54" s="6">
        <f>IF(D54="Vendor_Invoice",
     IFERROR(
         INDEX(System_Master_Data!$B$9:$B$14,
               MATCH(E54,System_Master_Data!$A$9:$A$14,0)
         ),
     0),
0)</f>
        <v>0</v>
      </c>
      <c r="O54" s="4">
        <f t="shared" si="0"/>
        <v>0</v>
      </c>
      <c r="P54" s="4">
        <f t="shared" si="1"/>
        <v>5861.62</v>
      </c>
      <c r="Q54" s="56">
        <f>IFERROR(VLOOKUP(RawTable[[#This Row],[Currency]], System_Master_Data!$A$24:$B$29, 2, FALSE), "")</f>
        <v>0.90888000000000002</v>
      </c>
      <c r="R54">
        <f>IF(RawTable[[#This Row],[Exchange_Rate]]="","",ROUND(RawTable[[#This Row],[Gross_Amount]]*RawTable[[#This Row],[Exchange_Rate]],2))</f>
        <v>5327.51</v>
      </c>
      <c r="S54" t="str">
        <f>IF(RawTable[[#This Row],[Entity_Type]]&lt;&gt;"Employee",RawTable[[#This Row],[Entity_Type]],
IF(RawTable[[#This Row],[Country]]="Switzerland","Direct","EOR")
)</f>
        <v>EOR</v>
      </c>
      <c r="T54" t="str">
        <f>IF(RawTable[[#This Row],[Employment_Model]]&lt;&gt;"EOR","",
IFERROR(VLOOKUP(RawTable[[#This Row],[Country]],EORMap[#All],3,FALSE),"")
)</f>
        <v>Oyster</v>
      </c>
    </row>
    <row r="55" spans="1:20">
      <c r="A55" s="24">
        <v>54</v>
      </c>
      <c r="B55" s="1" t="s">
        <v>30</v>
      </c>
      <c r="C55" s="3" t="s">
        <v>18</v>
      </c>
      <c r="D55" s="3" t="str">
        <f>IFERROR(VLOOKUP(RawTable[[#This Row],[Entity_Type]], EntityMap[], 2, FALSE), "")</f>
        <v>Payroll</v>
      </c>
      <c r="E55" s="3" t="s">
        <v>2</v>
      </c>
      <c r="F55" s="3" t="s">
        <v>66</v>
      </c>
      <c r="G55" s="3" t="str">
        <f>IFERROR(VLOOKUP(RawTable[[#This Row],[Name]], Name_Master!$A:$E, 4, FALSE), "")</f>
        <v>JO-IBAN-00469110</v>
      </c>
      <c r="H5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PAY-Switzerland-202603-000054</v>
      </c>
      <c r="I55" s="1">
        <f>IF(RawTable[[#This Row],[Month]]="","",DATE(YEAR(RawTable[[#This Row],[Month]]),MONTH(RawTable[[#This Row],[Month]]),1))</f>
        <v>46082</v>
      </c>
      <c r="J5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55" s="3" t="s">
        <v>3</v>
      </c>
      <c r="L55" s="4">
        <v>6836.05</v>
      </c>
      <c r="M55" s="2" t="str">
        <f>IF(RawTable[[#This Row],[Net_Amount]]="","",IF(RawTable[[#This Row],[Payment_Type]]="Vendor_Invoice","Yes","No"))</f>
        <v>No</v>
      </c>
      <c r="N55" s="6">
        <f>IF(D55="Vendor_Invoice",
     IFERROR(
         INDEX(System_Master_Data!$B$9:$B$14,
               MATCH(E55,System_Master_Data!$A$9:$A$14,0)
         ),
     0),
0)</f>
        <v>0</v>
      </c>
      <c r="O55" s="4">
        <f t="shared" si="0"/>
        <v>0</v>
      </c>
      <c r="P55" s="4">
        <f t="shared" si="1"/>
        <v>6836.05</v>
      </c>
      <c r="Q55" s="56">
        <f>IFERROR(VLOOKUP(RawTable[[#This Row],[Currency]], System_Master_Data!$A$24:$B$29, 2, FALSE), "")</f>
        <v>1</v>
      </c>
      <c r="R55">
        <f>IF(RawTable[[#This Row],[Exchange_Rate]]="","",ROUND(RawTable[[#This Row],[Gross_Amount]]*RawTable[[#This Row],[Exchange_Rate]],2))</f>
        <v>6836.05</v>
      </c>
      <c r="S55" t="str">
        <f>IF(RawTable[[#This Row],[Entity_Type]]&lt;&gt;"Employee",RawTable[[#This Row],[Entity_Type]],
IF(RawTable[[#This Row],[Country]]="Switzerland","Direct","EOR")
)</f>
        <v>Direct</v>
      </c>
      <c r="T55" t="str">
        <f>IF(RawTable[[#This Row],[Employment_Model]]&lt;&gt;"EOR","",
IFERROR(VLOOKUP(RawTable[[#This Row],[Country]],EORMap[#All],3,FALSE),"")
)</f>
        <v/>
      </c>
    </row>
    <row r="56" spans="1:20">
      <c r="A56" s="24">
        <v>55</v>
      </c>
      <c r="B56" s="1" t="s">
        <v>35</v>
      </c>
      <c r="C56" s="3" t="s">
        <v>18</v>
      </c>
      <c r="D56" s="3" t="str">
        <f>IFERROR(VLOOKUP(RawTable[[#This Row],[Entity_Type]], EntityMap[], 2, FALSE), "")</f>
        <v>Payroll</v>
      </c>
      <c r="E56" s="3" t="s">
        <v>10</v>
      </c>
      <c r="F56" s="3" t="s">
        <v>63</v>
      </c>
      <c r="G56" s="3" t="str">
        <f>IFERROR(VLOOKUP(RawTable[[#This Row],[Name]], Name_Master!$A:$E, 4, FALSE), "")</f>
        <v>CH930000000000863800</v>
      </c>
      <c r="H5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PAY-Jordan-202601-000055</v>
      </c>
      <c r="I56" s="1">
        <f>IF(RawTable[[#This Row],[Month]]="","",DATE(YEAR(RawTable[[#This Row],[Month]]),MONTH(RawTable[[#This Row],[Month]]),1))</f>
        <v>46023</v>
      </c>
      <c r="J5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56" s="3" t="s">
        <v>11</v>
      </c>
      <c r="L56" s="4">
        <v>1898.46</v>
      </c>
      <c r="M56" s="2" t="str">
        <f>IF(RawTable[[#This Row],[Net_Amount]]="","",IF(RawTable[[#This Row],[Payment_Type]]="Vendor_Invoice","Yes","No"))</f>
        <v>No</v>
      </c>
      <c r="N56" s="6">
        <f>IF(D56="Vendor_Invoice",
     IFERROR(
         INDEX(System_Master_Data!$B$9:$B$14,
               MATCH(E56,System_Master_Data!$A$9:$A$14,0)
         ),
     0),
0)</f>
        <v>0</v>
      </c>
      <c r="O56" s="4">
        <f t="shared" si="0"/>
        <v>0</v>
      </c>
      <c r="P56" s="4">
        <f t="shared" si="1"/>
        <v>1898.46</v>
      </c>
      <c r="Q56" s="56">
        <f>IFERROR(VLOOKUP(RawTable[[#This Row],[Currency]], System_Master_Data!$A$24:$B$29, 2, FALSE), "")</f>
        <v>1.08643</v>
      </c>
      <c r="R56">
        <f>IF(RawTable[[#This Row],[Exchange_Rate]]="","",ROUND(RawTable[[#This Row],[Gross_Amount]]*RawTable[[#This Row],[Exchange_Rate]],2))</f>
        <v>2062.54</v>
      </c>
      <c r="S56" t="str">
        <f>IF(RawTable[[#This Row],[Entity_Type]]&lt;&gt;"Employee",RawTable[[#This Row],[Entity_Type]],
IF(RawTable[[#This Row],[Country]]="Switzerland","Direct","EOR")
)</f>
        <v>EOR</v>
      </c>
      <c r="T56" t="str">
        <f>IF(RawTable[[#This Row],[Employment_Model]]&lt;&gt;"EOR","",
IFERROR(VLOOKUP(RawTable[[#This Row],[Country]],EORMap[#All],3,FALSE),"")
)</f>
        <v>Oyster</v>
      </c>
    </row>
    <row r="57" spans="1:20">
      <c r="A57" s="24">
        <v>56</v>
      </c>
      <c r="B57" s="1" t="s">
        <v>28</v>
      </c>
      <c r="C57" s="3" t="s">
        <v>18</v>
      </c>
      <c r="D57" s="3" t="str">
        <f>IFERROR(VLOOKUP(RawTable[[#This Row],[Entity_Type]], EntityMap[], 2, FALSE), "")</f>
        <v>Payroll</v>
      </c>
      <c r="E57" s="3" t="s">
        <v>8</v>
      </c>
      <c r="F57" s="3" t="s">
        <v>64</v>
      </c>
      <c r="G57" s="3" t="str">
        <f>IFERROR(VLOOKUP(RawTable[[#This Row],[Name]], Name_Master!$A:$E, 4, FALSE), "")</f>
        <v>JO-IBAN-00444420</v>
      </c>
      <c r="H5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PAY-UAE-202602-000056</v>
      </c>
      <c r="I57" s="1">
        <f>IF(RawTable[[#This Row],[Month]]="","",DATE(YEAR(RawTable[[#This Row],[Month]]),MONTH(RawTable[[#This Row],[Month]]),1))</f>
        <v>46054</v>
      </c>
      <c r="J5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57" s="3" t="s">
        <v>9</v>
      </c>
      <c r="L57" s="4">
        <v>23584</v>
      </c>
      <c r="M57" s="2" t="str">
        <f>IF(RawTable[[#This Row],[Net_Amount]]="","",IF(RawTable[[#This Row],[Payment_Type]]="Vendor_Invoice","Yes","No"))</f>
        <v>No</v>
      </c>
      <c r="N57" s="6">
        <f>IF(D57="Vendor_Invoice",
     IFERROR(
         INDEX(System_Master_Data!$B$9:$B$14,
               MATCH(E57,System_Master_Data!$A$9:$A$14,0)
         ),
     0),
0)</f>
        <v>0</v>
      </c>
      <c r="O57" s="4">
        <f t="shared" si="0"/>
        <v>0</v>
      </c>
      <c r="P57" s="4">
        <f t="shared" si="1"/>
        <v>23584</v>
      </c>
      <c r="Q57" s="56">
        <f>IFERROR(VLOOKUP(RawTable[[#This Row],[Currency]], System_Master_Data!$A$24:$B$29, 2, FALSE), "")</f>
        <v>0.21065</v>
      </c>
      <c r="R57">
        <f>IF(RawTable[[#This Row],[Exchange_Rate]]="","",ROUND(RawTable[[#This Row],[Gross_Amount]]*RawTable[[#This Row],[Exchange_Rate]],2))</f>
        <v>4967.97</v>
      </c>
      <c r="S57" t="str">
        <f>IF(RawTable[[#This Row],[Entity_Type]]&lt;&gt;"Employee",RawTable[[#This Row],[Entity_Type]],
IF(RawTable[[#This Row],[Country]]="Switzerland","Direct","EOR")
)</f>
        <v>EOR</v>
      </c>
      <c r="T57" t="str">
        <f>IF(RawTable[[#This Row],[Employment_Model]]&lt;&gt;"EOR","",
IFERROR(VLOOKUP(RawTable[[#This Row],[Country]],EORMap[#All],3,FALSE),"")
)</f>
        <v>Deel</v>
      </c>
    </row>
    <row r="58" spans="1:20">
      <c r="A58" s="24">
        <v>57</v>
      </c>
      <c r="B58" s="1" t="s">
        <v>28</v>
      </c>
      <c r="C58" s="3" t="s">
        <v>18</v>
      </c>
      <c r="D58" s="3" t="str">
        <f>IFERROR(VLOOKUP(RawTable[[#This Row],[Entity_Type]], EntityMap[], 2, FALSE), "")</f>
        <v>Payroll</v>
      </c>
      <c r="E58" s="3" t="s">
        <v>4</v>
      </c>
      <c r="F58" s="3" t="s">
        <v>73</v>
      </c>
      <c r="G58" s="3" t="str">
        <f>IFERROR(VLOOKUP(RawTable[[#This Row],[Name]], Name_Master!$A:$E, 4, FALSE), "")</f>
        <v>DE890000000000611055</v>
      </c>
      <c r="H5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PAY-Germany-202602-000057</v>
      </c>
      <c r="I58" s="1">
        <f>IF(RawTable[[#This Row],[Month]]="","",DATE(YEAR(RawTable[[#This Row],[Month]]),MONTH(RawTable[[#This Row],[Month]]),1))</f>
        <v>46054</v>
      </c>
      <c r="J5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58" s="3" t="s">
        <v>5</v>
      </c>
      <c r="L58" s="4">
        <v>5902.8</v>
      </c>
      <c r="M58" s="2" t="str">
        <f>IF(RawTable[[#This Row],[Net_Amount]]="","",IF(RawTable[[#This Row],[Payment_Type]]="Vendor_Invoice","Yes","No"))</f>
        <v>No</v>
      </c>
      <c r="N58" s="6">
        <f>IF(D58="Vendor_Invoice",
     IFERROR(
         INDEX(System_Master_Data!$B$9:$B$14,
               MATCH(E58,System_Master_Data!$A$9:$A$14,0)
         ),
     0),
0)</f>
        <v>0</v>
      </c>
      <c r="O58" s="4">
        <f t="shared" si="0"/>
        <v>0</v>
      </c>
      <c r="P58" s="4">
        <f t="shared" si="1"/>
        <v>5902.8</v>
      </c>
      <c r="Q58" s="56">
        <f>IFERROR(VLOOKUP(RawTable[[#This Row],[Currency]], System_Master_Data!$A$24:$B$29, 2, FALSE), "")</f>
        <v>0.90888000000000002</v>
      </c>
      <c r="R58">
        <f>IF(RawTable[[#This Row],[Exchange_Rate]]="","",ROUND(RawTable[[#This Row],[Gross_Amount]]*RawTable[[#This Row],[Exchange_Rate]],2))</f>
        <v>5364.94</v>
      </c>
      <c r="S58" t="str">
        <f>IF(RawTable[[#This Row],[Entity_Type]]&lt;&gt;"Employee",RawTable[[#This Row],[Entity_Type]],
IF(RawTable[[#This Row],[Country]]="Switzerland","Direct","EOR")
)</f>
        <v>EOR</v>
      </c>
      <c r="T58" t="str">
        <f>IF(RawTable[[#This Row],[Employment_Model]]&lt;&gt;"EOR","",
IFERROR(VLOOKUP(RawTable[[#This Row],[Country]],EORMap[#All],3,FALSE),"")
)</f>
        <v>Oyster</v>
      </c>
    </row>
    <row r="59" spans="1:20">
      <c r="A59" s="24">
        <v>58</v>
      </c>
      <c r="B59" s="1" t="s">
        <v>35</v>
      </c>
      <c r="C59" s="3" t="s">
        <v>18</v>
      </c>
      <c r="D59" s="3" t="str">
        <f>IFERROR(VLOOKUP(RawTable[[#This Row],[Entity_Type]], EntityMap[], 2, FALSE), "")</f>
        <v>Payroll</v>
      </c>
      <c r="E59" s="3" t="s">
        <v>10</v>
      </c>
      <c r="F59" s="3" t="s">
        <v>44</v>
      </c>
      <c r="G59" s="3" t="str">
        <f>IFERROR(VLOOKUP(RawTable[[#This Row],[Name]], Name_Master!$A:$E, 4, FALSE), "")</f>
        <v>AE-IBAN-00869136</v>
      </c>
      <c r="H5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PAY-Jordan-202601-000058</v>
      </c>
      <c r="I59" s="1">
        <f>IF(RawTable[[#This Row],[Month]]="","",DATE(YEAR(RawTable[[#This Row],[Month]]),MONTH(RawTable[[#This Row],[Month]]),1))</f>
        <v>46023</v>
      </c>
      <c r="J5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59" s="3" t="s">
        <v>11</v>
      </c>
      <c r="L59" s="4">
        <v>1950.48</v>
      </c>
      <c r="M59" s="2" t="str">
        <f>IF(RawTable[[#This Row],[Net_Amount]]="","",IF(RawTable[[#This Row],[Payment_Type]]="Vendor_Invoice","Yes","No"))</f>
        <v>No</v>
      </c>
      <c r="N59" s="6">
        <f>IF(D59="Vendor_Invoice",
     IFERROR(
         INDEX(System_Master_Data!$B$9:$B$14,
               MATCH(E59,System_Master_Data!$A$9:$A$14,0)
         ),
     0),
0)</f>
        <v>0</v>
      </c>
      <c r="O59" s="4">
        <f t="shared" si="0"/>
        <v>0</v>
      </c>
      <c r="P59" s="4">
        <f t="shared" si="1"/>
        <v>1950.48</v>
      </c>
      <c r="Q59" s="56">
        <f>IFERROR(VLOOKUP(RawTable[[#This Row],[Currency]], System_Master_Data!$A$24:$B$29, 2, FALSE), "")</f>
        <v>1.08643</v>
      </c>
      <c r="R59">
        <f>IF(RawTable[[#This Row],[Exchange_Rate]]="","",ROUND(RawTable[[#This Row],[Gross_Amount]]*RawTable[[#This Row],[Exchange_Rate]],2))</f>
        <v>2119.06</v>
      </c>
      <c r="S59" t="str">
        <f>IF(RawTable[[#This Row],[Entity_Type]]&lt;&gt;"Employee",RawTable[[#This Row],[Entity_Type]],
IF(RawTable[[#This Row],[Country]]="Switzerland","Direct","EOR")
)</f>
        <v>EOR</v>
      </c>
      <c r="T59" t="str">
        <f>IF(RawTable[[#This Row],[Employment_Model]]&lt;&gt;"EOR","",
IFERROR(VLOOKUP(RawTable[[#This Row],[Country]],EORMap[#All],3,FALSE),"")
)</f>
        <v>Oyster</v>
      </c>
    </row>
    <row r="60" spans="1:20">
      <c r="A60" s="24">
        <v>59</v>
      </c>
      <c r="B60" s="1" t="s">
        <v>35</v>
      </c>
      <c r="C60" s="3" t="s">
        <v>18</v>
      </c>
      <c r="D60" s="3" t="str">
        <f>IFERROR(VLOOKUP(RawTable[[#This Row],[Entity_Type]], EntityMap[], 2, FALSE), "")</f>
        <v>Payroll</v>
      </c>
      <c r="E60" s="3" t="s">
        <v>4</v>
      </c>
      <c r="F60" s="3" t="s">
        <v>44</v>
      </c>
      <c r="G60" s="3" t="str">
        <f>IFERROR(VLOOKUP(RawTable[[#This Row],[Name]], Name_Master!$A:$E, 4, FALSE), "")</f>
        <v>AE-IBAN-00869136</v>
      </c>
      <c r="H6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PAY-Germany-202601-000059</v>
      </c>
      <c r="I60" s="1">
        <f>IF(RawTable[[#This Row],[Month]]="","",DATE(YEAR(RawTable[[#This Row],[Month]]),MONTH(RawTable[[#This Row],[Month]]),1))</f>
        <v>46023</v>
      </c>
      <c r="J6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60" s="3" t="s">
        <v>5</v>
      </c>
      <c r="L60" s="4">
        <v>6501.6</v>
      </c>
      <c r="M60" s="2" t="str">
        <f>IF(RawTable[[#This Row],[Net_Amount]]="","",IF(RawTable[[#This Row],[Payment_Type]]="Vendor_Invoice","Yes","No"))</f>
        <v>No</v>
      </c>
      <c r="N60" s="6">
        <f>IF(D60="Vendor_Invoice",
     IFERROR(
         INDEX(System_Master_Data!$B$9:$B$14,
               MATCH(E60,System_Master_Data!$A$9:$A$14,0)
         ),
     0),
0)</f>
        <v>0</v>
      </c>
      <c r="O60" s="4">
        <f t="shared" si="0"/>
        <v>0</v>
      </c>
      <c r="P60" s="4">
        <f t="shared" si="1"/>
        <v>6501.6</v>
      </c>
      <c r="Q60" s="56">
        <f>IFERROR(VLOOKUP(RawTable[[#This Row],[Currency]], System_Master_Data!$A$24:$B$29, 2, FALSE), "")</f>
        <v>0.90888000000000002</v>
      </c>
      <c r="R60">
        <f>IF(RawTable[[#This Row],[Exchange_Rate]]="","",ROUND(RawTable[[#This Row],[Gross_Amount]]*RawTable[[#This Row],[Exchange_Rate]],2))</f>
        <v>5909.17</v>
      </c>
      <c r="S60" t="str">
        <f>IF(RawTable[[#This Row],[Entity_Type]]&lt;&gt;"Employee",RawTable[[#This Row],[Entity_Type]],
IF(RawTable[[#This Row],[Country]]="Switzerland","Direct","EOR")
)</f>
        <v>EOR</v>
      </c>
      <c r="T60" t="str">
        <f>IF(RawTable[[#This Row],[Employment_Model]]&lt;&gt;"EOR","",
IFERROR(VLOOKUP(RawTable[[#This Row],[Country]],EORMap[#All],3,FALSE),"")
)</f>
        <v>Oyster</v>
      </c>
    </row>
    <row r="61" spans="1:20">
      <c r="A61" s="24">
        <v>60</v>
      </c>
      <c r="B61" s="1" t="s">
        <v>30</v>
      </c>
      <c r="C61" s="3" t="s">
        <v>18</v>
      </c>
      <c r="D61" s="3" t="str">
        <f>IFERROR(VLOOKUP(RawTable[[#This Row],[Entity_Type]], EntityMap[], 2, FALSE), "")</f>
        <v>Payroll</v>
      </c>
      <c r="E61" s="3" t="s">
        <v>8</v>
      </c>
      <c r="F61" s="3" t="s">
        <v>74</v>
      </c>
      <c r="G61" s="3" t="str">
        <f>IFERROR(VLOOKUP(RawTable[[#This Row],[Name]], Name_Master!$A:$E, 4, FALSE), "")</f>
        <v>AE-IBAN-02498766</v>
      </c>
      <c r="H6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PAY-UAE-202603-000060</v>
      </c>
      <c r="I61" s="1">
        <f>IF(RawTable[[#This Row],[Month]]="","",DATE(YEAR(RawTable[[#This Row],[Month]]),MONTH(RawTable[[#This Row],[Month]]),1))</f>
        <v>46082</v>
      </c>
      <c r="J6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61" s="3" t="s">
        <v>9</v>
      </c>
      <c r="L61" s="4">
        <v>23806.2</v>
      </c>
      <c r="M61" s="2" t="str">
        <f>IF(RawTable[[#This Row],[Net_Amount]]="","",IF(RawTable[[#This Row],[Payment_Type]]="Vendor_Invoice","Yes","No"))</f>
        <v>No</v>
      </c>
      <c r="N61" s="6">
        <f>IF(D61="Vendor_Invoice",
     IFERROR(
         INDEX(System_Master_Data!$B$9:$B$14,
               MATCH(E61,System_Master_Data!$A$9:$A$14,0)
         ),
     0),
0)</f>
        <v>0</v>
      </c>
      <c r="O61" s="4">
        <f t="shared" si="0"/>
        <v>0</v>
      </c>
      <c r="P61" s="4">
        <f t="shared" si="1"/>
        <v>23806.2</v>
      </c>
      <c r="Q61" s="56">
        <f>IFERROR(VLOOKUP(RawTable[[#This Row],[Currency]], System_Master_Data!$A$24:$B$29, 2, FALSE), "")</f>
        <v>0.21065</v>
      </c>
      <c r="R61">
        <f>IF(RawTable[[#This Row],[Exchange_Rate]]="","",ROUND(RawTable[[#This Row],[Gross_Amount]]*RawTable[[#This Row],[Exchange_Rate]],2))</f>
        <v>5014.78</v>
      </c>
      <c r="S61" t="str">
        <f>IF(RawTable[[#This Row],[Entity_Type]]&lt;&gt;"Employee",RawTable[[#This Row],[Entity_Type]],
IF(RawTable[[#This Row],[Country]]="Switzerland","Direct","EOR")
)</f>
        <v>EOR</v>
      </c>
      <c r="T61" t="str">
        <f>IF(RawTable[[#This Row],[Employment_Model]]&lt;&gt;"EOR","",
IFERROR(VLOOKUP(RawTable[[#This Row],[Country]],EORMap[#All],3,FALSE),"")
)</f>
        <v>Deel</v>
      </c>
    </row>
    <row r="62" spans="1:20">
      <c r="A62" s="24">
        <v>61</v>
      </c>
      <c r="B62" s="1" t="s">
        <v>35</v>
      </c>
      <c r="C62" s="3" t="s">
        <v>18</v>
      </c>
      <c r="D62" s="3" t="str">
        <f>IFERROR(VLOOKUP(RawTable[[#This Row],[Entity_Type]], EntityMap[], 2, FALSE), "")</f>
        <v>Payroll</v>
      </c>
      <c r="E62" s="3" t="s">
        <v>2</v>
      </c>
      <c r="F62" s="3" t="s">
        <v>75</v>
      </c>
      <c r="G62" s="3" t="str">
        <f>IFERROR(VLOOKUP(RawTable[[#This Row],[Name]], Name_Master!$A:$E, 4, FALSE), "")</f>
        <v>CH930000000001159960</v>
      </c>
      <c r="H6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PAY-Switzerland-202601-000061</v>
      </c>
      <c r="I62" s="1">
        <f>IF(RawTable[[#This Row],[Month]]="","",DATE(YEAR(RawTable[[#This Row],[Month]]),MONTH(RawTable[[#This Row],[Month]]),1))</f>
        <v>46023</v>
      </c>
      <c r="J6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62" s="3" t="s">
        <v>3</v>
      </c>
      <c r="L62" s="4">
        <v>6689.8</v>
      </c>
      <c r="M62" s="2" t="str">
        <f>IF(RawTable[[#This Row],[Net_Amount]]="","",IF(RawTable[[#This Row],[Payment_Type]]="Vendor_Invoice","Yes","No"))</f>
        <v>No</v>
      </c>
      <c r="N62" s="6">
        <f>IF(D62="Vendor_Invoice",
     IFERROR(
         INDEX(System_Master_Data!$B$9:$B$14,
               MATCH(E62,System_Master_Data!$A$9:$A$14,0)
         ),
     0),
0)</f>
        <v>0</v>
      </c>
      <c r="O62" s="4">
        <f t="shared" si="0"/>
        <v>0</v>
      </c>
      <c r="P62" s="4">
        <f t="shared" si="1"/>
        <v>6689.8</v>
      </c>
      <c r="Q62" s="56">
        <f>IFERROR(VLOOKUP(RawTable[[#This Row],[Currency]], System_Master_Data!$A$24:$B$29, 2, FALSE), "")</f>
        <v>1</v>
      </c>
      <c r="R62">
        <f>IF(RawTable[[#This Row],[Exchange_Rate]]="","",ROUND(RawTable[[#This Row],[Gross_Amount]]*RawTable[[#This Row],[Exchange_Rate]],2))</f>
        <v>6689.8</v>
      </c>
      <c r="S62" t="str">
        <f>IF(RawTable[[#This Row],[Entity_Type]]&lt;&gt;"Employee",RawTable[[#This Row],[Entity_Type]],
IF(RawTable[[#This Row],[Country]]="Switzerland","Direct","EOR")
)</f>
        <v>Direct</v>
      </c>
      <c r="T62" t="str">
        <f>IF(RawTable[[#This Row],[Employment_Model]]&lt;&gt;"EOR","",
IFERROR(VLOOKUP(RawTable[[#This Row],[Country]],EORMap[#All],3,FALSE),"")
)</f>
        <v/>
      </c>
    </row>
    <row r="63" spans="1:20">
      <c r="A63" s="24">
        <v>62</v>
      </c>
      <c r="B63" s="1" t="s">
        <v>35</v>
      </c>
      <c r="C63" s="3" t="s">
        <v>18</v>
      </c>
      <c r="D63" s="3" t="str">
        <f>IFERROR(VLOOKUP(RawTable[[#This Row],[Entity_Type]], EntityMap[], 2, FALSE), "")</f>
        <v>Payroll</v>
      </c>
      <c r="E63" s="3" t="s">
        <v>8</v>
      </c>
      <c r="F63" s="3" t="s">
        <v>76</v>
      </c>
      <c r="G63" s="3" t="str">
        <f>IFERROR(VLOOKUP(RawTable[[#This Row],[Name]], Name_Master!$A:$E, 4, FALSE), "")</f>
        <v>AE-IBAN-02607408</v>
      </c>
      <c r="H6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PAY-UAE-202601-000062</v>
      </c>
      <c r="I63" s="1">
        <f>IF(RawTable[[#This Row],[Month]]="","",DATE(YEAR(RawTable[[#This Row],[Month]]),MONTH(RawTable[[#This Row],[Month]]),1))</f>
        <v>46023</v>
      </c>
      <c r="J6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63" s="3" t="s">
        <v>9</v>
      </c>
      <c r="L63" s="4">
        <v>20497.400000000001</v>
      </c>
      <c r="M63" s="2" t="str">
        <f>IF(RawTable[[#This Row],[Net_Amount]]="","",IF(RawTable[[#This Row],[Payment_Type]]="Vendor_Invoice","Yes","No"))</f>
        <v>No</v>
      </c>
      <c r="N63" s="6">
        <f>IF(D63="Vendor_Invoice",
     IFERROR(
         INDEX(System_Master_Data!$B$9:$B$14,
               MATCH(E63,System_Master_Data!$A$9:$A$14,0)
         ),
     0),
0)</f>
        <v>0</v>
      </c>
      <c r="O63" s="4">
        <f t="shared" si="0"/>
        <v>0</v>
      </c>
      <c r="P63" s="4">
        <f t="shared" si="1"/>
        <v>20497.400000000001</v>
      </c>
      <c r="Q63" s="56">
        <f>IFERROR(VLOOKUP(RawTable[[#This Row],[Currency]], System_Master_Data!$A$24:$B$29, 2, FALSE), "")</f>
        <v>0.21065</v>
      </c>
      <c r="R63">
        <f>IF(RawTable[[#This Row],[Exchange_Rate]]="","",ROUND(RawTable[[#This Row],[Gross_Amount]]*RawTable[[#This Row],[Exchange_Rate]],2))</f>
        <v>4317.78</v>
      </c>
      <c r="S63" t="str">
        <f>IF(RawTable[[#This Row],[Entity_Type]]&lt;&gt;"Employee",RawTable[[#This Row],[Entity_Type]],
IF(RawTable[[#This Row],[Country]]="Switzerland","Direct","EOR")
)</f>
        <v>EOR</v>
      </c>
      <c r="T63" t="str">
        <f>IF(RawTable[[#This Row],[Employment_Model]]&lt;&gt;"EOR","",
IFERROR(VLOOKUP(RawTable[[#This Row],[Country]],EORMap[#All],3,FALSE),"")
)</f>
        <v>Deel</v>
      </c>
    </row>
    <row r="64" spans="1:20">
      <c r="A64" s="24">
        <v>63</v>
      </c>
      <c r="B64" s="1" t="s">
        <v>28</v>
      </c>
      <c r="C64" s="3" t="s">
        <v>18</v>
      </c>
      <c r="D64" s="3" t="str">
        <f>IFERROR(VLOOKUP(RawTable[[#This Row],[Entity_Type]], EntityMap[], 2, FALSE), "")</f>
        <v>Payroll</v>
      </c>
      <c r="E64" s="3" t="s">
        <v>2</v>
      </c>
      <c r="F64" s="3" t="s">
        <v>77</v>
      </c>
      <c r="G64" s="3" t="str">
        <f>IFERROR(VLOOKUP(RawTable[[#This Row],[Name]], Name_Master!$A:$E, 4, FALSE), "")</f>
        <v>CH930000000001209320</v>
      </c>
      <c r="H6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PAY-Switzerland-202602-000063</v>
      </c>
      <c r="I64" s="1">
        <f>IF(RawTable[[#This Row],[Month]]="","",DATE(YEAR(RawTable[[#This Row],[Month]]),MONTH(RawTable[[#This Row],[Month]]),1))</f>
        <v>46054</v>
      </c>
      <c r="J6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64" s="3" t="s">
        <v>3</v>
      </c>
      <c r="L64" s="4">
        <v>6815.25</v>
      </c>
      <c r="M64" s="2" t="str">
        <f>IF(RawTable[[#This Row],[Net_Amount]]="","",IF(RawTable[[#This Row],[Payment_Type]]="Vendor_Invoice","Yes","No"))</f>
        <v>No</v>
      </c>
      <c r="N64" s="6">
        <f>IF(D64="Vendor_Invoice",
     IFERROR(
         INDEX(System_Master_Data!$B$9:$B$14,
               MATCH(E64,System_Master_Data!$A$9:$A$14,0)
         ),
     0),
0)</f>
        <v>0</v>
      </c>
      <c r="O64" s="4">
        <f t="shared" si="0"/>
        <v>0</v>
      </c>
      <c r="P64" s="4">
        <f t="shared" si="1"/>
        <v>6815.25</v>
      </c>
      <c r="Q64" s="56">
        <f>IFERROR(VLOOKUP(RawTable[[#This Row],[Currency]], System_Master_Data!$A$24:$B$29, 2, FALSE), "")</f>
        <v>1</v>
      </c>
      <c r="R64">
        <f>IF(RawTable[[#This Row],[Exchange_Rate]]="","",ROUND(RawTable[[#This Row],[Gross_Amount]]*RawTable[[#This Row],[Exchange_Rate]],2))</f>
        <v>6815.25</v>
      </c>
      <c r="S64" t="str">
        <f>IF(RawTable[[#This Row],[Entity_Type]]&lt;&gt;"Employee",RawTable[[#This Row],[Entity_Type]],
IF(RawTable[[#This Row],[Country]]="Switzerland","Direct","EOR")
)</f>
        <v>Direct</v>
      </c>
      <c r="T64" t="str">
        <f>IF(RawTable[[#This Row],[Employment_Model]]&lt;&gt;"EOR","",
IFERROR(VLOOKUP(RawTable[[#This Row],[Country]],EORMap[#All],3,FALSE),"")
)</f>
        <v/>
      </c>
    </row>
    <row r="65" spans="1:20">
      <c r="A65" s="24">
        <v>64</v>
      </c>
      <c r="B65" s="1" t="s">
        <v>35</v>
      </c>
      <c r="C65" s="3" t="s">
        <v>18</v>
      </c>
      <c r="D65" s="3" t="str">
        <f>IFERROR(VLOOKUP(RawTable[[#This Row],[Entity_Type]], EntityMap[], 2, FALSE), "")</f>
        <v>Payroll</v>
      </c>
      <c r="E65" s="3" t="s">
        <v>8</v>
      </c>
      <c r="F65" s="3" t="s">
        <v>59</v>
      </c>
      <c r="G65" s="3" t="str">
        <f>IFERROR(VLOOKUP(RawTable[[#This Row],[Name]], Name_Master!$A:$E, 4, FALSE), "")</f>
        <v>JO-IBAN-00382695</v>
      </c>
      <c r="H6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PAY-UAE-202601-000064</v>
      </c>
      <c r="I65" s="1">
        <f>IF(RawTable[[#This Row],[Month]]="","",DATE(YEAR(RawTable[[#This Row],[Month]]),MONTH(RawTable[[#This Row],[Month]]),1))</f>
        <v>46023</v>
      </c>
      <c r="J6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65" s="3" t="s">
        <v>9</v>
      </c>
      <c r="L65" s="4">
        <v>20112.400000000001</v>
      </c>
      <c r="M65" s="2" t="str">
        <f>IF(RawTable[[#This Row],[Net_Amount]]="","",IF(RawTable[[#This Row],[Payment_Type]]="Vendor_Invoice","Yes","No"))</f>
        <v>No</v>
      </c>
      <c r="N65" s="6">
        <f>IF(D65="Vendor_Invoice",
     IFERROR(
         INDEX(System_Master_Data!$B$9:$B$14,
               MATCH(E65,System_Master_Data!$A$9:$A$14,0)
         ),
     0),
0)</f>
        <v>0</v>
      </c>
      <c r="O65" s="4">
        <f t="shared" si="0"/>
        <v>0</v>
      </c>
      <c r="P65" s="4">
        <f t="shared" si="1"/>
        <v>20112.400000000001</v>
      </c>
      <c r="Q65" s="56">
        <f>IFERROR(VLOOKUP(RawTable[[#This Row],[Currency]], System_Master_Data!$A$24:$B$29, 2, FALSE), "")</f>
        <v>0.21065</v>
      </c>
      <c r="R65">
        <f>IF(RawTable[[#This Row],[Exchange_Rate]]="","",ROUND(RawTable[[#This Row],[Gross_Amount]]*RawTable[[#This Row],[Exchange_Rate]],2))</f>
        <v>4236.68</v>
      </c>
      <c r="S65" t="str">
        <f>IF(RawTable[[#This Row],[Entity_Type]]&lt;&gt;"Employee",RawTable[[#This Row],[Entity_Type]],
IF(RawTable[[#This Row],[Country]]="Switzerland","Direct","EOR")
)</f>
        <v>EOR</v>
      </c>
      <c r="T65" t="str">
        <f>IF(RawTable[[#This Row],[Employment_Model]]&lt;&gt;"EOR","",
IFERROR(VLOOKUP(RawTable[[#This Row],[Country]],EORMap[#All],3,FALSE),"")
)</f>
        <v>Deel</v>
      </c>
    </row>
    <row r="66" spans="1:20">
      <c r="A66" s="24">
        <v>65</v>
      </c>
      <c r="B66" s="1" t="s">
        <v>28</v>
      </c>
      <c r="C66" s="3" t="s">
        <v>18</v>
      </c>
      <c r="D66" s="3" t="str">
        <f>IFERROR(VLOOKUP(RawTable[[#This Row],[Entity_Type]], EntityMap[], 2, FALSE), "")</f>
        <v>Payroll</v>
      </c>
      <c r="E66" s="3" t="s">
        <v>8</v>
      </c>
      <c r="F66" s="3" t="s">
        <v>59</v>
      </c>
      <c r="G66" s="3" t="str">
        <f>IFERROR(VLOOKUP(RawTable[[#This Row],[Name]], Name_Master!$A:$E, 4, FALSE), "")</f>
        <v>JO-IBAN-00382695</v>
      </c>
      <c r="H6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PAY-UAE-202602-000065</v>
      </c>
      <c r="I66" s="1">
        <f>IF(RawTable[[#This Row],[Month]]="","",DATE(YEAR(RawTable[[#This Row],[Month]]),MONTH(RawTable[[#This Row],[Month]]),1))</f>
        <v>46054</v>
      </c>
      <c r="J6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66" s="3" t="s">
        <v>9</v>
      </c>
      <c r="L66" s="4">
        <v>20414.09</v>
      </c>
      <c r="M66" s="2" t="str">
        <f>IF(RawTable[[#This Row],[Net_Amount]]="","",IF(RawTable[[#This Row],[Payment_Type]]="Vendor_Invoice","Yes","No"))</f>
        <v>No</v>
      </c>
      <c r="N66" s="6">
        <f>IF(D66="Vendor_Invoice",
     IFERROR(
         INDEX(System_Master_Data!$B$9:$B$14,
               MATCH(E66,System_Master_Data!$A$9:$A$14,0)
         ),
     0),
0)</f>
        <v>0</v>
      </c>
      <c r="O66" s="4">
        <f t="shared" ref="O66:O129" si="2">N66*L66</f>
        <v>0</v>
      </c>
      <c r="P66" s="4">
        <f t="shared" ref="P66:P129" si="3">O66+L66</f>
        <v>20414.09</v>
      </c>
      <c r="Q66" s="56">
        <f>IFERROR(VLOOKUP(RawTable[[#This Row],[Currency]], System_Master_Data!$A$24:$B$29, 2, FALSE), "")</f>
        <v>0.21065</v>
      </c>
      <c r="R66">
        <f>IF(RawTable[[#This Row],[Exchange_Rate]]="","",ROUND(RawTable[[#This Row],[Gross_Amount]]*RawTable[[#This Row],[Exchange_Rate]],2))</f>
        <v>4300.2299999999996</v>
      </c>
      <c r="S66" t="str">
        <f>IF(RawTable[[#This Row],[Entity_Type]]&lt;&gt;"Employee",RawTable[[#This Row],[Entity_Type]],
IF(RawTable[[#This Row],[Country]]="Switzerland","Direct","EOR")
)</f>
        <v>EOR</v>
      </c>
      <c r="T66" t="str">
        <f>IF(RawTable[[#This Row],[Employment_Model]]&lt;&gt;"EOR","",
IFERROR(VLOOKUP(RawTable[[#This Row],[Country]],EORMap[#All],3,FALSE),"")
)</f>
        <v>Deel</v>
      </c>
    </row>
    <row r="67" spans="1:20">
      <c r="A67" s="24">
        <v>66</v>
      </c>
      <c r="B67" s="1" t="s">
        <v>30</v>
      </c>
      <c r="C67" s="3" t="s">
        <v>18</v>
      </c>
      <c r="D67" s="3" t="str">
        <f>IFERROR(VLOOKUP(RawTable[[#This Row],[Entity_Type]], EntityMap[], 2, FALSE), "")</f>
        <v>Payroll</v>
      </c>
      <c r="E67" s="3" t="s">
        <v>2</v>
      </c>
      <c r="F67" s="3" t="s">
        <v>44</v>
      </c>
      <c r="G67" s="3" t="str">
        <f>IFERROR(VLOOKUP(RawTable[[#This Row],[Name]], Name_Master!$A:$E, 4, FALSE), "")</f>
        <v>AE-IBAN-00869136</v>
      </c>
      <c r="H6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PAY-Switzerland-202603-000066</v>
      </c>
      <c r="I67" s="1">
        <f>IF(RawTable[[#This Row],[Month]]="","",DATE(YEAR(RawTable[[#This Row],[Month]]),MONTH(RawTable[[#This Row],[Month]]),1))</f>
        <v>46082</v>
      </c>
      <c r="J6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67" s="3" t="s">
        <v>3</v>
      </c>
      <c r="L67" s="4">
        <v>7043.4</v>
      </c>
      <c r="M67" s="2" t="str">
        <f>IF(RawTable[[#This Row],[Net_Amount]]="","",IF(RawTable[[#This Row],[Payment_Type]]="Vendor_Invoice","Yes","No"))</f>
        <v>No</v>
      </c>
      <c r="N67" s="6">
        <f>IF(D67="Vendor_Invoice",
     IFERROR(
         INDEX(System_Master_Data!$B$9:$B$14,
               MATCH(E67,System_Master_Data!$A$9:$A$14,0)
         ),
     0),
0)</f>
        <v>0</v>
      </c>
      <c r="O67" s="4">
        <f t="shared" si="2"/>
        <v>0</v>
      </c>
      <c r="P67" s="4">
        <f t="shared" si="3"/>
        <v>7043.4</v>
      </c>
      <c r="Q67" s="56">
        <f>IFERROR(VLOOKUP(RawTable[[#This Row],[Currency]], System_Master_Data!$A$24:$B$29, 2, FALSE), "")</f>
        <v>1</v>
      </c>
      <c r="R67">
        <f>IF(RawTable[[#This Row],[Exchange_Rate]]="","",ROUND(RawTable[[#This Row],[Gross_Amount]]*RawTable[[#This Row],[Exchange_Rate]],2))</f>
        <v>7043.4</v>
      </c>
      <c r="S67" t="str">
        <f>IF(RawTable[[#This Row],[Entity_Type]]&lt;&gt;"Employee",RawTable[[#This Row],[Entity_Type]],
IF(RawTable[[#This Row],[Country]]="Switzerland","Direct","EOR")
)</f>
        <v>Direct</v>
      </c>
      <c r="T67" t="str">
        <f>IF(RawTable[[#This Row],[Employment_Model]]&lt;&gt;"EOR","",
IFERROR(VLOOKUP(RawTable[[#This Row],[Country]],EORMap[#All],3,FALSE),"")
)</f>
        <v/>
      </c>
    </row>
    <row r="68" spans="1:20">
      <c r="A68" s="24">
        <v>67</v>
      </c>
      <c r="B68" s="1" t="s">
        <v>35</v>
      </c>
      <c r="C68" s="3" t="s">
        <v>18</v>
      </c>
      <c r="D68" s="3" t="str">
        <f>IFERROR(VLOOKUP(RawTable[[#This Row],[Entity_Type]], EntityMap[], 2, FALSE), "")</f>
        <v>Payroll</v>
      </c>
      <c r="E68" s="3" t="s">
        <v>10</v>
      </c>
      <c r="F68" s="3" t="s">
        <v>54</v>
      </c>
      <c r="G68" s="3" t="str">
        <f>IFERROR(VLOOKUP(RawTable[[#This Row],[Name]], Name_Master!$A:$E, 4, FALSE), "")</f>
        <v>CH930000000000641680</v>
      </c>
      <c r="H6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PAY-Jordan-202601-000067</v>
      </c>
      <c r="I68" s="1">
        <f>IF(RawTable[[#This Row],[Month]]="","",DATE(YEAR(RawTable[[#This Row],[Month]]),MONTH(RawTable[[#This Row],[Month]]),1))</f>
        <v>46023</v>
      </c>
      <c r="J6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68" s="3" t="s">
        <v>11</v>
      </c>
      <c r="L68" s="4">
        <v>1911.96</v>
      </c>
      <c r="M68" s="2" t="str">
        <f>IF(RawTable[[#This Row],[Net_Amount]]="","",IF(RawTable[[#This Row],[Payment_Type]]="Vendor_Invoice","Yes","No"))</f>
        <v>No</v>
      </c>
      <c r="N68" s="6">
        <f>IF(D68="Vendor_Invoice",
     IFERROR(
         INDEX(System_Master_Data!$B$9:$B$14,
               MATCH(E68,System_Master_Data!$A$9:$A$14,0)
         ),
     0),
0)</f>
        <v>0</v>
      </c>
      <c r="O68" s="4">
        <f t="shared" si="2"/>
        <v>0</v>
      </c>
      <c r="P68" s="4">
        <f t="shared" si="3"/>
        <v>1911.96</v>
      </c>
      <c r="Q68" s="56">
        <f>IFERROR(VLOOKUP(RawTable[[#This Row],[Currency]], System_Master_Data!$A$24:$B$29, 2, FALSE), "")</f>
        <v>1.08643</v>
      </c>
      <c r="R68">
        <f>IF(RawTable[[#This Row],[Exchange_Rate]]="","",ROUND(RawTable[[#This Row],[Gross_Amount]]*RawTable[[#This Row],[Exchange_Rate]],2))</f>
        <v>2077.21</v>
      </c>
      <c r="S68" t="str">
        <f>IF(RawTable[[#This Row],[Entity_Type]]&lt;&gt;"Employee",RawTable[[#This Row],[Entity_Type]],
IF(RawTable[[#This Row],[Country]]="Switzerland","Direct","EOR")
)</f>
        <v>EOR</v>
      </c>
      <c r="T68" t="str">
        <f>IF(RawTable[[#This Row],[Employment_Model]]&lt;&gt;"EOR","",
IFERROR(VLOOKUP(RawTable[[#This Row],[Country]],EORMap[#All],3,FALSE),"")
)</f>
        <v>Oyster</v>
      </c>
    </row>
    <row r="69" spans="1:20">
      <c r="A69" s="24">
        <v>68</v>
      </c>
      <c r="B69" s="1" t="s">
        <v>30</v>
      </c>
      <c r="C69" s="3" t="s">
        <v>18</v>
      </c>
      <c r="D69" s="3" t="str">
        <f>IFERROR(VLOOKUP(RawTable[[#This Row],[Entity_Type]], EntityMap[], 2, FALSE), "")</f>
        <v>Payroll</v>
      </c>
      <c r="E69" s="3" t="s">
        <v>10</v>
      </c>
      <c r="F69" s="3" t="s">
        <v>78</v>
      </c>
      <c r="G69" s="3" t="str">
        <f>IFERROR(VLOOKUP(RawTable[[#This Row],[Name]], Name_Master!$A:$E, 4, FALSE), "")</f>
        <v>JO-IBAN-00617250</v>
      </c>
      <c r="H6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PAY-Jordan-202603-000068</v>
      </c>
      <c r="I69" s="1">
        <f>IF(RawTable[[#This Row],[Month]]="","",DATE(YEAR(RawTable[[#This Row],[Month]]),MONTH(RawTable[[#This Row],[Month]]),1))</f>
        <v>46082</v>
      </c>
      <c r="J6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69" s="3" t="s">
        <v>11</v>
      </c>
      <c r="L69" s="4">
        <v>1689.12</v>
      </c>
      <c r="M69" s="2" t="str">
        <f>IF(RawTable[[#This Row],[Net_Amount]]="","",IF(RawTable[[#This Row],[Payment_Type]]="Vendor_Invoice","Yes","No"))</f>
        <v>No</v>
      </c>
      <c r="N69" s="6">
        <f>IF(D69="Vendor_Invoice",
     IFERROR(
         INDEX(System_Master_Data!$B$9:$B$14,
               MATCH(E69,System_Master_Data!$A$9:$A$14,0)
         ),
     0),
0)</f>
        <v>0</v>
      </c>
      <c r="O69" s="4">
        <f t="shared" si="2"/>
        <v>0</v>
      </c>
      <c r="P69" s="4">
        <f t="shared" si="3"/>
        <v>1689.12</v>
      </c>
      <c r="Q69" s="56">
        <f>IFERROR(VLOOKUP(RawTable[[#This Row],[Currency]], System_Master_Data!$A$24:$B$29, 2, FALSE), "")</f>
        <v>1.08643</v>
      </c>
      <c r="R69">
        <f>IF(RawTable[[#This Row],[Exchange_Rate]]="","",ROUND(RawTable[[#This Row],[Gross_Amount]]*RawTable[[#This Row],[Exchange_Rate]],2))</f>
        <v>1835.11</v>
      </c>
      <c r="S69" t="str">
        <f>IF(RawTable[[#This Row],[Entity_Type]]&lt;&gt;"Employee",RawTable[[#This Row],[Entity_Type]],
IF(RawTable[[#This Row],[Country]]="Switzerland","Direct","EOR")
)</f>
        <v>EOR</v>
      </c>
      <c r="T69" t="str">
        <f>IF(RawTable[[#This Row],[Employment_Model]]&lt;&gt;"EOR","",
IFERROR(VLOOKUP(RawTable[[#This Row],[Country]],EORMap[#All],3,FALSE),"")
)</f>
        <v>Oyster</v>
      </c>
    </row>
    <row r="70" spans="1:20">
      <c r="A70" s="24">
        <v>69</v>
      </c>
      <c r="B70" s="1" t="s">
        <v>28</v>
      </c>
      <c r="C70" s="3" t="s">
        <v>18</v>
      </c>
      <c r="D70" s="3" t="str">
        <f>IFERROR(VLOOKUP(RawTable[[#This Row],[Entity_Type]], EntityMap[], 2, FALSE), "")</f>
        <v>Payroll</v>
      </c>
      <c r="E70" s="3" t="s">
        <v>2</v>
      </c>
      <c r="F70" s="3" t="s">
        <v>37</v>
      </c>
      <c r="G70" s="3" t="str">
        <f>IFERROR(VLOOKUP(RawTable[[#This Row],[Name]], Name_Master!$A:$E, 4, FALSE), "")</f>
        <v>DE890000000000122211</v>
      </c>
      <c r="H7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PAY-Switzerland-202602-000069</v>
      </c>
      <c r="I70" s="1">
        <f>IF(RawTable[[#This Row],[Month]]="","",DATE(YEAR(RawTable[[#This Row],[Month]]),MONTH(RawTable[[#This Row],[Month]]),1))</f>
        <v>46054</v>
      </c>
      <c r="J7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70" s="3" t="s">
        <v>3</v>
      </c>
      <c r="L70" s="4">
        <v>6650.15</v>
      </c>
      <c r="M70" s="2" t="str">
        <f>IF(RawTable[[#This Row],[Net_Amount]]="","",IF(RawTable[[#This Row],[Payment_Type]]="Vendor_Invoice","Yes","No"))</f>
        <v>No</v>
      </c>
      <c r="N70" s="6">
        <f>IF(D70="Vendor_Invoice",
     IFERROR(
         INDEX(System_Master_Data!$B$9:$B$14,
               MATCH(E70,System_Master_Data!$A$9:$A$14,0)
         ),
     0),
0)</f>
        <v>0</v>
      </c>
      <c r="O70" s="4">
        <f t="shared" si="2"/>
        <v>0</v>
      </c>
      <c r="P70" s="4">
        <f t="shared" si="3"/>
        <v>6650.15</v>
      </c>
      <c r="Q70" s="56">
        <f>IFERROR(VLOOKUP(RawTable[[#This Row],[Currency]], System_Master_Data!$A$24:$B$29, 2, FALSE), "")</f>
        <v>1</v>
      </c>
      <c r="R70">
        <f>IF(RawTable[[#This Row],[Exchange_Rate]]="","",ROUND(RawTable[[#This Row],[Gross_Amount]]*RawTable[[#This Row],[Exchange_Rate]],2))</f>
        <v>6650.15</v>
      </c>
      <c r="S70" t="str">
        <f>IF(RawTable[[#This Row],[Entity_Type]]&lt;&gt;"Employee",RawTable[[#This Row],[Entity_Type]],
IF(RawTable[[#This Row],[Country]]="Switzerland","Direct","EOR")
)</f>
        <v>Direct</v>
      </c>
      <c r="T70" t="str">
        <f>IF(RawTable[[#This Row],[Employment_Model]]&lt;&gt;"EOR","",
IFERROR(VLOOKUP(RawTable[[#This Row],[Country]],EORMap[#All],3,FALSE),"")
)</f>
        <v/>
      </c>
    </row>
    <row r="71" spans="1:20">
      <c r="A71" s="24">
        <v>70</v>
      </c>
      <c r="B71" s="1" t="s">
        <v>35</v>
      </c>
      <c r="C71" s="3" t="s">
        <v>18</v>
      </c>
      <c r="D71" s="3" t="str">
        <f>IFERROR(VLOOKUP(RawTable[[#This Row],[Entity_Type]], EntityMap[], 2, FALSE), "")</f>
        <v>Payroll</v>
      </c>
      <c r="E71" s="3" t="s">
        <v>6</v>
      </c>
      <c r="F71" s="3" t="s">
        <v>63</v>
      </c>
      <c r="G71" s="3" t="str">
        <f>IFERROR(VLOOKUP(RawTable[[#This Row],[Name]], Name_Master!$A:$E, 4, FALSE), "")</f>
        <v>CH930000000000863800</v>
      </c>
      <c r="H7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PAY-USA-202601-000070</v>
      </c>
      <c r="I71" s="1">
        <f>IF(RawTable[[#This Row],[Month]]="","",DATE(YEAR(RawTable[[#This Row],[Month]]),MONTH(RawTable[[#This Row],[Month]]),1))</f>
        <v>46023</v>
      </c>
      <c r="J7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71" s="3" t="s">
        <v>7</v>
      </c>
      <c r="L71" s="4">
        <v>7382.9</v>
      </c>
      <c r="M71" s="2" t="str">
        <f>IF(RawTable[[#This Row],[Net_Amount]]="","",IF(RawTable[[#This Row],[Payment_Type]]="Vendor_Invoice","Yes","No"))</f>
        <v>No</v>
      </c>
      <c r="N71" s="6">
        <f>IF(D71="Vendor_Invoice",
     IFERROR(
         INDEX(System_Master_Data!$B$9:$B$14,
               MATCH(E71,System_Master_Data!$A$9:$A$14,0)
         ),
     0),
0)</f>
        <v>0</v>
      </c>
      <c r="O71" s="4">
        <f t="shared" si="2"/>
        <v>0</v>
      </c>
      <c r="P71" s="4">
        <f t="shared" si="3"/>
        <v>7382.9</v>
      </c>
      <c r="Q71" s="56">
        <f>IFERROR(VLOOKUP(RawTable[[#This Row],[Currency]], System_Master_Data!$A$24:$B$29, 2, FALSE), "")</f>
        <v>0.77017999999999998</v>
      </c>
      <c r="R71">
        <f>IF(RawTable[[#This Row],[Exchange_Rate]]="","",ROUND(RawTable[[#This Row],[Gross_Amount]]*RawTable[[#This Row],[Exchange_Rate]],2))</f>
        <v>5686.16</v>
      </c>
      <c r="S71" t="str">
        <f>IF(RawTable[[#This Row],[Entity_Type]]&lt;&gt;"Employee",RawTable[[#This Row],[Entity_Type]],
IF(RawTable[[#This Row],[Country]]="Switzerland","Direct","EOR")
)</f>
        <v>EOR</v>
      </c>
      <c r="T71" t="str">
        <f>IF(RawTable[[#This Row],[Employment_Model]]&lt;&gt;"EOR","",
IFERROR(VLOOKUP(RawTable[[#This Row],[Country]],EORMap[#All],3,FALSE),"")
)</f>
        <v>Remote</v>
      </c>
    </row>
    <row r="72" spans="1:20">
      <c r="A72" s="24">
        <v>71</v>
      </c>
      <c r="B72" s="1" t="s">
        <v>35</v>
      </c>
      <c r="C72" s="3" t="s">
        <v>18</v>
      </c>
      <c r="D72" s="3" t="str">
        <f>IFERROR(VLOOKUP(RawTable[[#This Row],[Entity_Type]], EntityMap[], 2, FALSE), "")</f>
        <v>Payroll</v>
      </c>
      <c r="E72" s="3" t="s">
        <v>6</v>
      </c>
      <c r="F72" s="3" t="s">
        <v>79</v>
      </c>
      <c r="G72" s="3" t="str">
        <f>IFERROR(VLOOKUP(RawTable[[#This Row],[Name]], Name_Master!$A:$E, 4, FALSE), "")</f>
        <v>US-RT-000062934-AC-0000289578</v>
      </c>
      <c r="H7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PAY-USA-202601-000071</v>
      </c>
      <c r="I72" s="1">
        <f>IF(RawTable[[#This Row],[Month]]="","",DATE(YEAR(RawTable[[#This Row],[Month]]),MONTH(RawTable[[#This Row],[Month]]),1))</f>
        <v>46023</v>
      </c>
      <c r="J7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72" s="3" t="s">
        <v>7</v>
      </c>
      <c r="L72" s="4">
        <v>7151.9</v>
      </c>
      <c r="M72" s="2" t="str">
        <f>IF(RawTable[[#This Row],[Net_Amount]]="","",IF(RawTable[[#This Row],[Payment_Type]]="Vendor_Invoice","Yes","No"))</f>
        <v>No</v>
      </c>
      <c r="N72" s="6">
        <f>IF(D72="Vendor_Invoice",
     IFERROR(
         INDEX(System_Master_Data!$B$9:$B$14,
               MATCH(E72,System_Master_Data!$A$9:$A$14,0)
         ),
     0),
0)</f>
        <v>0</v>
      </c>
      <c r="O72" s="4">
        <f t="shared" si="2"/>
        <v>0</v>
      </c>
      <c r="P72" s="4">
        <f t="shared" si="3"/>
        <v>7151.9</v>
      </c>
      <c r="Q72" s="56">
        <f>IFERROR(VLOOKUP(RawTable[[#This Row],[Currency]], System_Master_Data!$A$24:$B$29, 2, FALSE), "")</f>
        <v>0.77017999999999998</v>
      </c>
      <c r="R72">
        <f>IF(RawTable[[#This Row],[Exchange_Rate]]="","",ROUND(RawTable[[#This Row],[Gross_Amount]]*RawTable[[#This Row],[Exchange_Rate]],2))</f>
        <v>5508.25</v>
      </c>
      <c r="S72" t="str">
        <f>IF(RawTable[[#This Row],[Entity_Type]]&lt;&gt;"Employee",RawTable[[#This Row],[Entity_Type]],
IF(RawTable[[#This Row],[Country]]="Switzerland","Direct","EOR")
)</f>
        <v>EOR</v>
      </c>
      <c r="T72" t="str">
        <f>IF(RawTable[[#This Row],[Employment_Model]]&lt;&gt;"EOR","",
IFERROR(VLOOKUP(RawTable[[#This Row],[Country]],EORMap[#All],3,FALSE),"")
)</f>
        <v>Remote</v>
      </c>
    </row>
    <row r="73" spans="1:20">
      <c r="A73" s="24">
        <v>72</v>
      </c>
      <c r="B73" s="1" t="s">
        <v>28</v>
      </c>
      <c r="C73" s="3" t="s">
        <v>18</v>
      </c>
      <c r="D73" s="3" t="str">
        <f>IFERROR(VLOOKUP(RawTable[[#This Row],[Entity_Type]], EntityMap[], 2, FALSE), "")</f>
        <v>Payroll</v>
      </c>
      <c r="E73" s="3" t="s">
        <v>4</v>
      </c>
      <c r="F73" s="3" t="s">
        <v>36</v>
      </c>
      <c r="G73" s="3" t="str">
        <f>IFERROR(VLOOKUP(RawTable[[#This Row],[Name]], Name_Master!$A:$E, 4, FALSE), "")</f>
        <v>JO-IBAN-00098760</v>
      </c>
      <c r="H7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PAY-Germany-202602-000072</v>
      </c>
      <c r="I73" s="1">
        <f>IF(RawTable[[#This Row],[Month]]="","",DATE(YEAR(RawTable[[#This Row],[Month]]),MONTH(RawTable[[#This Row],[Month]]),1))</f>
        <v>46054</v>
      </c>
      <c r="J7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73" s="3" t="s">
        <v>5</v>
      </c>
      <c r="L73" s="4">
        <v>6126</v>
      </c>
      <c r="M73" s="2" t="str">
        <f>IF(RawTable[[#This Row],[Net_Amount]]="","",IF(RawTable[[#This Row],[Payment_Type]]="Vendor_Invoice","Yes","No"))</f>
        <v>No</v>
      </c>
      <c r="N73" s="6">
        <f>IF(D73="Vendor_Invoice",
     IFERROR(
         INDEX(System_Master_Data!$B$9:$B$14,
               MATCH(E73,System_Master_Data!$A$9:$A$14,0)
         ),
     0),
0)</f>
        <v>0</v>
      </c>
      <c r="O73" s="4">
        <f t="shared" si="2"/>
        <v>0</v>
      </c>
      <c r="P73" s="4">
        <f t="shared" si="3"/>
        <v>6126</v>
      </c>
      <c r="Q73" s="56">
        <f>IFERROR(VLOOKUP(RawTable[[#This Row],[Currency]], System_Master_Data!$A$24:$B$29, 2, FALSE), "")</f>
        <v>0.90888000000000002</v>
      </c>
      <c r="R73">
        <f>IF(RawTable[[#This Row],[Exchange_Rate]]="","",ROUND(RawTable[[#This Row],[Gross_Amount]]*RawTable[[#This Row],[Exchange_Rate]],2))</f>
        <v>5567.8</v>
      </c>
      <c r="S73" t="str">
        <f>IF(RawTable[[#This Row],[Entity_Type]]&lt;&gt;"Employee",RawTable[[#This Row],[Entity_Type]],
IF(RawTable[[#This Row],[Country]]="Switzerland","Direct","EOR")
)</f>
        <v>EOR</v>
      </c>
      <c r="T73" t="str">
        <f>IF(RawTable[[#This Row],[Employment_Model]]&lt;&gt;"EOR","",
IFERROR(VLOOKUP(RawTable[[#This Row],[Country]],EORMap[#All],3,FALSE),"")
)</f>
        <v>Oyster</v>
      </c>
    </row>
    <row r="74" spans="1:20">
      <c r="A74" s="24">
        <v>73</v>
      </c>
      <c r="B74" s="1" t="s">
        <v>30</v>
      </c>
      <c r="C74" s="3" t="s">
        <v>18</v>
      </c>
      <c r="D74" s="3" t="str">
        <f>IFERROR(VLOOKUP(RawTable[[#This Row],[Entity_Type]], EntityMap[], 2, FALSE), "")</f>
        <v>Payroll</v>
      </c>
      <c r="E74" s="3" t="s">
        <v>10</v>
      </c>
      <c r="F74" s="3" t="s">
        <v>80</v>
      </c>
      <c r="G74" s="3" t="str">
        <f>IFERROR(VLOOKUP(RawTable[[#This Row],[Name]], Name_Master!$A:$E, 4, FALSE), "")</f>
        <v>JO-IBAN-00641940</v>
      </c>
      <c r="H7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PAY-Jordan-202603-000073</v>
      </c>
      <c r="I74" s="1">
        <f>IF(RawTable[[#This Row],[Month]]="","",DATE(YEAR(RawTable[[#This Row],[Month]]),MONTH(RawTable[[#This Row],[Month]]),1))</f>
        <v>46082</v>
      </c>
      <c r="J7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74" s="3" t="s">
        <v>11</v>
      </c>
      <c r="L74" s="4">
        <v>1701.9</v>
      </c>
      <c r="M74" s="2" t="str">
        <f>IF(RawTable[[#This Row],[Net_Amount]]="","",IF(RawTable[[#This Row],[Payment_Type]]="Vendor_Invoice","Yes","No"))</f>
        <v>No</v>
      </c>
      <c r="N74" s="6">
        <f>IF(D74="Vendor_Invoice",
     IFERROR(
         INDEX(System_Master_Data!$B$9:$B$14,
               MATCH(E74,System_Master_Data!$A$9:$A$14,0)
         ),
     0),
0)</f>
        <v>0</v>
      </c>
      <c r="O74" s="4">
        <f t="shared" si="2"/>
        <v>0</v>
      </c>
      <c r="P74" s="4">
        <f t="shared" si="3"/>
        <v>1701.9</v>
      </c>
      <c r="Q74" s="56">
        <f>IFERROR(VLOOKUP(RawTable[[#This Row],[Currency]], System_Master_Data!$A$24:$B$29, 2, FALSE), "")</f>
        <v>1.08643</v>
      </c>
      <c r="R74">
        <f>IF(RawTable[[#This Row],[Exchange_Rate]]="","",ROUND(RawTable[[#This Row],[Gross_Amount]]*RawTable[[#This Row],[Exchange_Rate]],2))</f>
        <v>1849</v>
      </c>
      <c r="S74" t="str">
        <f>IF(RawTable[[#This Row],[Entity_Type]]&lt;&gt;"Employee",RawTable[[#This Row],[Entity_Type]],
IF(RawTable[[#This Row],[Country]]="Switzerland","Direct","EOR")
)</f>
        <v>EOR</v>
      </c>
      <c r="T74" t="str">
        <f>IF(RawTable[[#This Row],[Employment_Model]]&lt;&gt;"EOR","",
IFERROR(VLOOKUP(RawTable[[#This Row],[Country]],EORMap[#All],3,FALSE),"")
)</f>
        <v>Oyster</v>
      </c>
    </row>
    <row r="75" spans="1:20">
      <c r="A75" s="24">
        <v>74</v>
      </c>
      <c r="B75" s="1" t="s">
        <v>35</v>
      </c>
      <c r="C75" s="3" t="s">
        <v>18</v>
      </c>
      <c r="D75" s="3" t="str">
        <f>IFERROR(VLOOKUP(RawTable[[#This Row],[Entity_Type]], EntityMap[], 2, FALSE), "")</f>
        <v>Payroll</v>
      </c>
      <c r="E75" s="3" t="s">
        <v>6</v>
      </c>
      <c r="F75" s="3" t="s">
        <v>46</v>
      </c>
      <c r="G75" s="3" t="str">
        <f>IFERROR(VLOOKUP(RawTable[[#This Row],[Name]], Name_Master!$A:$E, 4, FALSE), "")</f>
        <v>CH930000000000444240</v>
      </c>
      <c r="H7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PAY-USA-202601-000074</v>
      </c>
      <c r="I75" s="1">
        <f>IF(RawTable[[#This Row],[Month]]="","",DATE(YEAR(RawTable[[#This Row],[Month]]),MONTH(RawTable[[#This Row],[Month]]),1))</f>
        <v>46023</v>
      </c>
      <c r="J7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75" s="3" t="s">
        <v>7</v>
      </c>
      <c r="L75" s="4">
        <v>7522.9</v>
      </c>
      <c r="M75" s="2" t="str">
        <f>IF(RawTable[[#This Row],[Net_Amount]]="","",IF(RawTable[[#This Row],[Payment_Type]]="Vendor_Invoice","Yes","No"))</f>
        <v>No</v>
      </c>
      <c r="N75" s="6">
        <f>IF(D75="Vendor_Invoice",
     IFERROR(
         INDEX(System_Master_Data!$B$9:$B$14,
               MATCH(E75,System_Master_Data!$A$9:$A$14,0)
         ),
     0),
0)</f>
        <v>0</v>
      </c>
      <c r="O75" s="4">
        <f t="shared" si="2"/>
        <v>0</v>
      </c>
      <c r="P75" s="4">
        <f t="shared" si="3"/>
        <v>7522.9</v>
      </c>
      <c r="Q75" s="56">
        <f>IFERROR(VLOOKUP(RawTable[[#This Row],[Currency]], System_Master_Data!$A$24:$B$29, 2, FALSE), "")</f>
        <v>0.77017999999999998</v>
      </c>
      <c r="R75">
        <f>IF(RawTable[[#This Row],[Exchange_Rate]]="","",ROUND(RawTable[[#This Row],[Gross_Amount]]*RawTable[[#This Row],[Exchange_Rate]],2))</f>
        <v>5793.99</v>
      </c>
      <c r="S75" t="str">
        <f>IF(RawTable[[#This Row],[Entity_Type]]&lt;&gt;"Employee",RawTable[[#This Row],[Entity_Type]],
IF(RawTable[[#This Row],[Country]]="Switzerland","Direct","EOR")
)</f>
        <v>EOR</v>
      </c>
      <c r="T75" t="str">
        <f>IF(RawTable[[#This Row],[Employment_Model]]&lt;&gt;"EOR","",
IFERROR(VLOOKUP(RawTable[[#This Row],[Country]],EORMap[#All],3,FALSE),"")
)</f>
        <v>Remote</v>
      </c>
    </row>
    <row r="76" spans="1:20">
      <c r="A76" s="24">
        <v>75</v>
      </c>
      <c r="B76" s="1" t="s">
        <v>28</v>
      </c>
      <c r="C76" s="3" t="s">
        <v>18</v>
      </c>
      <c r="D76" s="3" t="str">
        <f>IFERROR(VLOOKUP(RawTable[[#This Row],[Entity_Type]], EntityMap[], 2, FALSE), "")</f>
        <v>Payroll</v>
      </c>
      <c r="E76" s="3" t="s">
        <v>6</v>
      </c>
      <c r="F76" s="3" t="s">
        <v>48</v>
      </c>
      <c r="G76" s="3" t="str">
        <f>IFERROR(VLOOKUP(RawTable[[#This Row],[Name]], Name_Master!$A:$E, 4, FALSE), "")</f>
        <v>US-RT-000024680-AC-0000113560</v>
      </c>
      <c r="H7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PAY-USA-202602-000075</v>
      </c>
      <c r="I76" s="1">
        <f>IF(RawTable[[#This Row],[Month]]="","",DATE(YEAR(RawTable[[#This Row],[Month]]),MONTH(RawTable[[#This Row],[Month]]),1))</f>
        <v>46054</v>
      </c>
      <c r="J7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76" s="3" t="s">
        <v>7</v>
      </c>
      <c r="L76" s="4">
        <v>7576.06</v>
      </c>
      <c r="M76" s="2" t="str">
        <f>IF(RawTable[[#This Row],[Net_Amount]]="","",IF(RawTable[[#This Row],[Payment_Type]]="Vendor_Invoice","Yes","No"))</f>
        <v>No</v>
      </c>
      <c r="N76" s="6">
        <f>IF(D76="Vendor_Invoice",
     IFERROR(
         INDEX(System_Master_Data!$B$9:$B$14,
               MATCH(E76,System_Master_Data!$A$9:$A$14,0)
         ),
     0),
0)</f>
        <v>0</v>
      </c>
      <c r="O76" s="4">
        <f t="shared" si="2"/>
        <v>0</v>
      </c>
      <c r="P76" s="4">
        <f t="shared" si="3"/>
        <v>7576.06</v>
      </c>
      <c r="Q76" s="56">
        <f>IFERROR(VLOOKUP(RawTable[[#This Row],[Currency]], System_Master_Data!$A$24:$B$29, 2, FALSE), "")</f>
        <v>0.77017999999999998</v>
      </c>
      <c r="R76">
        <f>IF(RawTable[[#This Row],[Exchange_Rate]]="","",ROUND(RawTable[[#This Row],[Gross_Amount]]*RawTable[[#This Row],[Exchange_Rate]],2))</f>
        <v>5834.93</v>
      </c>
      <c r="S76" t="str">
        <f>IF(RawTable[[#This Row],[Entity_Type]]&lt;&gt;"Employee",RawTable[[#This Row],[Entity_Type]],
IF(RawTable[[#This Row],[Country]]="Switzerland","Direct","EOR")
)</f>
        <v>EOR</v>
      </c>
      <c r="T76" t="str">
        <f>IF(RawTable[[#This Row],[Employment_Model]]&lt;&gt;"EOR","",
IFERROR(VLOOKUP(RawTable[[#This Row],[Country]],EORMap[#All],3,FALSE),"")
)</f>
        <v>Remote</v>
      </c>
    </row>
    <row r="77" spans="1:20">
      <c r="A77" s="24">
        <v>76</v>
      </c>
      <c r="B77" s="1" t="s">
        <v>30</v>
      </c>
      <c r="C77" s="3" t="s">
        <v>18</v>
      </c>
      <c r="D77" s="3" t="str">
        <f>IFERROR(VLOOKUP(RawTable[[#This Row],[Entity_Type]], EntityMap[], 2, FALSE), "")</f>
        <v>Payroll</v>
      </c>
      <c r="E77" s="3" t="s">
        <v>6</v>
      </c>
      <c r="F77" s="3" t="s">
        <v>77</v>
      </c>
      <c r="G77" s="3" t="str">
        <f>IFERROR(VLOOKUP(RawTable[[#This Row],[Name]], Name_Master!$A:$E, 4, FALSE), "")</f>
        <v>CH930000000001209320</v>
      </c>
      <c r="H7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PAY-USA-202603-000076</v>
      </c>
      <c r="I77" s="1">
        <f>IF(RawTable[[#This Row],[Month]]="","",DATE(YEAR(RawTable[[#This Row],[Month]]),MONTH(RawTable[[#This Row],[Month]]),1))</f>
        <v>46082</v>
      </c>
      <c r="J7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77" s="3" t="s">
        <v>7</v>
      </c>
      <c r="L77" s="4">
        <v>7339.5</v>
      </c>
      <c r="M77" s="2" t="str">
        <f>IF(RawTable[[#This Row],[Net_Amount]]="","",IF(RawTable[[#This Row],[Payment_Type]]="Vendor_Invoice","Yes","No"))</f>
        <v>No</v>
      </c>
      <c r="N77" s="6">
        <f>IF(D77="Vendor_Invoice",
     IFERROR(
         INDEX(System_Master_Data!$B$9:$B$14,
               MATCH(E77,System_Master_Data!$A$9:$A$14,0)
         ),
     0),
0)</f>
        <v>0</v>
      </c>
      <c r="O77" s="4">
        <f t="shared" si="2"/>
        <v>0</v>
      </c>
      <c r="P77" s="4">
        <f t="shared" si="3"/>
        <v>7339.5</v>
      </c>
      <c r="Q77" s="56">
        <f>IFERROR(VLOOKUP(RawTable[[#This Row],[Currency]], System_Master_Data!$A$24:$B$29, 2, FALSE), "")</f>
        <v>0.77017999999999998</v>
      </c>
      <c r="R77">
        <f>IF(RawTable[[#This Row],[Exchange_Rate]]="","",ROUND(RawTable[[#This Row],[Gross_Amount]]*RawTable[[#This Row],[Exchange_Rate]],2))</f>
        <v>5652.74</v>
      </c>
      <c r="S77" t="str">
        <f>IF(RawTable[[#This Row],[Entity_Type]]&lt;&gt;"Employee",RawTable[[#This Row],[Entity_Type]],
IF(RawTable[[#This Row],[Country]]="Switzerland","Direct","EOR")
)</f>
        <v>EOR</v>
      </c>
      <c r="T77" t="str">
        <f>IF(RawTable[[#This Row],[Employment_Model]]&lt;&gt;"EOR","",
IFERROR(VLOOKUP(RawTable[[#This Row],[Country]],EORMap[#All],3,FALSE),"")
)</f>
        <v>Remote</v>
      </c>
    </row>
    <row r="78" spans="1:20">
      <c r="A78" s="24">
        <v>77</v>
      </c>
      <c r="B78" s="1" t="s">
        <v>30</v>
      </c>
      <c r="C78" s="3" t="s">
        <v>18</v>
      </c>
      <c r="D78" s="3" t="str">
        <f>IFERROR(VLOOKUP(RawTable[[#This Row],[Entity_Type]], EntityMap[], 2, FALSE), "")</f>
        <v>Payroll</v>
      </c>
      <c r="E78" s="3" t="s">
        <v>4</v>
      </c>
      <c r="F78" s="3" t="s">
        <v>31</v>
      </c>
      <c r="G78" s="3" t="str">
        <f>IFERROR(VLOOKUP(RawTable[[#This Row],[Name]], Name_Master!$A:$E, 4, FALSE), "")</f>
        <v>US-RT-000004936-AC-0000022712</v>
      </c>
      <c r="H7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PAY-Germany-202603-000077</v>
      </c>
      <c r="I78" s="1">
        <f>IF(RawTable[[#This Row],[Month]]="","",DATE(YEAR(RawTable[[#This Row],[Month]]),MONTH(RawTable[[#This Row],[Month]]),1))</f>
        <v>46082</v>
      </c>
      <c r="J7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78" s="3" t="s">
        <v>5</v>
      </c>
      <c r="L78" s="4">
        <v>6447</v>
      </c>
      <c r="M78" s="2" t="str">
        <f>IF(RawTable[[#This Row],[Net_Amount]]="","",IF(RawTable[[#This Row],[Payment_Type]]="Vendor_Invoice","Yes","No"))</f>
        <v>No</v>
      </c>
      <c r="N78" s="6">
        <f>IF(D78="Vendor_Invoice",
     IFERROR(
         INDEX(System_Master_Data!$B$9:$B$14,
               MATCH(E78,System_Master_Data!$A$9:$A$14,0)
         ),
     0),
0)</f>
        <v>0</v>
      </c>
      <c r="O78" s="4">
        <f t="shared" si="2"/>
        <v>0</v>
      </c>
      <c r="P78" s="4">
        <f t="shared" si="3"/>
        <v>6447</v>
      </c>
      <c r="Q78" s="56">
        <f>IFERROR(VLOOKUP(RawTable[[#This Row],[Currency]], System_Master_Data!$A$24:$B$29, 2, FALSE), "")</f>
        <v>0.90888000000000002</v>
      </c>
      <c r="R78">
        <f>IF(RawTable[[#This Row],[Exchange_Rate]]="","",ROUND(RawTable[[#This Row],[Gross_Amount]]*RawTable[[#This Row],[Exchange_Rate]],2))</f>
        <v>5859.55</v>
      </c>
      <c r="S78" t="str">
        <f>IF(RawTable[[#This Row],[Entity_Type]]&lt;&gt;"Employee",RawTable[[#This Row],[Entity_Type]],
IF(RawTable[[#This Row],[Country]]="Switzerland","Direct","EOR")
)</f>
        <v>EOR</v>
      </c>
      <c r="T78" t="str">
        <f>IF(RawTable[[#This Row],[Employment_Model]]&lt;&gt;"EOR","",
IFERROR(VLOOKUP(RawTable[[#This Row],[Country]],EORMap[#All],3,FALSE),"")
)</f>
        <v>Oyster</v>
      </c>
    </row>
    <row r="79" spans="1:20">
      <c r="A79" s="24">
        <v>78</v>
      </c>
      <c r="B79" s="1" t="s">
        <v>35</v>
      </c>
      <c r="C79" s="3" t="s">
        <v>18</v>
      </c>
      <c r="D79" s="3" t="str">
        <f>IFERROR(VLOOKUP(RawTable[[#This Row],[Entity_Type]], EntityMap[], 2, FALSE), "")</f>
        <v>Payroll</v>
      </c>
      <c r="E79" s="3" t="s">
        <v>6</v>
      </c>
      <c r="F79" s="3" t="s">
        <v>81</v>
      </c>
      <c r="G79" s="3" t="str">
        <f>IFERROR(VLOOKUP(RawTable[[#This Row],[Name]], Name_Master!$A:$E, 4, FALSE), "")</f>
        <v>US-RT-000065402-AC-0000300934</v>
      </c>
      <c r="H7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PAY-USA-202601-000078</v>
      </c>
      <c r="I79" s="1">
        <f>IF(RawTable[[#This Row],[Month]]="","",DATE(YEAR(RawTable[[#This Row],[Month]]),MONTH(RawTable[[#This Row],[Month]]),1))</f>
        <v>46023</v>
      </c>
      <c r="J7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79" s="3" t="s">
        <v>7</v>
      </c>
      <c r="L79" s="4">
        <v>7287.7</v>
      </c>
      <c r="M79" s="2" t="str">
        <f>IF(RawTable[[#This Row],[Net_Amount]]="","",IF(RawTable[[#This Row],[Payment_Type]]="Vendor_Invoice","Yes","No"))</f>
        <v>No</v>
      </c>
      <c r="N79" s="6">
        <f>IF(D79="Vendor_Invoice",
     IFERROR(
         INDEX(System_Master_Data!$B$9:$B$14,
               MATCH(E79,System_Master_Data!$A$9:$A$14,0)
         ),
     0),
0)</f>
        <v>0</v>
      </c>
      <c r="O79" s="4">
        <f t="shared" si="2"/>
        <v>0</v>
      </c>
      <c r="P79" s="4">
        <f t="shared" si="3"/>
        <v>7287.7</v>
      </c>
      <c r="Q79" s="56">
        <f>IFERROR(VLOOKUP(RawTable[[#This Row],[Currency]], System_Master_Data!$A$24:$B$29, 2, FALSE), "")</f>
        <v>0.77017999999999998</v>
      </c>
      <c r="R79">
        <f>IF(RawTable[[#This Row],[Exchange_Rate]]="","",ROUND(RawTable[[#This Row],[Gross_Amount]]*RawTable[[#This Row],[Exchange_Rate]],2))</f>
        <v>5612.84</v>
      </c>
      <c r="S79" t="str">
        <f>IF(RawTable[[#This Row],[Entity_Type]]&lt;&gt;"Employee",RawTable[[#This Row],[Entity_Type]],
IF(RawTable[[#This Row],[Country]]="Switzerland","Direct","EOR")
)</f>
        <v>EOR</v>
      </c>
      <c r="T79" t="str">
        <f>IF(RawTable[[#This Row],[Employment_Model]]&lt;&gt;"EOR","",
IFERROR(VLOOKUP(RawTable[[#This Row],[Country]],EORMap[#All],3,FALSE),"")
)</f>
        <v>Remote</v>
      </c>
    </row>
    <row r="80" spans="1:20">
      <c r="A80" s="24">
        <v>79</v>
      </c>
      <c r="B80" s="1" t="s">
        <v>30</v>
      </c>
      <c r="C80" s="3" t="s">
        <v>18</v>
      </c>
      <c r="D80" s="3" t="str">
        <f>IFERROR(VLOOKUP(RawTable[[#This Row],[Entity_Type]], EntityMap[], 2, FALSE), "")</f>
        <v>Payroll</v>
      </c>
      <c r="E80" s="3" t="s">
        <v>2</v>
      </c>
      <c r="F80" s="3" t="s">
        <v>60</v>
      </c>
      <c r="G80" s="3" t="str">
        <f>IFERROR(VLOOKUP(RawTable[[#This Row],[Name]], Name_Master!$A:$E, 4, FALSE), "")</f>
        <v>AE-IBAN-01738272</v>
      </c>
      <c r="H8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PAY-Switzerland-202603-000079</v>
      </c>
      <c r="I80" s="1">
        <f>IF(RawTable[[#This Row],[Month]]="","",DATE(YEAR(RawTable[[#This Row],[Month]]),MONTH(RawTable[[#This Row],[Month]]),1))</f>
        <v>46082</v>
      </c>
      <c r="J8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80" s="3" t="s">
        <v>3</v>
      </c>
      <c r="L80" s="4">
        <v>6130.15</v>
      </c>
      <c r="M80" s="2" t="str">
        <f>IF(RawTable[[#This Row],[Net_Amount]]="","",IF(RawTable[[#This Row],[Payment_Type]]="Vendor_Invoice","Yes","No"))</f>
        <v>No</v>
      </c>
      <c r="N80" s="6">
        <f>IF(D80="Vendor_Invoice",
     IFERROR(
         INDEX(System_Master_Data!$B$9:$B$14,
               MATCH(E80,System_Master_Data!$A$9:$A$14,0)
         ),
     0),
0)</f>
        <v>0</v>
      </c>
      <c r="O80" s="4">
        <f t="shared" si="2"/>
        <v>0</v>
      </c>
      <c r="P80" s="4">
        <f t="shared" si="3"/>
        <v>6130.15</v>
      </c>
      <c r="Q80" s="56">
        <f>IFERROR(VLOOKUP(RawTable[[#This Row],[Currency]], System_Master_Data!$A$24:$B$29, 2, FALSE), "")</f>
        <v>1</v>
      </c>
      <c r="R80">
        <f>IF(RawTable[[#This Row],[Exchange_Rate]]="","",ROUND(RawTable[[#This Row],[Gross_Amount]]*RawTable[[#This Row],[Exchange_Rate]],2))</f>
        <v>6130.15</v>
      </c>
      <c r="S80" t="str">
        <f>IF(RawTable[[#This Row],[Entity_Type]]&lt;&gt;"Employee",RawTable[[#This Row],[Entity_Type]],
IF(RawTable[[#This Row],[Country]]="Switzerland","Direct","EOR")
)</f>
        <v>Direct</v>
      </c>
      <c r="T80" t="str">
        <f>IF(RawTable[[#This Row],[Employment_Model]]&lt;&gt;"EOR","",
IFERROR(VLOOKUP(RawTable[[#This Row],[Country]],EORMap[#All],3,FALSE),"")
)</f>
        <v/>
      </c>
    </row>
    <row r="81" spans="1:20">
      <c r="A81" s="24">
        <v>80</v>
      </c>
      <c r="B81" s="1" t="s">
        <v>35</v>
      </c>
      <c r="C81" s="3" t="s">
        <v>18</v>
      </c>
      <c r="D81" s="3" t="str">
        <f>IFERROR(VLOOKUP(RawTable[[#This Row],[Entity_Type]], EntityMap[], 2, FALSE), "")</f>
        <v>Payroll</v>
      </c>
      <c r="E81" s="3" t="s">
        <v>10</v>
      </c>
      <c r="F81" s="3" t="s">
        <v>52</v>
      </c>
      <c r="G81" s="3" t="str">
        <f>IFERROR(VLOOKUP(RawTable[[#This Row],[Name]], Name_Master!$A:$E, 4, FALSE), "")</f>
        <v>CH930000000000592320</v>
      </c>
      <c r="H8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PAY-Jordan-202601-000080</v>
      </c>
      <c r="I81" s="1">
        <f>IF(RawTable[[#This Row],[Month]]="","",DATE(YEAR(RawTable[[#This Row],[Month]]),MONTH(RawTable[[#This Row],[Month]]),1))</f>
        <v>46023</v>
      </c>
      <c r="J8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81" s="3" t="s">
        <v>11</v>
      </c>
      <c r="L81" s="4">
        <v>1780.02</v>
      </c>
      <c r="M81" s="2" t="str">
        <f>IF(RawTable[[#This Row],[Net_Amount]]="","",IF(RawTable[[#This Row],[Payment_Type]]="Vendor_Invoice","Yes","No"))</f>
        <v>No</v>
      </c>
      <c r="N81" s="6">
        <f>IF(D81="Vendor_Invoice",
     IFERROR(
         INDEX(System_Master_Data!$B$9:$B$14,
               MATCH(E81,System_Master_Data!$A$9:$A$14,0)
         ),
     0),
0)</f>
        <v>0</v>
      </c>
      <c r="O81" s="4">
        <f t="shared" si="2"/>
        <v>0</v>
      </c>
      <c r="P81" s="4">
        <f t="shared" si="3"/>
        <v>1780.02</v>
      </c>
      <c r="Q81" s="56">
        <f>IFERROR(VLOOKUP(RawTable[[#This Row],[Currency]], System_Master_Data!$A$24:$B$29, 2, FALSE), "")</f>
        <v>1.08643</v>
      </c>
      <c r="R81">
        <f>IF(RawTable[[#This Row],[Exchange_Rate]]="","",ROUND(RawTable[[#This Row],[Gross_Amount]]*RawTable[[#This Row],[Exchange_Rate]],2))</f>
        <v>1933.87</v>
      </c>
      <c r="S81" t="str">
        <f>IF(RawTable[[#This Row],[Entity_Type]]&lt;&gt;"Employee",RawTable[[#This Row],[Entity_Type]],
IF(RawTable[[#This Row],[Country]]="Switzerland","Direct","EOR")
)</f>
        <v>EOR</v>
      </c>
      <c r="T81" t="str">
        <f>IF(RawTable[[#This Row],[Employment_Model]]&lt;&gt;"EOR","",
IFERROR(VLOOKUP(RawTable[[#This Row],[Country]],EORMap[#All],3,FALSE),"")
)</f>
        <v>Oyster</v>
      </c>
    </row>
    <row r="82" spans="1:20">
      <c r="A82" s="24">
        <v>81</v>
      </c>
      <c r="B82" s="1" t="s">
        <v>28</v>
      </c>
      <c r="C82" s="3" t="s">
        <v>18</v>
      </c>
      <c r="D82" s="3" t="str">
        <f>IFERROR(VLOOKUP(RawTable[[#This Row],[Entity_Type]], EntityMap[], 2, FALSE), "")</f>
        <v>Payroll</v>
      </c>
      <c r="E82" s="3" t="s">
        <v>4</v>
      </c>
      <c r="F82" s="3" t="s">
        <v>81</v>
      </c>
      <c r="G82" s="3" t="str">
        <f>IFERROR(VLOOKUP(RawTable[[#This Row],[Name]], Name_Master!$A:$E, 4, FALSE), "")</f>
        <v>US-RT-000065402-AC-0000300934</v>
      </c>
      <c r="H8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PAY-Germany-202602-000081</v>
      </c>
      <c r="I82" s="1">
        <f>IF(RawTable[[#This Row],[Month]]="","",DATE(YEAR(RawTable[[#This Row],[Month]]),MONTH(RawTable[[#This Row],[Month]]),1))</f>
        <v>46054</v>
      </c>
      <c r="J8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82" s="3" t="s">
        <v>5</v>
      </c>
      <c r="L82" s="4">
        <v>6246.6</v>
      </c>
      <c r="M82" s="2" t="str">
        <f>IF(RawTable[[#This Row],[Net_Amount]]="","",IF(RawTable[[#This Row],[Payment_Type]]="Vendor_Invoice","Yes","No"))</f>
        <v>No</v>
      </c>
      <c r="N82" s="6">
        <f>IF(D82="Vendor_Invoice",
     IFERROR(
         INDEX(System_Master_Data!$B$9:$B$14,
               MATCH(E82,System_Master_Data!$A$9:$A$14,0)
         ),
     0),
0)</f>
        <v>0</v>
      </c>
      <c r="O82" s="4">
        <f t="shared" si="2"/>
        <v>0</v>
      </c>
      <c r="P82" s="4">
        <f t="shared" si="3"/>
        <v>6246.6</v>
      </c>
      <c r="Q82" s="56">
        <f>IFERROR(VLOOKUP(RawTable[[#This Row],[Currency]], System_Master_Data!$A$24:$B$29, 2, FALSE), "")</f>
        <v>0.90888000000000002</v>
      </c>
      <c r="R82">
        <f>IF(RawTable[[#This Row],[Exchange_Rate]]="","",ROUND(RawTable[[#This Row],[Gross_Amount]]*RawTable[[#This Row],[Exchange_Rate]],2))</f>
        <v>5677.41</v>
      </c>
      <c r="S82" t="str">
        <f>IF(RawTable[[#This Row],[Entity_Type]]&lt;&gt;"Employee",RawTable[[#This Row],[Entity_Type]],
IF(RawTable[[#This Row],[Country]]="Switzerland","Direct","EOR")
)</f>
        <v>EOR</v>
      </c>
      <c r="T82" t="str">
        <f>IF(RawTable[[#This Row],[Employment_Model]]&lt;&gt;"EOR","",
IFERROR(VLOOKUP(RawTable[[#This Row],[Country]],EORMap[#All],3,FALSE),"")
)</f>
        <v>Oyster</v>
      </c>
    </row>
    <row r="83" spans="1:20">
      <c r="A83" s="24">
        <v>82</v>
      </c>
      <c r="B83" s="1" t="s">
        <v>35</v>
      </c>
      <c r="C83" s="3" t="s">
        <v>18</v>
      </c>
      <c r="D83" s="3" t="str">
        <f>IFERROR(VLOOKUP(RawTable[[#This Row],[Entity_Type]], EntityMap[], 2, FALSE), "")</f>
        <v>Payroll</v>
      </c>
      <c r="E83" s="3" t="s">
        <v>6</v>
      </c>
      <c r="F83" s="3" t="s">
        <v>82</v>
      </c>
      <c r="G83" s="3" t="str">
        <f>IFERROR(VLOOKUP(RawTable[[#This Row],[Name]], Name_Master!$A:$E, 4, FALSE), "")</f>
        <v>US-RT-000066636-AC-0000306612</v>
      </c>
      <c r="H8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PAY-USA-202601-000082</v>
      </c>
      <c r="I83" s="1">
        <f>IF(RawTable[[#This Row],[Month]]="","",DATE(YEAR(RawTable[[#This Row],[Month]]),MONTH(RawTable[[#This Row],[Month]]),1))</f>
        <v>46023</v>
      </c>
      <c r="J8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83" s="3" t="s">
        <v>7</v>
      </c>
      <c r="L83" s="4">
        <v>7380.8</v>
      </c>
      <c r="M83" s="2" t="str">
        <f>IF(RawTable[[#This Row],[Net_Amount]]="","",IF(RawTable[[#This Row],[Payment_Type]]="Vendor_Invoice","Yes","No"))</f>
        <v>No</v>
      </c>
      <c r="N83" s="6">
        <f>IF(D83="Vendor_Invoice",
     IFERROR(
         INDEX(System_Master_Data!$B$9:$B$14,
               MATCH(E83,System_Master_Data!$A$9:$A$14,0)
         ),
     0),
0)</f>
        <v>0</v>
      </c>
      <c r="O83" s="4">
        <f t="shared" si="2"/>
        <v>0</v>
      </c>
      <c r="P83" s="4">
        <f t="shared" si="3"/>
        <v>7380.8</v>
      </c>
      <c r="Q83" s="56">
        <f>IFERROR(VLOOKUP(RawTable[[#This Row],[Currency]], System_Master_Data!$A$24:$B$29, 2, FALSE), "")</f>
        <v>0.77017999999999998</v>
      </c>
      <c r="R83">
        <f>IF(RawTable[[#This Row],[Exchange_Rate]]="","",ROUND(RawTable[[#This Row],[Gross_Amount]]*RawTable[[#This Row],[Exchange_Rate]],2))</f>
        <v>5684.54</v>
      </c>
      <c r="S83" t="str">
        <f>IF(RawTable[[#This Row],[Entity_Type]]&lt;&gt;"Employee",RawTable[[#This Row],[Entity_Type]],
IF(RawTable[[#This Row],[Country]]="Switzerland","Direct","EOR")
)</f>
        <v>EOR</v>
      </c>
      <c r="T83" t="str">
        <f>IF(RawTable[[#This Row],[Employment_Model]]&lt;&gt;"EOR","",
IFERROR(VLOOKUP(RawTable[[#This Row],[Country]],EORMap[#All],3,FALSE),"")
)</f>
        <v>Remote</v>
      </c>
    </row>
    <row r="84" spans="1:20">
      <c r="A84" s="24">
        <v>83</v>
      </c>
      <c r="B84" s="1" t="s">
        <v>35</v>
      </c>
      <c r="C84" s="3" t="s">
        <v>18</v>
      </c>
      <c r="D84" s="3" t="str">
        <f>IFERROR(VLOOKUP(RawTable[[#This Row],[Entity_Type]], EntityMap[], 2, FALSE), "")</f>
        <v>Payroll</v>
      </c>
      <c r="E84" s="3" t="s">
        <v>8</v>
      </c>
      <c r="F84" s="3" t="s">
        <v>47</v>
      </c>
      <c r="G84" s="3" t="str">
        <f>IFERROR(VLOOKUP(RawTable[[#This Row],[Name]], Name_Master!$A:$E, 4, FALSE), "")</f>
        <v>JO-IBAN-00234555</v>
      </c>
      <c r="H8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PAY-UAE-202601-000083</v>
      </c>
      <c r="I84" s="1">
        <f>IF(RawTable[[#This Row],[Month]]="","",DATE(YEAR(RawTable[[#This Row],[Month]]),MONTH(RawTable[[#This Row],[Month]]),1))</f>
        <v>46023</v>
      </c>
      <c r="J8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84" s="3" t="s">
        <v>9</v>
      </c>
      <c r="L84" s="4">
        <v>23942.6</v>
      </c>
      <c r="M84" s="2" t="str">
        <f>IF(RawTable[[#This Row],[Net_Amount]]="","",IF(RawTable[[#This Row],[Payment_Type]]="Vendor_Invoice","Yes","No"))</f>
        <v>No</v>
      </c>
      <c r="N84" s="6">
        <f>IF(D84="Vendor_Invoice",
     IFERROR(
         INDEX(System_Master_Data!$B$9:$B$14,
               MATCH(E84,System_Master_Data!$A$9:$A$14,0)
         ),
     0),
0)</f>
        <v>0</v>
      </c>
      <c r="O84" s="4">
        <f t="shared" si="2"/>
        <v>0</v>
      </c>
      <c r="P84" s="4">
        <f t="shared" si="3"/>
        <v>23942.6</v>
      </c>
      <c r="Q84" s="56">
        <f>IFERROR(VLOOKUP(RawTable[[#This Row],[Currency]], System_Master_Data!$A$24:$B$29, 2, FALSE), "")</f>
        <v>0.21065</v>
      </c>
      <c r="R84">
        <f>IF(RawTable[[#This Row],[Exchange_Rate]]="","",ROUND(RawTable[[#This Row],[Gross_Amount]]*RawTable[[#This Row],[Exchange_Rate]],2))</f>
        <v>5043.51</v>
      </c>
      <c r="S84" t="str">
        <f>IF(RawTable[[#This Row],[Entity_Type]]&lt;&gt;"Employee",RawTable[[#This Row],[Entity_Type]],
IF(RawTable[[#This Row],[Country]]="Switzerland","Direct","EOR")
)</f>
        <v>EOR</v>
      </c>
      <c r="T84" t="str">
        <f>IF(RawTable[[#This Row],[Employment_Model]]&lt;&gt;"EOR","",
IFERROR(VLOOKUP(RawTable[[#This Row],[Country]],EORMap[#All],3,FALSE),"")
)</f>
        <v>Deel</v>
      </c>
    </row>
    <row r="85" spans="1:20">
      <c r="A85" s="24">
        <v>84</v>
      </c>
      <c r="B85" s="1" t="s">
        <v>28</v>
      </c>
      <c r="C85" s="3" t="s">
        <v>18</v>
      </c>
      <c r="D85" s="3" t="str">
        <f>IFERROR(VLOOKUP(RawTable[[#This Row],[Entity_Type]], EntityMap[], 2, FALSE), "")</f>
        <v>Payroll</v>
      </c>
      <c r="E85" s="3" t="s">
        <v>4</v>
      </c>
      <c r="F85" s="3" t="s">
        <v>41</v>
      </c>
      <c r="G85" s="3" t="str">
        <f>IFERROR(VLOOKUP(RawTable[[#This Row],[Name]], Name_Master!$A:$E, 4, FALSE), "")</f>
        <v>CH930000000000320840</v>
      </c>
      <c r="H8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PAY-Germany-202602-000084</v>
      </c>
      <c r="I85" s="1">
        <f>IF(RawTable[[#This Row],[Month]]="","",DATE(YEAR(RawTable[[#This Row],[Month]]),MONTH(RawTable[[#This Row],[Month]]),1))</f>
        <v>46054</v>
      </c>
      <c r="J8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85" s="3" t="s">
        <v>5</v>
      </c>
      <c r="L85" s="4">
        <v>5875.2</v>
      </c>
      <c r="M85" s="2" t="str">
        <f>IF(RawTable[[#This Row],[Net_Amount]]="","",IF(RawTable[[#This Row],[Payment_Type]]="Vendor_Invoice","Yes","No"))</f>
        <v>No</v>
      </c>
      <c r="N85" s="6">
        <f>IF(D85="Vendor_Invoice",
     IFERROR(
         INDEX(System_Master_Data!$B$9:$B$14,
               MATCH(E85,System_Master_Data!$A$9:$A$14,0)
         ),
     0),
0)</f>
        <v>0</v>
      </c>
      <c r="O85" s="4">
        <f t="shared" si="2"/>
        <v>0</v>
      </c>
      <c r="P85" s="4">
        <f t="shared" si="3"/>
        <v>5875.2</v>
      </c>
      <c r="Q85" s="56">
        <f>IFERROR(VLOOKUP(RawTable[[#This Row],[Currency]], System_Master_Data!$A$24:$B$29, 2, FALSE), "")</f>
        <v>0.90888000000000002</v>
      </c>
      <c r="R85">
        <f>IF(RawTable[[#This Row],[Exchange_Rate]]="","",ROUND(RawTable[[#This Row],[Gross_Amount]]*RawTable[[#This Row],[Exchange_Rate]],2))</f>
        <v>5339.85</v>
      </c>
      <c r="S85" t="str">
        <f>IF(RawTable[[#This Row],[Entity_Type]]&lt;&gt;"Employee",RawTable[[#This Row],[Entity_Type]],
IF(RawTable[[#This Row],[Country]]="Switzerland","Direct","EOR")
)</f>
        <v>EOR</v>
      </c>
      <c r="T85" t="str">
        <f>IF(RawTable[[#This Row],[Employment_Model]]&lt;&gt;"EOR","",
IFERROR(VLOOKUP(RawTable[[#This Row],[Country]],EORMap[#All],3,FALSE),"")
)</f>
        <v>Oyster</v>
      </c>
    </row>
    <row r="86" spans="1:20">
      <c r="A86" s="24">
        <v>85</v>
      </c>
      <c r="B86" s="1" t="s">
        <v>35</v>
      </c>
      <c r="C86" s="3" t="s">
        <v>18</v>
      </c>
      <c r="D86" s="3" t="str">
        <f>IFERROR(VLOOKUP(RawTable[[#This Row],[Entity_Type]], EntityMap[], 2, FALSE), "")</f>
        <v>Payroll</v>
      </c>
      <c r="E86" s="3" t="s">
        <v>2</v>
      </c>
      <c r="F86" s="3" t="s">
        <v>78</v>
      </c>
      <c r="G86" s="3" t="str">
        <f>IFERROR(VLOOKUP(RawTable[[#This Row],[Name]], Name_Master!$A:$E, 4, FALSE), "")</f>
        <v>JO-IBAN-00617250</v>
      </c>
      <c r="H8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PAY-Switzerland-202601-000085</v>
      </c>
      <c r="I86" s="1">
        <f>IF(RawTable[[#This Row],[Month]]="","",DATE(YEAR(RawTable[[#This Row],[Month]]),MONTH(RawTable[[#This Row],[Month]]),1))</f>
        <v>46023</v>
      </c>
      <c r="J8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86" s="3" t="s">
        <v>3</v>
      </c>
      <c r="L86" s="4">
        <v>6099.6</v>
      </c>
      <c r="M86" s="2" t="str">
        <f>IF(RawTable[[#This Row],[Net_Amount]]="","",IF(RawTable[[#This Row],[Payment_Type]]="Vendor_Invoice","Yes","No"))</f>
        <v>No</v>
      </c>
      <c r="N86" s="6">
        <f>IF(D86="Vendor_Invoice",
     IFERROR(
         INDEX(System_Master_Data!$B$9:$B$14,
               MATCH(E86,System_Master_Data!$A$9:$A$14,0)
         ),
     0),
0)</f>
        <v>0</v>
      </c>
      <c r="O86" s="4">
        <f t="shared" si="2"/>
        <v>0</v>
      </c>
      <c r="P86" s="4">
        <f t="shared" si="3"/>
        <v>6099.6</v>
      </c>
      <c r="Q86" s="56">
        <f>IFERROR(VLOOKUP(RawTable[[#This Row],[Currency]], System_Master_Data!$A$24:$B$29, 2, FALSE), "")</f>
        <v>1</v>
      </c>
      <c r="R86">
        <f>IF(RawTable[[#This Row],[Exchange_Rate]]="","",ROUND(RawTable[[#This Row],[Gross_Amount]]*RawTable[[#This Row],[Exchange_Rate]],2))</f>
        <v>6099.6</v>
      </c>
      <c r="S86" t="str">
        <f>IF(RawTable[[#This Row],[Entity_Type]]&lt;&gt;"Employee",RawTable[[#This Row],[Entity_Type]],
IF(RawTable[[#This Row],[Country]]="Switzerland","Direct","EOR")
)</f>
        <v>Direct</v>
      </c>
      <c r="T86" t="str">
        <f>IF(RawTable[[#This Row],[Employment_Model]]&lt;&gt;"EOR","",
IFERROR(VLOOKUP(RawTable[[#This Row],[Country]],EORMap[#All],3,FALSE),"")
)</f>
        <v/>
      </c>
    </row>
    <row r="87" spans="1:20">
      <c r="A87" s="24">
        <v>86</v>
      </c>
      <c r="B87" s="1" t="s">
        <v>35</v>
      </c>
      <c r="C87" s="3" t="s">
        <v>18</v>
      </c>
      <c r="D87" s="3" t="str">
        <f>IFERROR(VLOOKUP(RawTable[[#This Row],[Entity_Type]], EntityMap[], 2, FALSE), "")</f>
        <v>Payroll</v>
      </c>
      <c r="E87" s="3" t="s">
        <v>8</v>
      </c>
      <c r="F87" s="3" t="s">
        <v>53</v>
      </c>
      <c r="G87" s="3" t="str">
        <f>IFERROR(VLOOKUP(RawTable[[#This Row],[Name]], Name_Master!$A:$E, 4, FALSE), "")</f>
        <v>DE890000000000339475</v>
      </c>
      <c r="H8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PAY-UAE-202601-000086</v>
      </c>
      <c r="I87" s="1">
        <f>IF(RawTable[[#This Row],[Month]]="","",DATE(YEAR(RawTable[[#This Row],[Month]]),MONTH(RawTable[[#This Row],[Month]]),1))</f>
        <v>46023</v>
      </c>
      <c r="J8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87" s="3" t="s">
        <v>9</v>
      </c>
      <c r="L87" s="4">
        <v>22068.2</v>
      </c>
      <c r="M87" s="2" t="str">
        <f>IF(RawTable[[#This Row],[Net_Amount]]="","",IF(RawTable[[#This Row],[Payment_Type]]="Vendor_Invoice","Yes","No"))</f>
        <v>No</v>
      </c>
      <c r="N87" s="6">
        <f>IF(D87="Vendor_Invoice",
     IFERROR(
         INDEX(System_Master_Data!$B$9:$B$14,
               MATCH(E87,System_Master_Data!$A$9:$A$14,0)
         ),
     0),
0)</f>
        <v>0</v>
      </c>
      <c r="O87" s="4">
        <f t="shared" si="2"/>
        <v>0</v>
      </c>
      <c r="P87" s="4">
        <f t="shared" si="3"/>
        <v>22068.2</v>
      </c>
      <c r="Q87" s="56">
        <f>IFERROR(VLOOKUP(RawTable[[#This Row],[Currency]], System_Master_Data!$A$24:$B$29, 2, FALSE), "")</f>
        <v>0.21065</v>
      </c>
      <c r="R87">
        <f>IF(RawTable[[#This Row],[Exchange_Rate]]="","",ROUND(RawTable[[#This Row],[Gross_Amount]]*RawTable[[#This Row],[Exchange_Rate]],2))</f>
        <v>4648.67</v>
      </c>
      <c r="S87" t="str">
        <f>IF(RawTable[[#This Row],[Entity_Type]]&lt;&gt;"Employee",RawTable[[#This Row],[Entity_Type]],
IF(RawTable[[#This Row],[Country]]="Switzerland","Direct","EOR")
)</f>
        <v>EOR</v>
      </c>
      <c r="T87" t="str">
        <f>IF(RawTable[[#This Row],[Employment_Model]]&lt;&gt;"EOR","",
IFERROR(VLOOKUP(RawTable[[#This Row],[Country]],EORMap[#All],3,FALSE),"")
)</f>
        <v>Deel</v>
      </c>
    </row>
    <row r="88" spans="1:20">
      <c r="A88" s="24">
        <v>87</v>
      </c>
      <c r="B88" s="1" t="s">
        <v>35</v>
      </c>
      <c r="C88" s="3" t="s">
        <v>18</v>
      </c>
      <c r="D88" s="3" t="str">
        <f>IFERROR(VLOOKUP(RawTable[[#This Row],[Entity_Type]], EntityMap[], 2, FALSE), "")</f>
        <v>Payroll</v>
      </c>
      <c r="E88" s="3" t="s">
        <v>4</v>
      </c>
      <c r="F88" s="3" t="s">
        <v>83</v>
      </c>
      <c r="G88" s="3" t="str">
        <f>IFERROR(VLOOKUP(RawTable[[#This Row],[Name]], Name_Master!$A:$E, 4, FALSE), "")</f>
        <v>DE890000000000746845</v>
      </c>
      <c r="H8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PAY-Germany-202601-000087</v>
      </c>
      <c r="I88" s="1">
        <f>IF(RawTable[[#This Row],[Month]]="","",DATE(YEAR(RawTable[[#This Row],[Month]]),MONTH(RawTable[[#This Row],[Month]]),1))</f>
        <v>46023</v>
      </c>
      <c r="J8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88" s="3" t="s">
        <v>5</v>
      </c>
      <c r="L88" s="4">
        <v>5938.2</v>
      </c>
      <c r="M88" s="2" t="str">
        <f>IF(RawTable[[#This Row],[Net_Amount]]="","",IF(RawTable[[#This Row],[Payment_Type]]="Vendor_Invoice","Yes","No"))</f>
        <v>No</v>
      </c>
      <c r="N88" s="6">
        <f>IF(D88="Vendor_Invoice",
     IFERROR(
         INDEX(System_Master_Data!$B$9:$B$14,
               MATCH(E88,System_Master_Data!$A$9:$A$14,0)
         ),
     0),
0)</f>
        <v>0</v>
      </c>
      <c r="O88" s="4">
        <f t="shared" si="2"/>
        <v>0</v>
      </c>
      <c r="P88" s="4">
        <f t="shared" si="3"/>
        <v>5938.2</v>
      </c>
      <c r="Q88" s="56">
        <f>IFERROR(VLOOKUP(RawTable[[#This Row],[Currency]], System_Master_Data!$A$24:$B$29, 2, FALSE), "")</f>
        <v>0.90888000000000002</v>
      </c>
      <c r="R88">
        <f>IF(RawTable[[#This Row],[Exchange_Rate]]="","",ROUND(RawTable[[#This Row],[Gross_Amount]]*RawTable[[#This Row],[Exchange_Rate]],2))</f>
        <v>5397.11</v>
      </c>
      <c r="S88" t="str">
        <f>IF(RawTable[[#This Row],[Entity_Type]]&lt;&gt;"Employee",RawTable[[#This Row],[Entity_Type]],
IF(RawTable[[#This Row],[Country]]="Switzerland","Direct","EOR")
)</f>
        <v>EOR</v>
      </c>
      <c r="T88" t="str">
        <f>IF(RawTable[[#This Row],[Employment_Model]]&lt;&gt;"EOR","",
IFERROR(VLOOKUP(RawTable[[#This Row],[Country]],EORMap[#All],3,FALSE),"")
)</f>
        <v>Oyster</v>
      </c>
    </row>
    <row r="89" spans="1:20">
      <c r="A89" s="24">
        <v>88</v>
      </c>
      <c r="B89" s="1" t="s">
        <v>30</v>
      </c>
      <c r="C89" s="3" t="s">
        <v>18</v>
      </c>
      <c r="D89" s="3" t="str">
        <f>IFERROR(VLOOKUP(RawTable[[#This Row],[Entity_Type]], EntityMap[], 2, FALSE), "")</f>
        <v>Payroll</v>
      </c>
      <c r="E89" s="3" t="s">
        <v>2</v>
      </c>
      <c r="F89" s="3" t="s">
        <v>62</v>
      </c>
      <c r="G89" s="3" t="str">
        <f>IFERROR(VLOOKUP(RawTable[[#This Row],[Name]], Name_Master!$A:$E, 4, FALSE), "")</f>
        <v>US-RT-000041956-AC-0000193052</v>
      </c>
      <c r="H8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PAY-Switzerland-202603-000088</v>
      </c>
      <c r="I89" s="1">
        <f>IF(RawTable[[#This Row],[Month]]="","",DATE(YEAR(RawTable[[#This Row],[Month]]),MONTH(RawTable[[#This Row],[Month]]),1))</f>
        <v>46082</v>
      </c>
      <c r="J8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89" s="3" t="s">
        <v>3</v>
      </c>
      <c r="L89" s="4">
        <v>6839.95</v>
      </c>
      <c r="M89" s="2" t="str">
        <f>IF(RawTable[[#This Row],[Net_Amount]]="","",IF(RawTable[[#This Row],[Payment_Type]]="Vendor_Invoice","Yes","No"))</f>
        <v>No</v>
      </c>
      <c r="N89" s="6">
        <f>IF(D89="Vendor_Invoice",
     IFERROR(
         INDEX(System_Master_Data!$B$9:$B$14,
               MATCH(E89,System_Master_Data!$A$9:$A$14,0)
         ),
     0),
0)</f>
        <v>0</v>
      </c>
      <c r="O89" s="4">
        <f t="shared" si="2"/>
        <v>0</v>
      </c>
      <c r="P89" s="4">
        <f t="shared" si="3"/>
        <v>6839.95</v>
      </c>
      <c r="Q89" s="56">
        <f>IFERROR(VLOOKUP(RawTable[[#This Row],[Currency]], System_Master_Data!$A$24:$B$29, 2, FALSE), "")</f>
        <v>1</v>
      </c>
      <c r="R89">
        <f>IF(RawTable[[#This Row],[Exchange_Rate]]="","",ROUND(RawTable[[#This Row],[Gross_Amount]]*RawTable[[#This Row],[Exchange_Rate]],2))</f>
        <v>6839.95</v>
      </c>
      <c r="S89" t="str">
        <f>IF(RawTable[[#This Row],[Entity_Type]]&lt;&gt;"Employee",RawTable[[#This Row],[Entity_Type]],
IF(RawTable[[#This Row],[Country]]="Switzerland","Direct","EOR")
)</f>
        <v>Direct</v>
      </c>
      <c r="T89" t="str">
        <f>IF(RawTable[[#This Row],[Employment_Model]]&lt;&gt;"EOR","",
IFERROR(VLOOKUP(RawTable[[#This Row],[Country]],EORMap[#All],3,FALSE),"")
)</f>
        <v/>
      </c>
    </row>
    <row r="90" spans="1:20">
      <c r="A90" s="24">
        <v>89</v>
      </c>
      <c r="B90" s="1" t="s">
        <v>35</v>
      </c>
      <c r="C90" s="3" t="s">
        <v>18</v>
      </c>
      <c r="D90" s="3" t="str">
        <f>IFERROR(VLOOKUP(RawTable[[#This Row],[Entity_Type]], EntityMap[], 2, FALSE), "")</f>
        <v>Payroll</v>
      </c>
      <c r="E90" s="3" t="s">
        <v>6</v>
      </c>
      <c r="F90" s="3" t="s">
        <v>75</v>
      </c>
      <c r="G90" s="3" t="str">
        <f>IFERROR(VLOOKUP(RawTable[[#This Row],[Name]], Name_Master!$A:$E, 4, FALSE), "")</f>
        <v>CH930000000001159960</v>
      </c>
      <c r="H9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PAY-USA-202601-000089</v>
      </c>
      <c r="I90" s="1">
        <f>IF(RawTable[[#This Row],[Month]]="","",DATE(YEAR(RawTable[[#This Row],[Month]]),MONTH(RawTable[[#This Row],[Month]]),1))</f>
        <v>46023</v>
      </c>
      <c r="J9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90" s="3" t="s">
        <v>7</v>
      </c>
      <c r="L90" s="4">
        <v>0</v>
      </c>
      <c r="M90" s="2" t="str">
        <f>IF(RawTable[[#This Row],[Net_Amount]]="","",IF(RawTable[[#This Row],[Payment_Type]]="Vendor_Invoice","Yes","No"))</f>
        <v>No</v>
      </c>
      <c r="N90" s="6">
        <f>IF(D90="Vendor_Invoice",
     IFERROR(
         INDEX(System_Master_Data!$B$9:$B$14,
               MATCH(E90,System_Master_Data!$A$9:$A$14,0)
         ),
     0),
0)</f>
        <v>0</v>
      </c>
      <c r="O90" s="4">
        <f t="shared" si="2"/>
        <v>0</v>
      </c>
      <c r="P90" s="4">
        <f t="shared" si="3"/>
        <v>0</v>
      </c>
      <c r="Q90" s="56">
        <f>IFERROR(VLOOKUP(RawTable[[#This Row],[Currency]], System_Master_Data!$A$24:$B$29, 2, FALSE), "")</f>
        <v>0.77017999999999998</v>
      </c>
      <c r="R90">
        <f>IF(RawTable[[#This Row],[Exchange_Rate]]="","",ROUND(RawTable[[#This Row],[Gross_Amount]]*RawTable[[#This Row],[Exchange_Rate]],2))</f>
        <v>0</v>
      </c>
      <c r="S90" t="str">
        <f>IF(RawTable[[#This Row],[Entity_Type]]&lt;&gt;"Employee",RawTable[[#This Row],[Entity_Type]],
IF(RawTable[[#This Row],[Country]]="Switzerland","Direct","EOR")
)</f>
        <v>EOR</v>
      </c>
      <c r="T90" t="str">
        <f>IF(RawTable[[#This Row],[Employment_Model]]&lt;&gt;"EOR","",
IFERROR(VLOOKUP(RawTable[[#This Row],[Country]],EORMap[#All],3,FALSE),"")
)</f>
        <v>Remote</v>
      </c>
    </row>
    <row r="91" spans="1:20">
      <c r="A91" s="24">
        <v>90</v>
      </c>
      <c r="B91" s="1" t="s">
        <v>28</v>
      </c>
      <c r="C91" s="3" t="s">
        <v>18</v>
      </c>
      <c r="D91" s="3" t="str">
        <f>IFERROR(VLOOKUP(RawTable[[#This Row],[Entity_Type]], EntityMap[], 2, FALSE), "")</f>
        <v>Payroll</v>
      </c>
      <c r="E91" s="3" t="s">
        <v>8</v>
      </c>
      <c r="F91" s="3" t="s">
        <v>81</v>
      </c>
      <c r="G91" s="3" t="str">
        <f>IFERROR(VLOOKUP(RawTable[[#This Row],[Name]], Name_Master!$A:$E, 4, FALSE), "")</f>
        <v>US-RT-000065402-AC-0000300934</v>
      </c>
      <c r="H9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PAY-UAE-202602-000090</v>
      </c>
      <c r="I91" s="1">
        <f>IF(RawTable[[#This Row],[Month]]="","",DATE(YEAR(RawTable[[#This Row],[Month]]),MONTH(RawTable[[#This Row],[Month]]),1))</f>
        <v>46054</v>
      </c>
      <c r="J9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91" s="3" t="s">
        <v>9</v>
      </c>
      <c r="L91" s="4">
        <v>22904.2</v>
      </c>
      <c r="M91" s="2" t="str">
        <f>IF(RawTable[[#This Row],[Net_Amount]]="","",IF(RawTable[[#This Row],[Payment_Type]]="Vendor_Invoice","Yes","No"))</f>
        <v>No</v>
      </c>
      <c r="N91" s="6">
        <f>IF(D91="Vendor_Invoice",
     IFERROR(
         INDEX(System_Master_Data!$B$9:$B$14,
               MATCH(E91,System_Master_Data!$A$9:$A$14,0)
         ),
     0),
0)</f>
        <v>0</v>
      </c>
      <c r="O91" s="4">
        <f t="shared" si="2"/>
        <v>0</v>
      </c>
      <c r="P91" s="4">
        <f t="shared" si="3"/>
        <v>22904.2</v>
      </c>
      <c r="Q91" s="56">
        <f>IFERROR(VLOOKUP(RawTable[[#This Row],[Currency]], System_Master_Data!$A$24:$B$29, 2, FALSE), "")</f>
        <v>0.21065</v>
      </c>
      <c r="R91">
        <f>IF(RawTable[[#This Row],[Exchange_Rate]]="","",ROUND(RawTable[[#This Row],[Gross_Amount]]*RawTable[[#This Row],[Exchange_Rate]],2))</f>
        <v>4824.7700000000004</v>
      </c>
      <c r="S91" t="str">
        <f>IF(RawTable[[#This Row],[Entity_Type]]&lt;&gt;"Employee",RawTable[[#This Row],[Entity_Type]],
IF(RawTable[[#This Row],[Country]]="Switzerland","Direct","EOR")
)</f>
        <v>EOR</v>
      </c>
      <c r="T91" t="str">
        <f>IF(RawTable[[#This Row],[Employment_Model]]&lt;&gt;"EOR","",
IFERROR(VLOOKUP(RawTable[[#This Row],[Country]],EORMap[#All],3,FALSE),"")
)</f>
        <v>Deel</v>
      </c>
    </row>
    <row r="92" spans="1:20">
      <c r="A92" s="24">
        <v>91</v>
      </c>
      <c r="B92" s="1" t="s">
        <v>30</v>
      </c>
      <c r="C92" s="3" t="s">
        <v>18</v>
      </c>
      <c r="D92" s="3" t="str">
        <f>IFERROR(VLOOKUP(RawTable[[#This Row],[Entity_Type]], EntityMap[], 2, FALSE), "")</f>
        <v>Payroll</v>
      </c>
      <c r="E92" s="3" t="s">
        <v>2</v>
      </c>
      <c r="F92" s="3" t="s">
        <v>82</v>
      </c>
      <c r="G92" s="3" t="str">
        <f>IFERROR(VLOOKUP(RawTable[[#This Row],[Name]], Name_Master!$A:$E, 4, FALSE), "")</f>
        <v>US-RT-000066636-AC-0000306612</v>
      </c>
      <c r="H9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PAY-Switzerland-202603-000091</v>
      </c>
      <c r="I92" s="1">
        <f>IF(RawTable[[#This Row],[Month]]="","",DATE(YEAR(RawTable[[#This Row],[Month]]),MONTH(RawTable[[#This Row],[Month]]),1))</f>
        <v>46082</v>
      </c>
      <c r="J9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92" s="3" t="s">
        <v>3</v>
      </c>
      <c r="L92" s="4">
        <v>6853.6</v>
      </c>
      <c r="M92" s="2" t="str">
        <f>IF(RawTable[[#This Row],[Net_Amount]]="","",IF(RawTable[[#This Row],[Payment_Type]]="Vendor_Invoice","Yes","No"))</f>
        <v>No</v>
      </c>
      <c r="N92" s="6">
        <f>IF(D92="Vendor_Invoice",
     IFERROR(
         INDEX(System_Master_Data!$B$9:$B$14,
               MATCH(E92,System_Master_Data!$A$9:$A$14,0)
         ),
     0),
0)</f>
        <v>0</v>
      </c>
      <c r="O92" s="4">
        <f t="shared" si="2"/>
        <v>0</v>
      </c>
      <c r="P92" s="4">
        <f t="shared" si="3"/>
        <v>6853.6</v>
      </c>
      <c r="Q92" s="56">
        <f>IFERROR(VLOOKUP(RawTable[[#This Row],[Currency]], System_Master_Data!$A$24:$B$29, 2, FALSE), "")</f>
        <v>1</v>
      </c>
      <c r="R92">
        <f>IF(RawTable[[#This Row],[Exchange_Rate]]="","",ROUND(RawTable[[#This Row],[Gross_Amount]]*RawTable[[#This Row],[Exchange_Rate]],2))</f>
        <v>6853.6</v>
      </c>
      <c r="S92" t="str">
        <f>IF(RawTable[[#This Row],[Entity_Type]]&lt;&gt;"Employee",RawTable[[#This Row],[Entity_Type]],
IF(RawTable[[#This Row],[Country]]="Switzerland","Direct","EOR")
)</f>
        <v>Direct</v>
      </c>
      <c r="T92" t="str">
        <f>IF(RawTable[[#This Row],[Employment_Model]]&lt;&gt;"EOR","",
IFERROR(VLOOKUP(RawTable[[#This Row],[Country]],EORMap[#All],3,FALSE),"")
)</f>
        <v/>
      </c>
    </row>
    <row r="93" spans="1:20">
      <c r="A93" s="24">
        <v>92</v>
      </c>
      <c r="B93" s="1" t="s">
        <v>35</v>
      </c>
      <c r="C93" s="3" t="s">
        <v>18</v>
      </c>
      <c r="D93" s="3" t="str">
        <f>IFERROR(VLOOKUP(RawTable[[#This Row],[Entity_Type]], EntityMap[], 2, FALSE), "")</f>
        <v>Payroll</v>
      </c>
      <c r="E93" s="3" t="s">
        <v>4</v>
      </c>
      <c r="F93" s="3" t="s">
        <v>59</v>
      </c>
      <c r="G93" s="3" t="str">
        <f>IFERROR(VLOOKUP(RawTable[[#This Row],[Name]], Name_Master!$A:$E, 4, FALSE), "")</f>
        <v>JO-IBAN-00382695</v>
      </c>
      <c r="H9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PAY-Germany-202601-000092</v>
      </c>
      <c r="I93" s="1">
        <f>IF(RawTable[[#This Row],[Month]]="","",DATE(YEAR(RawTable[[#This Row],[Month]]),MONTH(RawTable[[#This Row],[Month]]),1))</f>
        <v>46023</v>
      </c>
      <c r="J9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93" s="3" t="s">
        <v>5</v>
      </c>
      <c r="L93" s="4">
        <v>5485.2</v>
      </c>
      <c r="M93" s="2" t="str">
        <f>IF(RawTable[[#This Row],[Net_Amount]]="","",IF(RawTable[[#This Row],[Payment_Type]]="Vendor_Invoice","Yes","No"))</f>
        <v>No</v>
      </c>
      <c r="N93" s="6">
        <f>IF(D93="Vendor_Invoice",
     IFERROR(
         INDEX(System_Master_Data!$B$9:$B$14,
               MATCH(E93,System_Master_Data!$A$9:$A$14,0)
         ),
     0),
0)</f>
        <v>0</v>
      </c>
      <c r="O93" s="4">
        <f t="shared" si="2"/>
        <v>0</v>
      </c>
      <c r="P93" s="4">
        <f t="shared" si="3"/>
        <v>5485.2</v>
      </c>
      <c r="Q93" s="56">
        <f>IFERROR(VLOOKUP(RawTable[[#This Row],[Currency]], System_Master_Data!$A$24:$B$29, 2, FALSE), "")</f>
        <v>0.90888000000000002</v>
      </c>
      <c r="R93">
        <f>IF(RawTable[[#This Row],[Exchange_Rate]]="","",ROUND(RawTable[[#This Row],[Gross_Amount]]*RawTable[[#This Row],[Exchange_Rate]],2))</f>
        <v>4985.3900000000003</v>
      </c>
      <c r="S93" t="str">
        <f>IF(RawTable[[#This Row],[Entity_Type]]&lt;&gt;"Employee",RawTable[[#This Row],[Entity_Type]],
IF(RawTable[[#This Row],[Country]]="Switzerland","Direct","EOR")
)</f>
        <v>EOR</v>
      </c>
      <c r="T93" t="str">
        <f>IF(RawTable[[#This Row],[Employment_Model]]&lt;&gt;"EOR","",
IFERROR(VLOOKUP(RawTable[[#This Row],[Country]],EORMap[#All],3,FALSE),"")
)</f>
        <v>Oyster</v>
      </c>
    </row>
    <row r="94" spans="1:20">
      <c r="A94" s="24">
        <v>93</v>
      </c>
      <c r="B94" s="1" t="s">
        <v>28</v>
      </c>
      <c r="C94" s="3" t="s">
        <v>18</v>
      </c>
      <c r="D94" s="3" t="str">
        <f>IFERROR(VLOOKUP(RawTable[[#This Row],[Entity_Type]], EntityMap[], 2, FALSE), "")</f>
        <v>Payroll</v>
      </c>
      <c r="E94" s="3" t="s">
        <v>10</v>
      </c>
      <c r="F94" s="3" t="s">
        <v>33</v>
      </c>
      <c r="G94" s="3" t="str">
        <f>IFERROR(VLOOKUP(RawTable[[#This Row],[Name]], Name_Master!$A:$E, 4, FALSE), "")</f>
        <v>DE890000000000081474</v>
      </c>
      <c r="H9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PAY-Jordan-202602-000093</v>
      </c>
      <c r="I94" s="1">
        <f>IF(RawTable[[#This Row],[Month]]="","",DATE(YEAR(RawTable[[#This Row],[Month]]),MONTH(RawTable[[#This Row],[Month]]),1))</f>
        <v>46054</v>
      </c>
      <c r="J9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94" s="3" t="s">
        <v>11</v>
      </c>
      <c r="L94" s="4">
        <v>1636.56</v>
      </c>
      <c r="M94" s="2" t="str">
        <f>IF(RawTable[[#This Row],[Net_Amount]]="","",IF(RawTable[[#This Row],[Payment_Type]]="Vendor_Invoice","Yes","No"))</f>
        <v>No</v>
      </c>
      <c r="N94" s="6">
        <f>IF(D94="Vendor_Invoice",
     IFERROR(
         INDEX(System_Master_Data!$B$9:$B$14,
               MATCH(E94,System_Master_Data!$A$9:$A$14,0)
         ),
     0),
0)</f>
        <v>0</v>
      </c>
      <c r="O94" s="4">
        <f t="shared" si="2"/>
        <v>0</v>
      </c>
      <c r="P94" s="4">
        <f t="shared" si="3"/>
        <v>1636.56</v>
      </c>
      <c r="Q94" s="56">
        <f>IFERROR(VLOOKUP(RawTable[[#This Row],[Currency]], System_Master_Data!$A$24:$B$29, 2, FALSE), "")</f>
        <v>1.08643</v>
      </c>
      <c r="R94">
        <f>IF(RawTable[[#This Row],[Exchange_Rate]]="","",ROUND(RawTable[[#This Row],[Gross_Amount]]*RawTable[[#This Row],[Exchange_Rate]],2))</f>
        <v>1778.01</v>
      </c>
      <c r="S94" t="str">
        <f>IF(RawTable[[#This Row],[Entity_Type]]&lt;&gt;"Employee",RawTable[[#This Row],[Entity_Type]],
IF(RawTable[[#This Row],[Country]]="Switzerland","Direct","EOR")
)</f>
        <v>EOR</v>
      </c>
      <c r="T94" t="str">
        <f>IF(RawTable[[#This Row],[Employment_Model]]&lt;&gt;"EOR","",
IFERROR(VLOOKUP(RawTable[[#This Row],[Country]],EORMap[#All],3,FALSE),"")
)</f>
        <v>Oyster</v>
      </c>
    </row>
    <row r="95" spans="1:20">
      <c r="A95" s="24">
        <v>94</v>
      </c>
      <c r="B95" s="1" t="s">
        <v>35</v>
      </c>
      <c r="C95" s="3" t="s">
        <v>18</v>
      </c>
      <c r="D95" s="3" t="str">
        <f>IFERROR(VLOOKUP(RawTable[[#This Row],[Entity_Type]], EntityMap[], 2, FALSE), "")</f>
        <v>Payroll</v>
      </c>
      <c r="E95" s="3" t="s">
        <v>8</v>
      </c>
      <c r="F95" s="3" t="s">
        <v>42</v>
      </c>
      <c r="G95" s="3" t="str">
        <f>IFERROR(VLOOKUP(RawTable[[#This Row],[Name]], Name_Master!$A:$E, 4, FALSE), "")</f>
        <v>DE890000000000190106</v>
      </c>
      <c r="H9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PAY-UAE-202601-000094</v>
      </c>
      <c r="I95" s="1">
        <f>IF(RawTable[[#This Row],[Month]]="","",DATE(YEAR(RawTable[[#This Row],[Month]]),MONTH(RawTable[[#This Row],[Month]]),1))</f>
        <v>46023</v>
      </c>
      <c r="J9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95" s="3" t="s">
        <v>9</v>
      </c>
      <c r="L95" s="4">
        <v>22858</v>
      </c>
      <c r="M95" s="2" t="str">
        <f>IF(RawTable[[#This Row],[Net_Amount]]="","",IF(RawTable[[#This Row],[Payment_Type]]="Vendor_Invoice","Yes","No"))</f>
        <v>No</v>
      </c>
      <c r="N95" s="6">
        <f>IF(D95="Vendor_Invoice",
     IFERROR(
         INDEX(System_Master_Data!$B$9:$B$14,
               MATCH(E95,System_Master_Data!$A$9:$A$14,0)
         ),
     0),
0)</f>
        <v>0</v>
      </c>
      <c r="O95" s="4">
        <f t="shared" si="2"/>
        <v>0</v>
      </c>
      <c r="P95" s="4">
        <f t="shared" si="3"/>
        <v>22858</v>
      </c>
      <c r="Q95" s="56">
        <f>IFERROR(VLOOKUP(RawTable[[#This Row],[Currency]], System_Master_Data!$A$24:$B$29, 2, FALSE), "")</f>
        <v>0.21065</v>
      </c>
      <c r="R95">
        <f>IF(RawTable[[#This Row],[Exchange_Rate]]="","",ROUND(RawTable[[#This Row],[Gross_Amount]]*RawTable[[#This Row],[Exchange_Rate]],2))</f>
        <v>4815.04</v>
      </c>
      <c r="S95" t="str">
        <f>IF(RawTable[[#This Row],[Entity_Type]]&lt;&gt;"Employee",RawTable[[#This Row],[Entity_Type]],
IF(RawTable[[#This Row],[Country]]="Switzerland","Direct","EOR")
)</f>
        <v>EOR</v>
      </c>
      <c r="T95" t="str">
        <f>IF(RawTable[[#This Row],[Employment_Model]]&lt;&gt;"EOR","",
IFERROR(VLOOKUP(RawTable[[#This Row],[Country]],EORMap[#All],3,FALSE),"")
)</f>
        <v>Deel</v>
      </c>
    </row>
    <row r="96" spans="1:20">
      <c r="A96" s="24">
        <v>95</v>
      </c>
      <c r="B96" s="1" t="s">
        <v>30</v>
      </c>
      <c r="C96" s="3" t="s">
        <v>18</v>
      </c>
      <c r="D96" s="3" t="str">
        <f>IFERROR(VLOOKUP(RawTable[[#This Row],[Entity_Type]], EntityMap[], 2, FALSE), "")</f>
        <v>Payroll</v>
      </c>
      <c r="E96" s="3" t="s">
        <v>6</v>
      </c>
      <c r="F96" s="3" t="s">
        <v>40</v>
      </c>
      <c r="G96" s="3" t="str">
        <f>IFERROR(VLOOKUP(RawTable[[#This Row],[Name]], Name_Master!$A:$E, 4, FALSE), "")</f>
        <v>JO-IBAN-00148140</v>
      </c>
      <c r="H9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PAY-USA-202603-000095</v>
      </c>
      <c r="I96" s="1">
        <f>IF(RawTable[[#This Row],[Month]]="","",DATE(YEAR(RawTable[[#This Row],[Month]]),MONTH(RawTable[[#This Row],[Month]]),1))</f>
        <v>46082</v>
      </c>
      <c r="J9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96" s="3" t="s">
        <v>7</v>
      </c>
      <c r="L96" s="4">
        <v>7667.8</v>
      </c>
      <c r="M96" s="2" t="str">
        <f>IF(RawTable[[#This Row],[Net_Amount]]="","",IF(RawTable[[#This Row],[Payment_Type]]="Vendor_Invoice","Yes","No"))</f>
        <v>No</v>
      </c>
      <c r="N96" s="6">
        <f>IF(D96="Vendor_Invoice",
     IFERROR(
         INDEX(System_Master_Data!$B$9:$B$14,
               MATCH(E96,System_Master_Data!$A$9:$A$14,0)
         ),
     0),
0)</f>
        <v>0</v>
      </c>
      <c r="O96" s="4">
        <f t="shared" si="2"/>
        <v>0</v>
      </c>
      <c r="P96" s="4">
        <f t="shared" si="3"/>
        <v>7667.8</v>
      </c>
      <c r="Q96" s="56">
        <f>IFERROR(VLOOKUP(RawTable[[#This Row],[Currency]], System_Master_Data!$A$24:$B$29, 2, FALSE), "")</f>
        <v>0.77017999999999998</v>
      </c>
      <c r="R96">
        <f>IF(RawTable[[#This Row],[Exchange_Rate]]="","",ROUND(RawTable[[#This Row],[Gross_Amount]]*RawTable[[#This Row],[Exchange_Rate]],2))</f>
        <v>5905.59</v>
      </c>
      <c r="S96" t="str">
        <f>IF(RawTable[[#This Row],[Entity_Type]]&lt;&gt;"Employee",RawTable[[#This Row],[Entity_Type]],
IF(RawTable[[#This Row],[Country]]="Switzerland","Direct","EOR")
)</f>
        <v>EOR</v>
      </c>
      <c r="T96" t="str">
        <f>IF(RawTable[[#This Row],[Employment_Model]]&lt;&gt;"EOR","",
IFERROR(VLOOKUP(RawTable[[#This Row],[Country]],EORMap[#All],3,FALSE),"")
)</f>
        <v>Remote</v>
      </c>
    </row>
    <row r="97" spans="1:20">
      <c r="A97" s="24">
        <v>96</v>
      </c>
      <c r="B97" s="1" t="s">
        <v>35</v>
      </c>
      <c r="C97" s="3" t="s">
        <v>18</v>
      </c>
      <c r="D97" s="3" t="str">
        <f>IFERROR(VLOOKUP(RawTable[[#This Row],[Entity_Type]], EntityMap[], 2, FALSE), "")</f>
        <v>Payroll</v>
      </c>
      <c r="E97" s="3" t="s">
        <v>2</v>
      </c>
      <c r="F97" s="3" t="s">
        <v>84</v>
      </c>
      <c r="G97" s="3" t="str">
        <f>IFERROR(VLOOKUP(RawTable[[#This Row],[Name]], Name_Master!$A:$E, 4, FALSE), "")</f>
        <v>CH930000000001382080</v>
      </c>
      <c r="H9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PAY-Switzerland-202601-000096</v>
      </c>
      <c r="I97" s="1">
        <f>IF(RawTable[[#This Row],[Month]]="","",DATE(YEAR(RawTable[[#This Row],[Month]]),MONTH(RawTable[[#This Row],[Month]]),1))</f>
        <v>46023</v>
      </c>
      <c r="J9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97" s="3" t="s">
        <v>3</v>
      </c>
      <c r="L97" s="4">
        <v>6286.15</v>
      </c>
      <c r="M97" s="2" t="str">
        <f>IF(RawTable[[#This Row],[Net_Amount]]="","",IF(RawTable[[#This Row],[Payment_Type]]="Vendor_Invoice","Yes","No"))</f>
        <v>No</v>
      </c>
      <c r="N97" s="6">
        <f>IF(D97="Vendor_Invoice",
     IFERROR(
         INDEX(System_Master_Data!$B$9:$B$14,
               MATCH(E97,System_Master_Data!$A$9:$A$14,0)
         ),
     0),
0)</f>
        <v>0</v>
      </c>
      <c r="O97" s="4">
        <f t="shared" si="2"/>
        <v>0</v>
      </c>
      <c r="P97" s="4">
        <f t="shared" si="3"/>
        <v>6286.15</v>
      </c>
      <c r="Q97" s="56">
        <f>IFERROR(VLOOKUP(RawTable[[#This Row],[Currency]], System_Master_Data!$A$24:$B$29, 2, FALSE), "")</f>
        <v>1</v>
      </c>
      <c r="R97">
        <f>IF(RawTable[[#This Row],[Exchange_Rate]]="","",ROUND(RawTable[[#This Row],[Gross_Amount]]*RawTable[[#This Row],[Exchange_Rate]],2))</f>
        <v>6286.15</v>
      </c>
      <c r="S97" t="str">
        <f>IF(RawTable[[#This Row],[Entity_Type]]&lt;&gt;"Employee",RawTable[[#This Row],[Entity_Type]],
IF(RawTable[[#This Row],[Country]]="Switzerland","Direct","EOR")
)</f>
        <v>Direct</v>
      </c>
      <c r="T97" t="str">
        <f>IF(RawTable[[#This Row],[Employment_Model]]&lt;&gt;"EOR","",
IFERROR(VLOOKUP(RawTable[[#This Row],[Country]],EORMap[#All],3,FALSE),"")
)</f>
        <v/>
      </c>
    </row>
    <row r="98" spans="1:20">
      <c r="A98" s="24">
        <v>97</v>
      </c>
      <c r="B98" s="1" t="s">
        <v>35</v>
      </c>
      <c r="C98" s="3" t="s">
        <v>18</v>
      </c>
      <c r="D98" s="3" t="str">
        <f>IFERROR(VLOOKUP(RawTable[[#This Row],[Entity_Type]], EntityMap[], 2, FALSE), "")</f>
        <v>Payroll</v>
      </c>
      <c r="E98" s="3" t="s">
        <v>2</v>
      </c>
      <c r="F98" s="3" t="s">
        <v>43</v>
      </c>
      <c r="G98" s="3" t="str">
        <f>IFERROR(VLOOKUP(RawTable[[#This Row],[Name]], Name_Master!$A:$E, 4, FALSE), "")</f>
        <v>DE890000000000203685</v>
      </c>
      <c r="H9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PAY-Switzerland-202601-000097</v>
      </c>
      <c r="I98" s="1">
        <f>IF(RawTable[[#This Row],[Month]]="","",DATE(YEAR(RawTable[[#This Row],[Month]]),MONTH(RawTable[[#This Row],[Month]]),1))</f>
        <v>46023</v>
      </c>
      <c r="J9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98" s="3" t="s">
        <v>3</v>
      </c>
      <c r="L98" s="4">
        <v>6958.25</v>
      </c>
      <c r="M98" s="2" t="str">
        <f>IF(RawTable[[#This Row],[Net_Amount]]="","",IF(RawTable[[#This Row],[Payment_Type]]="Vendor_Invoice","Yes","No"))</f>
        <v>No</v>
      </c>
      <c r="N98" s="6">
        <f>IF(D98="Vendor_Invoice",
     IFERROR(
         INDEX(System_Master_Data!$B$9:$B$14,
               MATCH(E98,System_Master_Data!$A$9:$A$14,0)
         ),
     0),
0)</f>
        <v>0</v>
      </c>
      <c r="O98" s="4">
        <f t="shared" si="2"/>
        <v>0</v>
      </c>
      <c r="P98" s="4">
        <f t="shared" si="3"/>
        <v>6958.25</v>
      </c>
      <c r="Q98" s="56">
        <f>IFERROR(VLOOKUP(RawTable[[#This Row],[Currency]], System_Master_Data!$A$24:$B$29, 2, FALSE), "")</f>
        <v>1</v>
      </c>
      <c r="R98">
        <f>IF(RawTable[[#This Row],[Exchange_Rate]]="","",ROUND(RawTable[[#This Row],[Gross_Amount]]*RawTable[[#This Row],[Exchange_Rate]],2))</f>
        <v>6958.25</v>
      </c>
      <c r="S98" t="str">
        <f>IF(RawTable[[#This Row],[Entity_Type]]&lt;&gt;"Employee",RawTable[[#This Row],[Entity_Type]],
IF(RawTable[[#This Row],[Country]]="Switzerland","Direct","EOR")
)</f>
        <v>Direct</v>
      </c>
      <c r="T98" t="str">
        <f>IF(RawTable[[#This Row],[Employment_Model]]&lt;&gt;"EOR","",
IFERROR(VLOOKUP(RawTable[[#This Row],[Country]],EORMap[#All],3,FALSE),"")
)</f>
        <v/>
      </c>
    </row>
    <row r="99" spans="1:20">
      <c r="A99" s="24">
        <v>98</v>
      </c>
      <c r="B99" s="1" t="s">
        <v>30</v>
      </c>
      <c r="C99" s="3" t="s">
        <v>18</v>
      </c>
      <c r="D99" s="3" t="str">
        <f>IFERROR(VLOOKUP(RawTable[[#This Row],[Entity_Type]], EntityMap[], 2, FALSE), "")</f>
        <v>Payroll</v>
      </c>
      <c r="E99" s="3" t="s">
        <v>2</v>
      </c>
      <c r="F99" s="3" t="s">
        <v>50</v>
      </c>
      <c r="G99" s="3" t="str">
        <f>IFERROR(VLOOKUP(RawTable[[#This Row],[Name]], Name_Master!$A:$E, 4, FALSE), "")</f>
        <v>DE890000000000298738</v>
      </c>
      <c r="H9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PAY-Switzerland-202603-000098</v>
      </c>
      <c r="I99" s="1">
        <f>IF(RawTable[[#This Row],[Month]]="","",DATE(YEAR(RawTable[[#This Row],[Month]]),MONTH(RawTable[[#This Row],[Month]]),1))</f>
        <v>46082</v>
      </c>
      <c r="J9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99" s="3" t="s">
        <v>3</v>
      </c>
      <c r="L99" s="4">
        <v>6737.9</v>
      </c>
      <c r="M99" s="2" t="str">
        <f>IF(RawTable[[#This Row],[Net_Amount]]="","",IF(RawTable[[#This Row],[Payment_Type]]="Vendor_Invoice","Yes","No"))</f>
        <v>No</v>
      </c>
      <c r="N99" s="6">
        <f>IF(D99="Vendor_Invoice",
     IFERROR(
         INDEX(System_Master_Data!$B$9:$B$14,
               MATCH(E99,System_Master_Data!$A$9:$A$14,0)
         ),
     0),
0)</f>
        <v>0</v>
      </c>
      <c r="O99" s="4">
        <f t="shared" si="2"/>
        <v>0</v>
      </c>
      <c r="P99" s="4">
        <f t="shared" si="3"/>
        <v>6737.9</v>
      </c>
      <c r="Q99" s="56">
        <f>IFERROR(VLOOKUP(RawTable[[#This Row],[Currency]], System_Master_Data!$A$24:$B$29, 2, FALSE), "")</f>
        <v>1</v>
      </c>
      <c r="R99">
        <f>IF(RawTable[[#This Row],[Exchange_Rate]]="","",ROUND(RawTable[[#This Row],[Gross_Amount]]*RawTable[[#This Row],[Exchange_Rate]],2))</f>
        <v>6737.9</v>
      </c>
      <c r="S99" t="str">
        <f>IF(RawTable[[#This Row],[Entity_Type]]&lt;&gt;"Employee",RawTable[[#This Row],[Entity_Type]],
IF(RawTable[[#This Row],[Country]]="Switzerland","Direct","EOR")
)</f>
        <v>Direct</v>
      </c>
      <c r="T99" t="str">
        <f>IF(RawTable[[#This Row],[Employment_Model]]&lt;&gt;"EOR","",
IFERROR(VLOOKUP(RawTable[[#This Row],[Country]],EORMap[#All],3,FALSE),"")
)</f>
        <v/>
      </c>
    </row>
    <row r="100" spans="1:20">
      <c r="A100" s="24">
        <v>99</v>
      </c>
      <c r="B100" s="1" t="s">
        <v>30</v>
      </c>
      <c r="C100" s="3" t="s">
        <v>18</v>
      </c>
      <c r="D100" s="3" t="str">
        <f>IFERROR(VLOOKUP(RawTable[[#This Row],[Entity_Type]], EntityMap[], 2, FALSE), "")</f>
        <v>Payroll</v>
      </c>
      <c r="E100" s="3" t="s">
        <v>10</v>
      </c>
      <c r="F100" s="3" t="s">
        <v>85</v>
      </c>
      <c r="G100" s="3" t="str">
        <f>IFERROR(VLOOKUP(RawTable[[#This Row],[Name]], Name_Master!$A:$E, 4, FALSE), "")</f>
        <v>JO-IBAN-00703665</v>
      </c>
      <c r="H10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PAY-Jordan-202603-000099</v>
      </c>
      <c r="I100" s="1">
        <f>IF(RawTable[[#This Row],[Month]]="","",DATE(YEAR(RawTable[[#This Row],[Month]]),MONTH(RawTable[[#This Row],[Month]]),1))</f>
        <v>46082</v>
      </c>
      <c r="J10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00" s="3" t="s">
        <v>11</v>
      </c>
      <c r="L100" s="4">
        <v>1681.92</v>
      </c>
      <c r="M100" s="2" t="str">
        <f>IF(RawTable[[#This Row],[Net_Amount]]="","",IF(RawTable[[#This Row],[Payment_Type]]="Vendor_Invoice","Yes","No"))</f>
        <v>No</v>
      </c>
      <c r="N100" s="6">
        <f>IF(D100="Vendor_Invoice",
     IFERROR(
         INDEX(System_Master_Data!$B$9:$B$14,
               MATCH(E100,System_Master_Data!$A$9:$A$14,0)
         ),
     0),
0)</f>
        <v>0</v>
      </c>
      <c r="O100" s="4">
        <f t="shared" si="2"/>
        <v>0</v>
      </c>
      <c r="P100" s="4">
        <f t="shared" si="3"/>
        <v>1681.92</v>
      </c>
      <c r="Q100" s="56">
        <f>IFERROR(VLOOKUP(RawTable[[#This Row],[Currency]], System_Master_Data!$A$24:$B$29, 2, FALSE), "")</f>
        <v>1.08643</v>
      </c>
      <c r="R100">
        <f>IF(RawTable[[#This Row],[Exchange_Rate]]="","",ROUND(RawTable[[#This Row],[Gross_Amount]]*RawTable[[#This Row],[Exchange_Rate]],2))</f>
        <v>1827.29</v>
      </c>
      <c r="S100" t="str">
        <f>IF(RawTable[[#This Row],[Entity_Type]]&lt;&gt;"Employee",RawTable[[#This Row],[Entity_Type]],
IF(RawTable[[#This Row],[Country]]="Switzerland","Direct","EOR")
)</f>
        <v>EOR</v>
      </c>
      <c r="T100" t="str">
        <f>IF(RawTable[[#This Row],[Employment_Model]]&lt;&gt;"EOR","",
IFERROR(VLOOKUP(RawTable[[#This Row],[Country]],EORMap[#All],3,FALSE),"")
)</f>
        <v>Oyster</v>
      </c>
    </row>
    <row r="101" spans="1:20">
      <c r="A101" s="24">
        <v>100</v>
      </c>
      <c r="B101" s="1" t="s">
        <v>35</v>
      </c>
      <c r="C101" s="3" t="s">
        <v>18</v>
      </c>
      <c r="D101" s="3" t="str">
        <f>IFERROR(VLOOKUP(RawTable[[#This Row],[Entity_Type]], EntityMap[], 2, FALSE), "")</f>
        <v>Payroll</v>
      </c>
      <c r="E101" s="3" t="s">
        <v>6</v>
      </c>
      <c r="F101" s="3" t="s">
        <v>31</v>
      </c>
      <c r="G101" s="3" t="str">
        <f>IFERROR(VLOOKUP(RawTable[[#This Row],[Name]], Name_Master!$A:$E, 4, FALSE), "")</f>
        <v>US-RT-000004936-AC-0000022712</v>
      </c>
      <c r="H10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PAY-USA-202601-000100</v>
      </c>
      <c r="I101" s="1">
        <f>IF(RawTable[[#This Row],[Month]]="","",DATE(YEAR(RawTable[[#This Row],[Month]]),MONTH(RawTable[[#This Row],[Month]]),1))</f>
        <v>46023</v>
      </c>
      <c r="J10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01" s="3" t="s">
        <v>7</v>
      </c>
      <c r="L101" s="4">
        <v>7634.32</v>
      </c>
      <c r="M101" s="2" t="str">
        <f>IF(RawTable[[#This Row],[Net_Amount]]="","",IF(RawTable[[#This Row],[Payment_Type]]="Vendor_Invoice","Yes","No"))</f>
        <v>No</v>
      </c>
      <c r="N101" s="6">
        <f>IF(D101="Vendor_Invoice",
     IFERROR(
         INDEX(System_Master_Data!$B$9:$B$14,
               MATCH(E101,System_Master_Data!$A$9:$A$14,0)
         ),
     0),
0)</f>
        <v>0</v>
      </c>
      <c r="O101" s="4">
        <f t="shared" si="2"/>
        <v>0</v>
      </c>
      <c r="P101" s="4">
        <f t="shared" si="3"/>
        <v>7634.32</v>
      </c>
      <c r="Q101" s="56">
        <f>IFERROR(VLOOKUP(RawTable[[#This Row],[Currency]], System_Master_Data!$A$24:$B$29, 2, FALSE), "")</f>
        <v>0.77017999999999998</v>
      </c>
      <c r="R101">
        <f>IF(RawTable[[#This Row],[Exchange_Rate]]="","",ROUND(RawTable[[#This Row],[Gross_Amount]]*RawTable[[#This Row],[Exchange_Rate]],2))</f>
        <v>5879.8</v>
      </c>
      <c r="S101" t="str">
        <f>IF(RawTable[[#This Row],[Entity_Type]]&lt;&gt;"Employee",RawTable[[#This Row],[Entity_Type]],
IF(RawTable[[#This Row],[Country]]="Switzerland","Direct","EOR")
)</f>
        <v>EOR</v>
      </c>
      <c r="T101" t="str">
        <f>IF(RawTable[[#This Row],[Employment_Model]]&lt;&gt;"EOR","",
IFERROR(VLOOKUP(RawTable[[#This Row],[Country]],EORMap[#All],3,FALSE),"")
)</f>
        <v>Remote</v>
      </c>
    </row>
    <row r="102" spans="1:20">
      <c r="A102" s="24">
        <v>101</v>
      </c>
      <c r="B102" s="1" t="s">
        <v>30</v>
      </c>
      <c r="C102" s="3" t="s">
        <v>18</v>
      </c>
      <c r="D102" s="3" t="str">
        <f>IFERROR(VLOOKUP(RawTable[[#This Row],[Entity_Type]], EntityMap[], 2, FALSE), "")</f>
        <v>Payroll</v>
      </c>
      <c r="E102" s="3" t="s">
        <v>10</v>
      </c>
      <c r="F102" s="3" t="s">
        <v>84</v>
      </c>
      <c r="G102" s="3" t="str">
        <f>IFERROR(VLOOKUP(RawTable[[#This Row],[Name]], Name_Master!$A:$E, 4, FALSE), "")</f>
        <v>CH930000000001382080</v>
      </c>
      <c r="H10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PAY-Jordan-202603-000101</v>
      </c>
      <c r="I102" s="1">
        <f>IF(RawTable[[#This Row],[Month]]="","",DATE(YEAR(RawTable[[#This Row],[Month]]),MONTH(RawTable[[#This Row],[Month]]),1))</f>
        <v>46082</v>
      </c>
      <c r="J10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02" s="3" t="s">
        <v>11</v>
      </c>
      <c r="L102" s="4">
        <v>1740.78</v>
      </c>
      <c r="M102" s="2" t="str">
        <f>IF(RawTable[[#This Row],[Net_Amount]]="","",IF(RawTable[[#This Row],[Payment_Type]]="Vendor_Invoice","Yes","No"))</f>
        <v>No</v>
      </c>
      <c r="N102" s="6">
        <f>IF(D102="Vendor_Invoice",
     IFERROR(
         INDEX(System_Master_Data!$B$9:$B$14,
               MATCH(E102,System_Master_Data!$A$9:$A$14,0)
         ),
     0),
0)</f>
        <v>0</v>
      </c>
      <c r="O102" s="4">
        <f t="shared" si="2"/>
        <v>0</v>
      </c>
      <c r="P102" s="4">
        <f t="shared" si="3"/>
        <v>1740.78</v>
      </c>
      <c r="Q102" s="56">
        <f>IFERROR(VLOOKUP(RawTable[[#This Row],[Currency]], System_Master_Data!$A$24:$B$29, 2, FALSE), "")</f>
        <v>1.08643</v>
      </c>
      <c r="R102">
        <f>IF(RawTable[[#This Row],[Exchange_Rate]]="","",ROUND(RawTable[[#This Row],[Gross_Amount]]*RawTable[[#This Row],[Exchange_Rate]],2))</f>
        <v>1891.24</v>
      </c>
      <c r="S102" t="str">
        <f>IF(RawTable[[#This Row],[Entity_Type]]&lt;&gt;"Employee",RawTable[[#This Row],[Entity_Type]],
IF(RawTable[[#This Row],[Country]]="Switzerland","Direct","EOR")
)</f>
        <v>EOR</v>
      </c>
      <c r="T102" t="str">
        <f>IF(RawTable[[#This Row],[Employment_Model]]&lt;&gt;"EOR","",
IFERROR(VLOOKUP(RawTable[[#This Row],[Country]],EORMap[#All],3,FALSE),"")
)</f>
        <v>Oyster</v>
      </c>
    </row>
    <row r="103" spans="1:20">
      <c r="A103" s="24">
        <v>102</v>
      </c>
      <c r="B103" s="1" t="s">
        <v>28</v>
      </c>
      <c r="C103" s="3" t="s">
        <v>18</v>
      </c>
      <c r="D103" s="3" t="str">
        <f>IFERROR(VLOOKUP(RawTable[[#This Row],[Entity_Type]], EntityMap[], 2, FALSE), "")</f>
        <v>Payroll</v>
      </c>
      <c r="E103" s="3" t="s">
        <v>6</v>
      </c>
      <c r="F103" s="3" t="s">
        <v>86</v>
      </c>
      <c r="G103" s="3" t="str">
        <f>IFERROR(VLOOKUP(RawTable[[#This Row],[Name]], Name_Master!$A:$E, 4, FALSE), "")</f>
        <v>US-RT-000071572-AC-0000329324</v>
      </c>
      <c r="H10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PAY-USA-202602-000102</v>
      </c>
      <c r="I103" s="1">
        <f>IF(RawTable[[#This Row],[Month]]="","",DATE(YEAR(RawTable[[#This Row],[Month]]),MONTH(RawTable[[#This Row],[Month]]),1))</f>
        <v>46054</v>
      </c>
      <c r="J10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03" s="3" t="s">
        <v>7</v>
      </c>
      <c r="L103" s="4">
        <v>7478.1</v>
      </c>
      <c r="M103" s="2" t="str">
        <f>IF(RawTable[[#This Row],[Net_Amount]]="","",IF(RawTable[[#This Row],[Payment_Type]]="Vendor_Invoice","Yes","No"))</f>
        <v>No</v>
      </c>
      <c r="N103" s="6">
        <f>IF(D103="Vendor_Invoice",
     IFERROR(
         INDEX(System_Master_Data!$B$9:$B$14,
               MATCH(E103,System_Master_Data!$A$9:$A$14,0)
         ),
     0),
0)</f>
        <v>0</v>
      </c>
      <c r="O103" s="4">
        <f t="shared" si="2"/>
        <v>0</v>
      </c>
      <c r="P103" s="4">
        <f t="shared" si="3"/>
        <v>7478.1</v>
      </c>
      <c r="Q103" s="56">
        <f>IFERROR(VLOOKUP(RawTable[[#This Row],[Currency]], System_Master_Data!$A$24:$B$29, 2, FALSE), "")</f>
        <v>0.77017999999999998</v>
      </c>
      <c r="R103">
        <f>IF(RawTable[[#This Row],[Exchange_Rate]]="","",ROUND(RawTable[[#This Row],[Gross_Amount]]*RawTable[[#This Row],[Exchange_Rate]],2))</f>
        <v>5759.48</v>
      </c>
      <c r="S103" t="str">
        <f>IF(RawTable[[#This Row],[Entity_Type]]&lt;&gt;"Employee",RawTable[[#This Row],[Entity_Type]],
IF(RawTable[[#This Row],[Country]]="Switzerland","Direct","EOR")
)</f>
        <v>EOR</v>
      </c>
      <c r="T103" t="str">
        <f>IF(RawTable[[#This Row],[Employment_Model]]&lt;&gt;"EOR","",
IFERROR(VLOOKUP(RawTable[[#This Row],[Country]],EORMap[#All],3,FALSE),"")
)</f>
        <v>Remote</v>
      </c>
    </row>
    <row r="104" spans="1:20">
      <c r="A104" s="24">
        <v>103</v>
      </c>
      <c r="B104" s="1" t="s">
        <v>30</v>
      </c>
      <c r="C104" s="3" t="s">
        <v>18</v>
      </c>
      <c r="D104" s="3" t="str">
        <f>IFERROR(VLOOKUP(RawTable[[#This Row],[Entity_Type]], EntityMap[], 2, FALSE), "")</f>
        <v>Payroll</v>
      </c>
      <c r="E104" s="3" t="s">
        <v>8</v>
      </c>
      <c r="F104" s="3" t="s">
        <v>61</v>
      </c>
      <c r="G104" s="3" t="str">
        <f>IFERROR(VLOOKUP(RawTable[[#This Row],[Name]], Name_Master!$A:$E, 4, FALSE), "")</f>
        <v>AE-IBAN-01792593</v>
      </c>
      <c r="H10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PAY-UAE-202603-000103</v>
      </c>
      <c r="I104" s="1">
        <f>IF(RawTable[[#This Row],[Month]]="","",DATE(YEAR(RawTable[[#This Row],[Month]]),MONTH(RawTable[[#This Row],[Month]]),1))</f>
        <v>46082</v>
      </c>
      <c r="J10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04" s="3" t="s">
        <v>9</v>
      </c>
      <c r="L104" s="4">
        <v>22385.82</v>
      </c>
      <c r="M104" s="2" t="str">
        <f>IF(RawTable[[#This Row],[Net_Amount]]="","",IF(RawTable[[#This Row],[Payment_Type]]="Vendor_Invoice","Yes","No"))</f>
        <v>No</v>
      </c>
      <c r="N104" s="6">
        <f>IF(D104="Vendor_Invoice",
     IFERROR(
         INDEX(System_Master_Data!$B$9:$B$14,
               MATCH(E104,System_Master_Data!$A$9:$A$14,0)
         ),
     0),
0)</f>
        <v>0</v>
      </c>
      <c r="O104" s="4">
        <f t="shared" si="2"/>
        <v>0</v>
      </c>
      <c r="P104" s="4">
        <f t="shared" si="3"/>
        <v>22385.82</v>
      </c>
      <c r="Q104" s="56">
        <f>IFERROR(VLOOKUP(RawTable[[#This Row],[Currency]], System_Master_Data!$A$24:$B$29, 2, FALSE), "")</f>
        <v>0.21065</v>
      </c>
      <c r="R104">
        <f>IF(RawTable[[#This Row],[Exchange_Rate]]="","",ROUND(RawTable[[#This Row],[Gross_Amount]]*RawTable[[#This Row],[Exchange_Rate]],2))</f>
        <v>4715.57</v>
      </c>
      <c r="S104" t="str">
        <f>IF(RawTable[[#This Row],[Entity_Type]]&lt;&gt;"Employee",RawTable[[#This Row],[Entity_Type]],
IF(RawTable[[#This Row],[Country]]="Switzerland","Direct","EOR")
)</f>
        <v>EOR</v>
      </c>
      <c r="T104" t="str">
        <f>IF(RawTable[[#This Row],[Employment_Model]]&lt;&gt;"EOR","",
IFERROR(VLOOKUP(RawTable[[#This Row],[Country]],EORMap[#All],3,FALSE),"")
)</f>
        <v>Deel</v>
      </c>
    </row>
    <row r="105" spans="1:20">
      <c r="A105" s="24">
        <v>104</v>
      </c>
      <c r="B105" s="1" t="s">
        <v>35</v>
      </c>
      <c r="C105" s="3" t="s">
        <v>18</v>
      </c>
      <c r="D105" s="3" t="str">
        <f>IFERROR(VLOOKUP(RawTable[[#This Row],[Entity_Type]], EntityMap[], 2, FALSE), "")</f>
        <v>Payroll</v>
      </c>
      <c r="E105" s="3" t="s">
        <v>8</v>
      </c>
      <c r="F105" s="3" t="s">
        <v>75</v>
      </c>
      <c r="G105" s="3" t="str">
        <f>IFERROR(VLOOKUP(RawTable[[#This Row],[Name]], Name_Master!$A:$E, 4, FALSE), "")</f>
        <v>CH930000000001159960</v>
      </c>
      <c r="H10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PAY-UAE-202601-000104</v>
      </c>
      <c r="I105" s="1">
        <f>IF(RawTable[[#This Row],[Month]]="","",DATE(YEAR(RawTable[[#This Row],[Month]]),MONTH(RawTable[[#This Row],[Month]]),1))</f>
        <v>46023</v>
      </c>
      <c r="J10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05" s="3" t="s">
        <v>9</v>
      </c>
      <c r="L105" s="4">
        <v>22642.400000000001</v>
      </c>
      <c r="M105" s="2" t="str">
        <f>IF(RawTable[[#This Row],[Net_Amount]]="","",IF(RawTable[[#This Row],[Payment_Type]]="Vendor_Invoice","Yes","No"))</f>
        <v>No</v>
      </c>
      <c r="N105" s="6">
        <f>IF(D105="Vendor_Invoice",
     IFERROR(
         INDEX(System_Master_Data!$B$9:$B$14,
               MATCH(E105,System_Master_Data!$A$9:$A$14,0)
         ),
     0),
0)</f>
        <v>0</v>
      </c>
      <c r="O105" s="4">
        <f t="shared" si="2"/>
        <v>0</v>
      </c>
      <c r="P105" s="4">
        <f t="shared" si="3"/>
        <v>22642.400000000001</v>
      </c>
      <c r="Q105" s="56">
        <f>IFERROR(VLOOKUP(RawTable[[#This Row],[Currency]], System_Master_Data!$A$24:$B$29, 2, FALSE), "")</f>
        <v>0.21065</v>
      </c>
      <c r="R105">
        <f>IF(RawTable[[#This Row],[Exchange_Rate]]="","",ROUND(RawTable[[#This Row],[Gross_Amount]]*RawTable[[#This Row],[Exchange_Rate]],2))</f>
        <v>4769.62</v>
      </c>
      <c r="S105" t="str">
        <f>IF(RawTable[[#This Row],[Entity_Type]]&lt;&gt;"Employee",RawTable[[#This Row],[Entity_Type]],
IF(RawTable[[#This Row],[Country]]="Switzerland","Direct","EOR")
)</f>
        <v>EOR</v>
      </c>
      <c r="T105" t="str">
        <f>IF(RawTable[[#This Row],[Employment_Model]]&lt;&gt;"EOR","",
IFERROR(VLOOKUP(RawTable[[#This Row],[Country]],EORMap[#All],3,FALSE),"")
)</f>
        <v>Deel</v>
      </c>
    </row>
    <row r="106" spans="1:20">
      <c r="A106" s="24">
        <v>105</v>
      </c>
      <c r="B106" s="1" t="s">
        <v>28</v>
      </c>
      <c r="C106" s="3" t="s">
        <v>18</v>
      </c>
      <c r="D106" s="3" t="str">
        <f>IFERROR(VLOOKUP(RawTable[[#This Row],[Entity_Type]], EntityMap[], 2, FALSE), "")</f>
        <v>Payroll</v>
      </c>
      <c r="E106" s="3" t="s">
        <v>6</v>
      </c>
      <c r="F106" s="3" t="s">
        <v>84</v>
      </c>
      <c r="G106" s="3" t="str">
        <f>IFERROR(VLOOKUP(RawTable[[#This Row],[Name]], Name_Master!$A:$E, 4, FALSE), "")</f>
        <v>CH930000000001382080</v>
      </c>
      <c r="H10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PAY-USA-202602-000105</v>
      </c>
      <c r="I106" s="1">
        <f>IF(RawTable[[#This Row],[Month]]="","",DATE(YEAR(RawTable[[#This Row],[Month]]),MONTH(RawTable[[#This Row],[Month]]),1))</f>
        <v>46054</v>
      </c>
      <c r="J10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06" s="3" t="s">
        <v>7</v>
      </c>
      <c r="L106" s="4">
        <v>6769.7</v>
      </c>
      <c r="M106" s="2" t="str">
        <f>IF(RawTable[[#This Row],[Net_Amount]]="","",IF(RawTable[[#This Row],[Payment_Type]]="Vendor_Invoice","Yes","No"))</f>
        <v>No</v>
      </c>
      <c r="N106" s="6">
        <f>IF(D106="Vendor_Invoice",
     IFERROR(
         INDEX(System_Master_Data!$B$9:$B$14,
               MATCH(E106,System_Master_Data!$A$9:$A$14,0)
         ),
     0),
0)</f>
        <v>0</v>
      </c>
      <c r="O106" s="4">
        <f t="shared" si="2"/>
        <v>0</v>
      </c>
      <c r="P106" s="4">
        <f t="shared" si="3"/>
        <v>6769.7</v>
      </c>
      <c r="Q106" s="56">
        <f>IFERROR(VLOOKUP(RawTable[[#This Row],[Currency]], System_Master_Data!$A$24:$B$29, 2, FALSE), "")</f>
        <v>0.77017999999999998</v>
      </c>
      <c r="R106">
        <f>IF(RawTable[[#This Row],[Exchange_Rate]]="","",ROUND(RawTable[[#This Row],[Gross_Amount]]*RawTable[[#This Row],[Exchange_Rate]],2))</f>
        <v>5213.8900000000003</v>
      </c>
      <c r="S106" t="str">
        <f>IF(RawTable[[#This Row],[Entity_Type]]&lt;&gt;"Employee",RawTable[[#This Row],[Entity_Type]],
IF(RawTable[[#This Row],[Country]]="Switzerland","Direct","EOR")
)</f>
        <v>EOR</v>
      </c>
      <c r="T106" t="str">
        <f>IF(RawTable[[#This Row],[Employment_Model]]&lt;&gt;"EOR","",
IFERROR(VLOOKUP(RawTable[[#This Row],[Country]],EORMap[#All],3,FALSE),"")
)</f>
        <v>Remote</v>
      </c>
    </row>
    <row r="107" spans="1:20">
      <c r="A107" s="24">
        <v>106</v>
      </c>
      <c r="B107" s="1" t="s">
        <v>28</v>
      </c>
      <c r="C107" s="3" t="s">
        <v>18</v>
      </c>
      <c r="D107" s="3" t="str">
        <f>IFERROR(VLOOKUP(RawTable[[#This Row],[Entity_Type]], EntityMap[], 2, FALSE), "")</f>
        <v>Payroll</v>
      </c>
      <c r="E107" s="3" t="s">
        <v>10</v>
      </c>
      <c r="F107" s="3" t="s">
        <v>87</v>
      </c>
      <c r="G107" s="3" t="str">
        <f>IFERROR(VLOOKUP(RawTable[[#This Row],[Name]], Name_Master!$A:$E, 4, FALSE), "")</f>
        <v>JO-IBAN-00728355</v>
      </c>
      <c r="H10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PAY-Jordan-202602-000106</v>
      </c>
      <c r="I107" s="1">
        <f>IF(RawTable[[#This Row],[Month]]="","",DATE(YEAR(RawTable[[#This Row],[Month]]),MONTH(RawTable[[#This Row],[Month]]),1))</f>
        <v>46054</v>
      </c>
      <c r="J10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07" s="3" t="s">
        <v>11</v>
      </c>
      <c r="L107" s="4">
        <v>1622.7</v>
      </c>
      <c r="M107" s="2" t="str">
        <f>IF(RawTable[[#This Row],[Net_Amount]]="","",IF(RawTable[[#This Row],[Payment_Type]]="Vendor_Invoice","Yes","No"))</f>
        <v>No</v>
      </c>
      <c r="N107" s="6">
        <f>IF(D107="Vendor_Invoice",
     IFERROR(
         INDEX(System_Master_Data!$B$9:$B$14,
               MATCH(E107,System_Master_Data!$A$9:$A$14,0)
         ),
     0),
0)</f>
        <v>0</v>
      </c>
      <c r="O107" s="4">
        <f t="shared" si="2"/>
        <v>0</v>
      </c>
      <c r="P107" s="4">
        <f t="shared" si="3"/>
        <v>1622.7</v>
      </c>
      <c r="Q107" s="56">
        <f>IFERROR(VLOOKUP(RawTable[[#This Row],[Currency]], System_Master_Data!$A$24:$B$29, 2, FALSE), "")</f>
        <v>1.08643</v>
      </c>
      <c r="R107">
        <f>IF(RawTable[[#This Row],[Exchange_Rate]]="","",ROUND(RawTable[[#This Row],[Gross_Amount]]*RawTable[[#This Row],[Exchange_Rate]],2))</f>
        <v>1762.95</v>
      </c>
      <c r="S107" t="str">
        <f>IF(RawTable[[#This Row],[Entity_Type]]&lt;&gt;"Employee",RawTable[[#This Row],[Entity_Type]],
IF(RawTable[[#This Row],[Country]]="Switzerland","Direct","EOR")
)</f>
        <v>EOR</v>
      </c>
      <c r="T107" t="str">
        <f>IF(RawTable[[#This Row],[Employment_Model]]&lt;&gt;"EOR","",
IFERROR(VLOOKUP(RawTable[[#This Row],[Country]],EORMap[#All],3,FALSE),"")
)</f>
        <v>Oyster</v>
      </c>
    </row>
    <row r="108" spans="1:20">
      <c r="A108" s="24">
        <v>107</v>
      </c>
      <c r="B108" s="1" t="s">
        <v>28</v>
      </c>
      <c r="C108" s="3" t="s">
        <v>18</v>
      </c>
      <c r="D108" s="3" t="str">
        <f>IFERROR(VLOOKUP(RawTable[[#This Row],[Entity_Type]], EntityMap[], 2, FALSE), "")</f>
        <v>Payroll</v>
      </c>
      <c r="E108" s="3" t="s">
        <v>8</v>
      </c>
      <c r="F108" s="3" t="s">
        <v>88</v>
      </c>
      <c r="G108" s="3" t="str">
        <f>IFERROR(VLOOKUP(RawTable[[#This Row],[Name]], Name_Master!$A:$E, 4, FALSE), "")</f>
        <v>AE-IBAN-03259260</v>
      </c>
      <c r="H10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PAY-UAE-202602-000107</v>
      </c>
      <c r="I108" s="1">
        <f>IF(RawTable[[#This Row],[Month]]="","",DATE(YEAR(RawTable[[#This Row],[Month]]),MONTH(RawTable[[#This Row],[Month]]),1))</f>
        <v>46054</v>
      </c>
      <c r="J10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08" s="3" t="s">
        <v>9</v>
      </c>
      <c r="L108" s="4">
        <v>22110</v>
      </c>
      <c r="M108" s="2" t="str">
        <f>IF(RawTable[[#This Row],[Net_Amount]]="","",IF(RawTable[[#This Row],[Payment_Type]]="Vendor_Invoice","Yes","No"))</f>
        <v>No</v>
      </c>
      <c r="N108" s="6">
        <f>IF(D108="Vendor_Invoice",
     IFERROR(
         INDEX(System_Master_Data!$B$9:$B$14,
               MATCH(E108,System_Master_Data!$A$9:$A$14,0)
         ),
     0),
0)</f>
        <v>0</v>
      </c>
      <c r="O108" s="4">
        <f t="shared" si="2"/>
        <v>0</v>
      </c>
      <c r="P108" s="4">
        <f t="shared" si="3"/>
        <v>22110</v>
      </c>
      <c r="Q108" s="56">
        <f>IFERROR(VLOOKUP(RawTable[[#This Row],[Currency]], System_Master_Data!$A$24:$B$29, 2, FALSE), "")</f>
        <v>0.21065</v>
      </c>
      <c r="R108">
        <f>IF(RawTable[[#This Row],[Exchange_Rate]]="","",ROUND(RawTable[[#This Row],[Gross_Amount]]*RawTable[[#This Row],[Exchange_Rate]],2))</f>
        <v>4657.47</v>
      </c>
      <c r="S108" t="str">
        <f>IF(RawTable[[#This Row],[Entity_Type]]&lt;&gt;"Employee",RawTable[[#This Row],[Entity_Type]],
IF(RawTable[[#This Row],[Country]]="Switzerland","Direct","EOR")
)</f>
        <v>EOR</v>
      </c>
      <c r="T108" t="str">
        <f>IF(RawTable[[#This Row],[Employment_Model]]&lt;&gt;"EOR","",
IFERROR(VLOOKUP(RawTable[[#This Row],[Country]],EORMap[#All],3,FALSE),"")
)</f>
        <v>Deel</v>
      </c>
    </row>
    <row r="109" spans="1:20">
      <c r="A109" s="24">
        <v>108</v>
      </c>
      <c r="B109" s="1" t="s">
        <v>28</v>
      </c>
      <c r="C109" s="3" t="s">
        <v>18</v>
      </c>
      <c r="D109" s="3" t="str">
        <f>IFERROR(VLOOKUP(RawTable[[#This Row],[Entity_Type]], EntityMap[], 2, FALSE), "")</f>
        <v>Payroll</v>
      </c>
      <c r="E109" s="3" t="s">
        <v>10</v>
      </c>
      <c r="F109" s="3" t="s">
        <v>42</v>
      </c>
      <c r="G109" s="3" t="str">
        <f>IFERROR(VLOOKUP(RawTable[[#This Row],[Name]], Name_Master!$A:$E, 4, FALSE), "")</f>
        <v>DE890000000000190106</v>
      </c>
      <c r="H10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PAY-Jordan-202602-000108</v>
      </c>
      <c r="I109" s="1">
        <f>IF(RawTable[[#This Row],[Month]]="","",DATE(YEAR(RawTable[[#This Row],[Month]]),MONTH(RawTable[[#This Row],[Month]]),1))</f>
        <v>46054</v>
      </c>
      <c r="J10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09" s="3" t="s">
        <v>11</v>
      </c>
      <c r="L109" s="4">
        <v>1870.2</v>
      </c>
      <c r="M109" s="2" t="str">
        <f>IF(RawTable[[#This Row],[Net_Amount]]="","",IF(RawTable[[#This Row],[Payment_Type]]="Vendor_Invoice","Yes","No"))</f>
        <v>No</v>
      </c>
      <c r="N109" s="6">
        <f>IF(D109="Vendor_Invoice",
     IFERROR(
         INDEX(System_Master_Data!$B$9:$B$14,
               MATCH(E109,System_Master_Data!$A$9:$A$14,0)
         ),
     0),
0)</f>
        <v>0</v>
      </c>
      <c r="O109" s="4">
        <f t="shared" si="2"/>
        <v>0</v>
      </c>
      <c r="P109" s="4">
        <f t="shared" si="3"/>
        <v>1870.2</v>
      </c>
      <c r="Q109" s="56">
        <f>IFERROR(VLOOKUP(RawTable[[#This Row],[Currency]], System_Master_Data!$A$24:$B$29, 2, FALSE), "")</f>
        <v>1.08643</v>
      </c>
      <c r="R109">
        <f>IF(RawTable[[#This Row],[Exchange_Rate]]="","",ROUND(RawTable[[#This Row],[Gross_Amount]]*RawTable[[#This Row],[Exchange_Rate]],2))</f>
        <v>2031.84</v>
      </c>
      <c r="S109" t="str">
        <f>IF(RawTable[[#This Row],[Entity_Type]]&lt;&gt;"Employee",RawTable[[#This Row],[Entity_Type]],
IF(RawTable[[#This Row],[Country]]="Switzerland","Direct","EOR")
)</f>
        <v>EOR</v>
      </c>
      <c r="T109" t="str">
        <f>IF(RawTable[[#This Row],[Employment_Model]]&lt;&gt;"EOR","",
IFERROR(VLOOKUP(RawTable[[#This Row],[Country]],EORMap[#All],3,FALSE),"")
)</f>
        <v>Oyster</v>
      </c>
    </row>
    <row r="110" spans="1:20">
      <c r="A110" s="24">
        <v>109</v>
      </c>
      <c r="B110" s="1" t="s">
        <v>35</v>
      </c>
      <c r="C110" s="3" t="s">
        <v>18</v>
      </c>
      <c r="D110" s="3" t="str">
        <f>IFERROR(VLOOKUP(RawTable[[#This Row],[Entity_Type]], EntityMap[], 2, FALSE), "")</f>
        <v>Payroll</v>
      </c>
      <c r="E110" s="3" t="s">
        <v>8</v>
      </c>
      <c r="F110" s="3" t="s">
        <v>89</v>
      </c>
      <c r="G110" s="3" t="str">
        <f>IFERROR(VLOOKUP(RawTable[[#This Row],[Name]], Name_Master!$A:$E, 4, FALSE), "")</f>
        <v>AE-IBAN-03313581</v>
      </c>
      <c r="H11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PAY-UAE-202601-000109</v>
      </c>
      <c r="I110" s="1">
        <f>IF(RawTable[[#This Row],[Month]]="","",DATE(YEAR(RawTable[[#This Row],[Month]]),MONTH(RawTable[[#This Row],[Month]]),1))</f>
        <v>46023</v>
      </c>
      <c r="J11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10" s="3" t="s">
        <v>9</v>
      </c>
      <c r="L110" s="4">
        <v>20116.8</v>
      </c>
      <c r="M110" s="2" t="str">
        <f>IF(RawTable[[#This Row],[Net_Amount]]="","",IF(RawTable[[#This Row],[Payment_Type]]="Vendor_Invoice","Yes","No"))</f>
        <v>No</v>
      </c>
      <c r="N110" s="6">
        <f>IF(D110="Vendor_Invoice",
     IFERROR(
         INDEX(System_Master_Data!$B$9:$B$14,
               MATCH(E110,System_Master_Data!$A$9:$A$14,0)
         ),
     0),
0)</f>
        <v>0</v>
      </c>
      <c r="O110" s="4">
        <f t="shared" si="2"/>
        <v>0</v>
      </c>
      <c r="P110" s="4">
        <f t="shared" si="3"/>
        <v>20116.8</v>
      </c>
      <c r="Q110" s="56">
        <f>IFERROR(VLOOKUP(RawTable[[#This Row],[Currency]], System_Master_Data!$A$24:$B$29, 2, FALSE), "")</f>
        <v>0.21065</v>
      </c>
      <c r="R110">
        <f>IF(RawTable[[#This Row],[Exchange_Rate]]="","",ROUND(RawTable[[#This Row],[Gross_Amount]]*RawTable[[#This Row],[Exchange_Rate]],2))</f>
        <v>4237.6000000000004</v>
      </c>
      <c r="S110" t="str">
        <f>IF(RawTable[[#This Row],[Entity_Type]]&lt;&gt;"Employee",RawTable[[#This Row],[Entity_Type]],
IF(RawTable[[#This Row],[Country]]="Switzerland","Direct","EOR")
)</f>
        <v>EOR</v>
      </c>
      <c r="T110" t="str">
        <f>IF(RawTable[[#This Row],[Employment_Model]]&lt;&gt;"EOR","",
IFERROR(VLOOKUP(RawTable[[#This Row],[Country]],EORMap[#All],3,FALSE),"")
)</f>
        <v>Deel</v>
      </c>
    </row>
    <row r="111" spans="1:20">
      <c r="A111" s="24">
        <v>110</v>
      </c>
      <c r="B111" s="1" t="s">
        <v>28</v>
      </c>
      <c r="C111" s="3" t="s">
        <v>18</v>
      </c>
      <c r="D111" s="3" t="str">
        <f>IFERROR(VLOOKUP(RawTable[[#This Row],[Entity_Type]], EntityMap[], 2, FALSE), "")</f>
        <v>Payroll</v>
      </c>
      <c r="E111" s="3" t="s">
        <v>4</v>
      </c>
      <c r="F111" s="3" t="s">
        <v>58</v>
      </c>
      <c r="G111" s="3" t="str">
        <f>IFERROR(VLOOKUP(RawTable[[#This Row],[Name]], Name_Master!$A:$E, 4, FALSE), "")</f>
        <v>CH930000000000740400</v>
      </c>
      <c r="H11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PAY-Germany-202602-000110</v>
      </c>
      <c r="I111" s="1">
        <f>IF(RawTable[[#This Row],[Month]]="","",DATE(YEAR(RawTable[[#This Row],[Month]]),MONTH(RawTable[[#This Row],[Month]]),1))</f>
        <v>46054</v>
      </c>
      <c r="J11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11" s="3" t="s">
        <v>5</v>
      </c>
      <c r="L111" s="4">
        <v>6178.2</v>
      </c>
      <c r="M111" s="2" t="str">
        <f>IF(RawTable[[#This Row],[Net_Amount]]="","",IF(RawTable[[#This Row],[Payment_Type]]="Vendor_Invoice","Yes","No"))</f>
        <v>No</v>
      </c>
      <c r="N111" s="6">
        <f>IF(D111="Vendor_Invoice",
     IFERROR(
         INDEX(System_Master_Data!$B$9:$B$14,
               MATCH(E111,System_Master_Data!$A$9:$A$14,0)
         ),
     0),
0)</f>
        <v>0</v>
      </c>
      <c r="O111" s="4">
        <f t="shared" si="2"/>
        <v>0</v>
      </c>
      <c r="P111" s="4">
        <f t="shared" si="3"/>
        <v>6178.2</v>
      </c>
      <c r="Q111" s="56">
        <f>IFERROR(VLOOKUP(RawTable[[#This Row],[Currency]], System_Master_Data!$A$24:$B$29, 2, FALSE), "")</f>
        <v>0.90888000000000002</v>
      </c>
      <c r="R111">
        <f>IF(RawTable[[#This Row],[Exchange_Rate]]="","",ROUND(RawTable[[#This Row],[Gross_Amount]]*RawTable[[#This Row],[Exchange_Rate]],2))</f>
        <v>5615.24</v>
      </c>
      <c r="S111" t="str">
        <f>IF(RawTable[[#This Row],[Entity_Type]]&lt;&gt;"Employee",RawTable[[#This Row],[Entity_Type]],
IF(RawTable[[#This Row],[Country]]="Switzerland","Direct","EOR")
)</f>
        <v>EOR</v>
      </c>
      <c r="T111" t="str">
        <f>IF(RawTable[[#This Row],[Employment_Model]]&lt;&gt;"EOR","",
IFERROR(VLOOKUP(RawTable[[#This Row],[Country]],EORMap[#All],3,FALSE),"")
)</f>
        <v>Oyster</v>
      </c>
    </row>
    <row r="112" spans="1:20">
      <c r="A112" s="24">
        <v>111</v>
      </c>
      <c r="B112" s="1" t="s">
        <v>35</v>
      </c>
      <c r="C112" s="3" t="s">
        <v>18</v>
      </c>
      <c r="D112" s="3" t="str">
        <f>IFERROR(VLOOKUP(RawTable[[#This Row],[Entity_Type]], EntityMap[], 2, FALSE), "")</f>
        <v>Payroll</v>
      </c>
      <c r="E112" s="3" t="s">
        <v>6</v>
      </c>
      <c r="F112" s="3" t="s">
        <v>79</v>
      </c>
      <c r="G112" s="3" t="str">
        <f>IFERROR(VLOOKUP(RawTable[[#This Row],[Name]], Name_Master!$A:$E, 4, FALSE), "")</f>
        <v>US-RT-000062934-AC-0000289578</v>
      </c>
      <c r="H11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PAY-USA-202601-000111</v>
      </c>
      <c r="I112" s="1">
        <f>IF(RawTable[[#This Row],[Month]]="","",DATE(YEAR(RawTable[[#This Row],[Month]]),MONTH(RawTable[[#This Row],[Month]]),1))</f>
        <v>46023</v>
      </c>
      <c r="J11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12" s="3" t="s">
        <v>7</v>
      </c>
      <c r="L112" s="4">
        <v>7259.18</v>
      </c>
      <c r="M112" s="2" t="str">
        <f>IF(RawTable[[#This Row],[Net_Amount]]="","",IF(RawTable[[#This Row],[Payment_Type]]="Vendor_Invoice","Yes","No"))</f>
        <v>No</v>
      </c>
      <c r="N112" s="6">
        <f>IF(D112="Vendor_Invoice",
     IFERROR(
         INDEX(System_Master_Data!$B$9:$B$14,
               MATCH(E112,System_Master_Data!$A$9:$A$14,0)
         ),
     0),
0)</f>
        <v>0</v>
      </c>
      <c r="O112" s="4">
        <f t="shared" si="2"/>
        <v>0</v>
      </c>
      <c r="P112" s="4">
        <f t="shared" si="3"/>
        <v>7259.18</v>
      </c>
      <c r="Q112" s="56">
        <f>IFERROR(VLOOKUP(RawTable[[#This Row],[Currency]], System_Master_Data!$A$24:$B$29, 2, FALSE), "")</f>
        <v>0.77017999999999998</v>
      </c>
      <c r="R112">
        <f>IF(RawTable[[#This Row],[Exchange_Rate]]="","",ROUND(RawTable[[#This Row],[Gross_Amount]]*RawTable[[#This Row],[Exchange_Rate]],2))</f>
        <v>5590.88</v>
      </c>
      <c r="S112" t="str">
        <f>IF(RawTable[[#This Row],[Entity_Type]]&lt;&gt;"Employee",RawTable[[#This Row],[Entity_Type]],
IF(RawTable[[#This Row],[Country]]="Switzerland","Direct","EOR")
)</f>
        <v>EOR</v>
      </c>
      <c r="T112" t="str">
        <f>IF(RawTable[[#This Row],[Employment_Model]]&lt;&gt;"EOR","",
IFERROR(VLOOKUP(RawTable[[#This Row],[Country]],EORMap[#All],3,FALSE),"")
)</f>
        <v>Remote</v>
      </c>
    </row>
    <row r="113" spans="1:20">
      <c r="A113" s="24">
        <v>112</v>
      </c>
      <c r="B113" s="1" t="s">
        <v>28</v>
      </c>
      <c r="C113" s="3" t="s">
        <v>18</v>
      </c>
      <c r="D113" s="3" t="str">
        <f>IFERROR(VLOOKUP(RawTable[[#This Row],[Entity_Type]], EntityMap[], 2, FALSE), "")</f>
        <v>Payroll</v>
      </c>
      <c r="E113" s="3" t="s">
        <v>2</v>
      </c>
      <c r="F113" s="3" t="s">
        <v>62</v>
      </c>
      <c r="G113" s="3" t="str">
        <f>IFERROR(VLOOKUP(RawTable[[#This Row],[Name]], Name_Master!$A:$E, 4, FALSE), "")</f>
        <v>US-RT-000041956-AC-0000193052</v>
      </c>
      <c r="H11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PAY-Switzerland-202602-000112</v>
      </c>
      <c r="I113" s="1">
        <f>IF(RawTable[[#This Row],[Month]]="","",DATE(YEAR(RawTable[[#This Row],[Month]]),MONTH(RawTable[[#This Row],[Month]]),1))</f>
        <v>46054</v>
      </c>
      <c r="J11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13" s="3" t="s">
        <v>3</v>
      </c>
      <c r="L113" s="4">
        <v>6942.55</v>
      </c>
      <c r="M113" s="2" t="str">
        <f>IF(RawTable[[#This Row],[Net_Amount]]="","",IF(RawTable[[#This Row],[Payment_Type]]="Vendor_Invoice","Yes","No"))</f>
        <v>No</v>
      </c>
      <c r="N113" s="6">
        <f>IF(D113="Vendor_Invoice",
     IFERROR(
         INDEX(System_Master_Data!$B$9:$B$14,
               MATCH(E113,System_Master_Data!$A$9:$A$14,0)
         ),
     0),
0)</f>
        <v>0</v>
      </c>
      <c r="O113" s="4">
        <f t="shared" si="2"/>
        <v>0</v>
      </c>
      <c r="P113" s="4">
        <f t="shared" si="3"/>
        <v>6942.55</v>
      </c>
      <c r="Q113" s="56">
        <f>IFERROR(VLOOKUP(RawTable[[#This Row],[Currency]], System_Master_Data!$A$24:$B$29, 2, FALSE), "")</f>
        <v>1</v>
      </c>
      <c r="R113">
        <f>IF(RawTable[[#This Row],[Exchange_Rate]]="","",ROUND(RawTable[[#This Row],[Gross_Amount]]*RawTable[[#This Row],[Exchange_Rate]],2))</f>
        <v>6942.55</v>
      </c>
      <c r="S113" t="str">
        <f>IF(RawTable[[#This Row],[Entity_Type]]&lt;&gt;"Employee",RawTable[[#This Row],[Entity_Type]],
IF(RawTable[[#This Row],[Country]]="Switzerland","Direct","EOR")
)</f>
        <v>Direct</v>
      </c>
      <c r="T113" t="str">
        <f>IF(RawTable[[#This Row],[Employment_Model]]&lt;&gt;"EOR","",
IFERROR(VLOOKUP(RawTable[[#This Row],[Country]],EORMap[#All],3,FALSE),"")
)</f>
        <v/>
      </c>
    </row>
    <row r="114" spans="1:20">
      <c r="A114" s="24">
        <v>113</v>
      </c>
      <c r="B114" s="1" t="s">
        <v>35</v>
      </c>
      <c r="C114" s="3" t="s">
        <v>18</v>
      </c>
      <c r="D114" s="3" t="str">
        <f>IFERROR(VLOOKUP(RawTable[[#This Row],[Entity_Type]], EntityMap[], 2, FALSE), "")</f>
        <v>Payroll</v>
      </c>
      <c r="E114" s="3" t="s">
        <v>6</v>
      </c>
      <c r="F114" s="3" t="s">
        <v>90</v>
      </c>
      <c r="G114" s="3" t="str">
        <f>IFERROR(VLOOKUP(RawTable[[#This Row],[Name]], Name_Master!$A:$E, 4, FALSE), "")</f>
        <v>US-RT-000076508-AC-0000352036</v>
      </c>
      <c r="H11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PAY-USA-202601-000113</v>
      </c>
      <c r="I114" s="1">
        <f>IF(RawTable[[#This Row],[Month]]="","",DATE(YEAR(RawTable[[#This Row],[Month]]),MONTH(RawTable[[#This Row],[Month]]),1))</f>
        <v>46023</v>
      </c>
      <c r="J11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14" s="3" t="s">
        <v>7</v>
      </c>
      <c r="L114" s="4">
        <v>6349.7</v>
      </c>
      <c r="M114" s="2" t="str">
        <f>IF(RawTable[[#This Row],[Net_Amount]]="","",IF(RawTable[[#This Row],[Payment_Type]]="Vendor_Invoice","Yes","No"))</f>
        <v>No</v>
      </c>
      <c r="N114" s="6">
        <f>IF(D114="Vendor_Invoice",
     IFERROR(
         INDEX(System_Master_Data!$B$9:$B$14,
               MATCH(E114,System_Master_Data!$A$9:$A$14,0)
         ),
     0),
0)</f>
        <v>0</v>
      </c>
      <c r="O114" s="4">
        <f t="shared" si="2"/>
        <v>0</v>
      </c>
      <c r="P114" s="4">
        <f t="shared" si="3"/>
        <v>6349.7</v>
      </c>
      <c r="Q114" s="56">
        <f>IFERROR(VLOOKUP(RawTable[[#This Row],[Currency]], System_Master_Data!$A$24:$B$29, 2, FALSE), "")</f>
        <v>0.77017999999999998</v>
      </c>
      <c r="R114">
        <f>IF(RawTable[[#This Row],[Exchange_Rate]]="","",ROUND(RawTable[[#This Row],[Gross_Amount]]*RawTable[[#This Row],[Exchange_Rate]],2))</f>
        <v>4890.41</v>
      </c>
      <c r="S114" t="str">
        <f>IF(RawTable[[#This Row],[Entity_Type]]&lt;&gt;"Employee",RawTable[[#This Row],[Entity_Type]],
IF(RawTable[[#This Row],[Country]]="Switzerland","Direct","EOR")
)</f>
        <v>EOR</v>
      </c>
      <c r="T114" t="str">
        <f>IF(RawTable[[#This Row],[Employment_Model]]&lt;&gt;"EOR","",
IFERROR(VLOOKUP(RawTable[[#This Row],[Country]],EORMap[#All],3,FALSE),"")
)</f>
        <v>Remote</v>
      </c>
    </row>
    <row r="115" spans="1:20">
      <c r="A115" s="24">
        <v>114</v>
      </c>
      <c r="B115" s="1" t="s">
        <v>30</v>
      </c>
      <c r="C115" s="3" t="s">
        <v>18</v>
      </c>
      <c r="D115" s="3" t="str">
        <f>IFERROR(VLOOKUP(RawTable[[#This Row],[Entity_Type]], EntityMap[], 2, FALSE), "")</f>
        <v>Payroll</v>
      </c>
      <c r="E115" s="3" t="s">
        <v>6</v>
      </c>
      <c r="F115" s="3" t="s">
        <v>68</v>
      </c>
      <c r="G115" s="3" t="str">
        <f>IFERROR(VLOOKUP(RawTable[[#This Row],[Name]], Name_Master!$A:$E, 4, FALSE), "")</f>
        <v>AE-IBAN-02172840</v>
      </c>
      <c r="H11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PAY-USA-202603-000114</v>
      </c>
      <c r="I115" s="1">
        <f>IF(RawTable[[#This Row],[Month]]="","",DATE(YEAR(RawTable[[#This Row],[Month]]),MONTH(RawTable[[#This Row],[Month]]),1))</f>
        <v>46082</v>
      </c>
      <c r="J11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15" s="3" t="s">
        <v>7</v>
      </c>
      <c r="L115" s="4">
        <v>7502.6</v>
      </c>
      <c r="M115" s="2" t="str">
        <f>IF(RawTable[[#This Row],[Net_Amount]]="","",IF(RawTable[[#This Row],[Payment_Type]]="Vendor_Invoice","Yes","No"))</f>
        <v>No</v>
      </c>
      <c r="N115" s="6">
        <f>IF(D115="Vendor_Invoice",
     IFERROR(
         INDEX(System_Master_Data!$B$9:$B$14,
               MATCH(E115,System_Master_Data!$A$9:$A$14,0)
         ),
     0),
0)</f>
        <v>0</v>
      </c>
      <c r="O115" s="4">
        <f t="shared" si="2"/>
        <v>0</v>
      </c>
      <c r="P115" s="4">
        <f t="shared" si="3"/>
        <v>7502.6</v>
      </c>
      <c r="Q115" s="56">
        <f>IFERROR(VLOOKUP(RawTable[[#This Row],[Currency]], System_Master_Data!$A$24:$B$29, 2, FALSE), "")</f>
        <v>0.77017999999999998</v>
      </c>
      <c r="R115">
        <f>IF(RawTable[[#This Row],[Exchange_Rate]]="","",ROUND(RawTable[[#This Row],[Gross_Amount]]*RawTable[[#This Row],[Exchange_Rate]],2))</f>
        <v>5778.35</v>
      </c>
      <c r="S115" t="str">
        <f>IF(RawTable[[#This Row],[Entity_Type]]&lt;&gt;"Employee",RawTable[[#This Row],[Entity_Type]],
IF(RawTable[[#This Row],[Country]]="Switzerland","Direct","EOR")
)</f>
        <v>EOR</v>
      </c>
      <c r="T115" t="str">
        <f>IF(RawTable[[#This Row],[Employment_Model]]&lt;&gt;"EOR","",
IFERROR(VLOOKUP(RawTable[[#This Row],[Country]],EORMap[#All],3,FALSE),"")
)</f>
        <v>Remote</v>
      </c>
    </row>
    <row r="116" spans="1:20">
      <c r="A116" s="24">
        <v>115</v>
      </c>
      <c r="B116" s="1" t="s">
        <v>30</v>
      </c>
      <c r="C116" s="3" t="s">
        <v>18</v>
      </c>
      <c r="D116" s="3" t="str">
        <f>IFERROR(VLOOKUP(RawTable[[#This Row],[Entity_Type]], EntityMap[], 2, FALSE), "")</f>
        <v>Payroll</v>
      </c>
      <c r="E116" s="3" t="s">
        <v>10</v>
      </c>
      <c r="F116" s="3" t="s">
        <v>91</v>
      </c>
      <c r="G116" s="3" t="str">
        <f>IFERROR(VLOOKUP(RawTable[[#This Row],[Name]], Name_Master!$A:$E, 4, FALSE), "")</f>
        <v>JO-IBAN-00777735</v>
      </c>
      <c r="H11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PAY-Jordan-202603-000115</v>
      </c>
      <c r="I116" s="1">
        <f>IF(RawTable[[#This Row],[Month]]="","",DATE(YEAR(RawTable[[#This Row],[Month]]),MONTH(RawTable[[#This Row],[Month]]),1))</f>
        <v>46082</v>
      </c>
      <c r="J11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16" s="3" t="s">
        <v>11</v>
      </c>
      <c r="L116" s="4">
        <v>1893.96</v>
      </c>
      <c r="M116" s="2" t="str">
        <f>IF(RawTable[[#This Row],[Net_Amount]]="","",IF(RawTable[[#This Row],[Payment_Type]]="Vendor_Invoice","Yes","No"))</f>
        <v>No</v>
      </c>
      <c r="N116" s="6">
        <f>IF(D116="Vendor_Invoice",
     IFERROR(
         INDEX(System_Master_Data!$B$9:$B$14,
               MATCH(E116,System_Master_Data!$A$9:$A$14,0)
         ),
     0),
0)</f>
        <v>0</v>
      </c>
      <c r="O116" s="4">
        <f t="shared" si="2"/>
        <v>0</v>
      </c>
      <c r="P116" s="4">
        <f t="shared" si="3"/>
        <v>1893.96</v>
      </c>
      <c r="Q116" s="56">
        <f>IFERROR(VLOOKUP(RawTable[[#This Row],[Currency]], System_Master_Data!$A$24:$B$29, 2, FALSE), "")</f>
        <v>1.08643</v>
      </c>
      <c r="R116">
        <f>IF(RawTable[[#This Row],[Exchange_Rate]]="","",ROUND(RawTable[[#This Row],[Gross_Amount]]*RawTable[[#This Row],[Exchange_Rate]],2))</f>
        <v>2057.65</v>
      </c>
      <c r="S116" t="str">
        <f>IF(RawTable[[#This Row],[Entity_Type]]&lt;&gt;"Employee",RawTable[[#This Row],[Entity_Type]],
IF(RawTable[[#This Row],[Country]]="Switzerland","Direct","EOR")
)</f>
        <v>EOR</v>
      </c>
      <c r="T116" t="str">
        <f>IF(RawTable[[#This Row],[Employment_Model]]&lt;&gt;"EOR","",
IFERROR(VLOOKUP(RawTable[[#This Row],[Country]],EORMap[#All],3,FALSE),"")
)</f>
        <v>Oyster</v>
      </c>
    </row>
    <row r="117" spans="1:20">
      <c r="A117" s="24">
        <v>116</v>
      </c>
      <c r="B117" s="1" t="s">
        <v>28</v>
      </c>
      <c r="C117" s="3" t="s">
        <v>18</v>
      </c>
      <c r="D117" s="3" t="str">
        <f>IFERROR(VLOOKUP(RawTable[[#This Row],[Entity_Type]], EntityMap[], 2, FALSE), "")</f>
        <v>Payroll</v>
      </c>
      <c r="E117" s="3" t="s">
        <v>10</v>
      </c>
      <c r="F117" s="3" t="s">
        <v>92</v>
      </c>
      <c r="G117" s="3" t="str">
        <f>IFERROR(VLOOKUP(RawTable[[#This Row],[Name]], Name_Master!$A:$E, 4, FALSE), "")</f>
        <v>JO-IBAN-00790080</v>
      </c>
      <c r="H11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PAY-Jordan-202602-000116</v>
      </c>
      <c r="I117" s="1">
        <f>IF(RawTable[[#This Row],[Month]]="","",DATE(YEAR(RawTable[[#This Row],[Month]]),MONTH(RawTable[[#This Row],[Month]]),1))</f>
        <v>46054</v>
      </c>
      <c r="J11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17" s="3" t="s">
        <v>11</v>
      </c>
      <c r="L117" s="4">
        <v>1734.66</v>
      </c>
      <c r="M117" s="2" t="str">
        <f>IF(RawTable[[#This Row],[Net_Amount]]="","",IF(RawTable[[#This Row],[Payment_Type]]="Vendor_Invoice","Yes","No"))</f>
        <v>No</v>
      </c>
      <c r="N117" s="6">
        <f>IF(D117="Vendor_Invoice",
     IFERROR(
         INDEX(System_Master_Data!$B$9:$B$14,
               MATCH(E117,System_Master_Data!$A$9:$A$14,0)
         ),
     0),
0)</f>
        <v>0</v>
      </c>
      <c r="O117" s="4">
        <f t="shared" si="2"/>
        <v>0</v>
      </c>
      <c r="P117" s="4">
        <f t="shared" si="3"/>
        <v>1734.66</v>
      </c>
      <c r="Q117" s="56">
        <f>IFERROR(VLOOKUP(RawTable[[#This Row],[Currency]], System_Master_Data!$A$24:$B$29, 2, FALSE), "")</f>
        <v>1.08643</v>
      </c>
      <c r="R117">
        <f>IF(RawTable[[#This Row],[Exchange_Rate]]="","",ROUND(RawTable[[#This Row],[Gross_Amount]]*RawTable[[#This Row],[Exchange_Rate]],2))</f>
        <v>1884.59</v>
      </c>
      <c r="S117" t="str">
        <f>IF(RawTable[[#This Row],[Entity_Type]]&lt;&gt;"Employee",RawTable[[#This Row],[Entity_Type]],
IF(RawTable[[#This Row],[Country]]="Switzerland","Direct","EOR")
)</f>
        <v>EOR</v>
      </c>
      <c r="T117" t="str">
        <f>IF(RawTable[[#This Row],[Employment_Model]]&lt;&gt;"EOR","",
IFERROR(VLOOKUP(RawTable[[#This Row],[Country]],EORMap[#All],3,FALSE),"")
)</f>
        <v>Oyster</v>
      </c>
    </row>
    <row r="118" spans="1:20">
      <c r="A118" s="24">
        <v>117</v>
      </c>
      <c r="B118" s="1" t="s">
        <v>28</v>
      </c>
      <c r="C118" s="3" t="s">
        <v>18</v>
      </c>
      <c r="D118" s="3" t="str">
        <f>IFERROR(VLOOKUP(RawTable[[#This Row],[Entity_Type]], EntityMap[], 2, FALSE), "")</f>
        <v>Payroll</v>
      </c>
      <c r="E118" s="3" t="s">
        <v>6</v>
      </c>
      <c r="F118" s="3" t="s">
        <v>86</v>
      </c>
      <c r="G118" s="3" t="str">
        <f>IFERROR(VLOOKUP(RawTable[[#This Row],[Name]], Name_Master!$A:$E, 4, FALSE), "")</f>
        <v>US-RT-000071572-AC-0000329324</v>
      </c>
      <c r="H11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PAY-USA-202602-000117</v>
      </c>
      <c r="I118" s="1">
        <f>IF(RawTable[[#This Row],[Month]]="","",DATE(YEAR(RawTable[[#This Row],[Month]]),MONTH(RawTable[[#This Row],[Month]]),1))</f>
        <v>46054</v>
      </c>
      <c r="J11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18" s="3" t="s">
        <v>7</v>
      </c>
      <c r="L118" s="4">
        <v>7590.27</v>
      </c>
      <c r="M118" s="2" t="str">
        <f>IF(RawTable[[#This Row],[Net_Amount]]="","",IF(RawTable[[#This Row],[Payment_Type]]="Vendor_Invoice","Yes","No"))</f>
        <v>No</v>
      </c>
      <c r="N118" s="6">
        <f>IF(D118="Vendor_Invoice",
     IFERROR(
         INDEX(System_Master_Data!$B$9:$B$14,
               MATCH(E118,System_Master_Data!$A$9:$A$14,0)
         ),
     0),
0)</f>
        <v>0</v>
      </c>
      <c r="O118" s="4">
        <f t="shared" si="2"/>
        <v>0</v>
      </c>
      <c r="P118" s="4">
        <f t="shared" si="3"/>
        <v>7590.27</v>
      </c>
      <c r="Q118" s="56">
        <f>IFERROR(VLOOKUP(RawTable[[#This Row],[Currency]], System_Master_Data!$A$24:$B$29, 2, FALSE), "")</f>
        <v>0.77017999999999998</v>
      </c>
      <c r="R118">
        <f>IF(RawTable[[#This Row],[Exchange_Rate]]="","",ROUND(RawTable[[#This Row],[Gross_Amount]]*RawTable[[#This Row],[Exchange_Rate]],2))</f>
        <v>5845.87</v>
      </c>
      <c r="S118" t="str">
        <f>IF(RawTable[[#This Row],[Entity_Type]]&lt;&gt;"Employee",RawTable[[#This Row],[Entity_Type]],
IF(RawTable[[#This Row],[Country]]="Switzerland","Direct","EOR")
)</f>
        <v>EOR</v>
      </c>
      <c r="T118" t="str">
        <f>IF(RawTable[[#This Row],[Employment_Model]]&lt;&gt;"EOR","",
IFERROR(VLOOKUP(RawTable[[#This Row],[Country]],EORMap[#All],3,FALSE),"")
)</f>
        <v>Remote</v>
      </c>
    </row>
    <row r="119" spans="1:20">
      <c r="A119" s="24">
        <v>118</v>
      </c>
      <c r="B119" s="1" t="s">
        <v>28</v>
      </c>
      <c r="C119" s="3" t="s">
        <v>18</v>
      </c>
      <c r="D119" s="3" t="str">
        <f>IFERROR(VLOOKUP(RawTable[[#This Row],[Entity_Type]], EntityMap[], 2, FALSE), "")</f>
        <v>Payroll</v>
      </c>
      <c r="E119" s="3" t="s">
        <v>6</v>
      </c>
      <c r="F119" s="3" t="s">
        <v>49</v>
      </c>
      <c r="G119" s="3" t="str">
        <f>IFERROR(VLOOKUP(RawTable[[#This Row],[Name]], Name_Master!$A:$E, 4, FALSE), "")</f>
        <v>CH930000000000518280</v>
      </c>
      <c r="H11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PAY-USA-202602-000118</v>
      </c>
      <c r="I119" s="1">
        <f>IF(RawTable[[#This Row],[Month]]="","",DATE(YEAR(RawTable[[#This Row],[Month]]),MONTH(RawTable[[#This Row],[Month]]),1))</f>
        <v>46054</v>
      </c>
      <c r="J11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19" s="3" t="s">
        <v>7</v>
      </c>
      <c r="L119" s="4">
        <v>6994.4</v>
      </c>
      <c r="M119" s="2" t="str">
        <f>IF(RawTable[[#This Row],[Net_Amount]]="","",IF(RawTable[[#This Row],[Payment_Type]]="Vendor_Invoice","Yes","No"))</f>
        <v>No</v>
      </c>
      <c r="N119" s="6">
        <f>IF(D119="Vendor_Invoice",
     IFERROR(
         INDEX(System_Master_Data!$B$9:$B$14,
               MATCH(E119,System_Master_Data!$A$9:$A$14,0)
         ),
     0),
0)</f>
        <v>0</v>
      </c>
      <c r="O119" s="4">
        <f t="shared" si="2"/>
        <v>0</v>
      </c>
      <c r="P119" s="4">
        <f t="shared" si="3"/>
        <v>6994.4</v>
      </c>
      <c r="Q119" s="56">
        <f>IFERROR(VLOOKUP(RawTable[[#This Row],[Currency]], System_Master_Data!$A$24:$B$29, 2, FALSE), "")</f>
        <v>0.77017999999999998</v>
      </c>
      <c r="R119">
        <f>IF(RawTable[[#This Row],[Exchange_Rate]]="","",ROUND(RawTable[[#This Row],[Gross_Amount]]*RawTable[[#This Row],[Exchange_Rate]],2))</f>
        <v>5386.95</v>
      </c>
      <c r="S119" t="str">
        <f>IF(RawTable[[#This Row],[Entity_Type]]&lt;&gt;"Employee",RawTable[[#This Row],[Entity_Type]],
IF(RawTable[[#This Row],[Country]]="Switzerland","Direct","EOR")
)</f>
        <v>EOR</v>
      </c>
      <c r="T119" t="str">
        <f>IF(RawTable[[#This Row],[Employment_Model]]&lt;&gt;"EOR","",
IFERROR(VLOOKUP(RawTable[[#This Row],[Country]],EORMap[#All],3,FALSE),"")
)</f>
        <v>Remote</v>
      </c>
    </row>
    <row r="120" spans="1:20">
      <c r="A120" s="24">
        <v>119</v>
      </c>
      <c r="B120" s="1" t="s">
        <v>28</v>
      </c>
      <c r="C120" s="3" t="s">
        <v>18</v>
      </c>
      <c r="D120" s="3" t="str">
        <f>IFERROR(VLOOKUP(RawTable[[#This Row],[Entity_Type]], EntityMap[], 2, FALSE), "")</f>
        <v>Payroll</v>
      </c>
      <c r="E120" s="3" t="s">
        <v>8</v>
      </c>
      <c r="F120" s="3" t="s">
        <v>40</v>
      </c>
      <c r="G120" s="3" t="str">
        <f>IFERROR(VLOOKUP(RawTable[[#This Row],[Name]], Name_Master!$A:$E, 4, FALSE), "")</f>
        <v>JO-IBAN-00148140</v>
      </c>
      <c r="H12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PAY-UAE-202602-000119</v>
      </c>
      <c r="I120" s="1">
        <f>IF(RawTable[[#This Row],[Month]]="","",DATE(YEAR(RawTable[[#This Row],[Month]]),MONTH(RawTable[[#This Row],[Month]]),1))</f>
        <v>46054</v>
      </c>
      <c r="J12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20" s="3" t="s">
        <v>9</v>
      </c>
      <c r="L120" s="4">
        <v>24098.799999999999</v>
      </c>
      <c r="M120" s="2" t="str">
        <f>IF(RawTable[[#This Row],[Net_Amount]]="","",IF(RawTable[[#This Row],[Payment_Type]]="Vendor_Invoice","Yes","No"))</f>
        <v>No</v>
      </c>
      <c r="N120" s="6">
        <f>IF(D120="Vendor_Invoice",
     IFERROR(
         INDEX(System_Master_Data!$B$9:$B$14,
               MATCH(E120,System_Master_Data!$A$9:$A$14,0)
         ),
     0),
0)</f>
        <v>0</v>
      </c>
      <c r="O120" s="4">
        <f t="shared" si="2"/>
        <v>0</v>
      </c>
      <c r="P120" s="4">
        <f t="shared" si="3"/>
        <v>24098.799999999999</v>
      </c>
      <c r="Q120" s="56">
        <f>IFERROR(VLOOKUP(RawTable[[#This Row],[Currency]], System_Master_Data!$A$24:$B$29, 2, FALSE), "")</f>
        <v>0.21065</v>
      </c>
      <c r="R120">
        <f>IF(RawTable[[#This Row],[Exchange_Rate]]="","",ROUND(RawTable[[#This Row],[Gross_Amount]]*RawTable[[#This Row],[Exchange_Rate]],2))</f>
        <v>5076.41</v>
      </c>
      <c r="S120" t="str">
        <f>IF(RawTable[[#This Row],[Entity_Type]]&lt;&gt;"Employee",RawTable[[#This Row],[Entity_Type]],
IF(RawTable[[#This Row],[Country]]="Switzerland","Direct","EOR")
)</f>
        <v>EOR</v>
      </c>
      <c r="T120" t="str">
        <f>IF(RawTable[[#This Row],[Employment_Model]]&lt;&gt;"EOR","",
IFERROR(VLOOKUP(RawTable[[#This Row],[Country]],EORMap[#All],3,FALSE),"")
)</f>
        <v>Deel</v>
      </c>
    </row>
    <row r="121" spans="1:20">
      <c r="A121" s="24">
        <v>120</v>
      </c>
      <c r="B121" s="1" t="s">
        <v>28</v>
      </c>
      <c r="C121" s="3" t="s">
        <v>18</v>
      </c>
      <c r="D121" s="3" t="str">
        <f>IFERROR(VLOOKUP(RawTable[[#This Row],[Entity_Type]], EntityMap[], 2, FALSE), "")</f>
        <v>Payroll</v>
      </c>
      <c r="E121" s="3" t="s">
        <v>10</v>
      </c>
      <c r="F121" s="3" t="s">
        <v>46</v>
      </c>
      <c r="G121" s="3" t="str">
        <f>IFERROR(VLOOKUP(RawTable[[#This Row],[Name]], Name_Master!$A:$E, 4, FALSE), "")</f>
        <v>CH930000000000444240</v>
      </c>
      <c r="H12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PAY-Jordan-202602-000120</v>
      </c>
      <c r="I121" s="1">
        <f>IF(RawTable[[#This Row],[Month]]="","",DATE(YEAR(RawTable[[#This Row],[Month]]),MONTH(RawTable[[#This Row],[Month]]),1))</f>
        <v>46054</v>
      </c>
      <c r="J12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21" s="3" t="s">
        <v>11</v>
      </c>
      <c r="L121" s="4">
        <v>1934.46</v>
      </c>
      <c r="M121" s="2" t="str">
        <f>IF(RawTable[[#This Row],[Net_Amount]]="","",IF(RawTable[[#This Row],[Payment_Type]]="Vendor_Invoice","Yes","No"))</f>
        <v>No</v>
      </c>
      <c r="N121" s="6">
        <f>IF(D121="Vendor_Invoice",
     IFERROR(
         INDEX(System_Master_Data!$B$9:$B$14,
               MATCH(E121,System_Master_Data!$A$9:$A$14,0)
         ),
     0),
0)</f>
        <v>0</v>
      </c>
      <c r="O121" s="4">
        <f t="shared" si="2"/>
        <v>0</v>
      </c>
      <c r="P121" s="4">
        <f t="shared" si="3"/>
        <v>1934.46</v>
      </c>
      <c r="Q121" s="56">
        <f>IFERROR(VLOOKUP(RawTable[[#This Row],[Currency]], System_Master_Data!$A$24:$B$29, 2, FALSE), "")</f>
        <v>1.08643</v>
      </c>
      <c r="R121">
        <f>IF(RawTable[[#This Row],[Exchange_Rate]]="","",ROUND(RawTable[[#This Row],[Gross_Amount]]*RawTable[[#This Row],[Exchange_Rate]],2))</f>
        <v>2101.66</v>
      </c>
      <c r="S121" t="str">
        <f>IF(RawTable[[#This Row],[Entity_Type]]&lt;&gt;"Employee",RawTable[[#This Row],[Entity_Type]],
IF(RawTable[[#This Row],[Country]]="Switzerland","Direct","EOR")
)</f>
        <v>EOR</v>
      </c>
      <c r="T121" t="str">
        <f>IF(RawTable[[#This Row],[Employment_Model]]&lt;&gt;"EOR","",
IFERROR(VLOOKUP(RawTable[[#This Row],[Country]],EORMap[#All],3,FALSE),"")
)</f>
        <v>Oyster</v>
      </c>
    </row>
    <row r="122" spans="1:20">
      <c r="A122" s="24">
        <v>121</v>
      </c>
      <c r="B122" s="1" t="s">
        <v>35</v>
      </c>
      <c r="C122" s="3" t="s">
        <v>18</v>
      </c>
      <c r="D122" s="3" t="str">
        <f>IFERROR(VLOOKUP(RawTable[[#This Row],[Entity_Type]], EntityMap[], 2, FALSE), "")</f>
        <v>Payroll</v>
      </c>
      <c r="E122" s="3" t="s">
        <v>8</v>
      </c>
      <c r="F122" s="3" t="s">
        <v>93</v>
      </c>
      <c r="G122" s="3" t="str">
        <f>IFERROR(VLOOKUP(RawTable[[#This Row],[Name]], Name_Master!$A:$E, 4, FALSE), "")</f>
        <v>AE-IBAN-03530865</v>
      </c>
      <c r="H12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PAY-UAE-202601-000121</v>
      </c>
      <c r="I122" s="1">
        <f>IF(RawTable[[#This Row],[Month]]="","",DATE(YEAR(RawTable[[#This Row],[Month]]),MONTH(RawTable[[#This Row],[Month]]),1))</f>
        <v>46023</v>
      </c>
      <c r="J12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22" s="3" t="s">
        <v>9</v>
      </c>
      <c r="L122" s="4">
        <v>24079</v>
      </c>
      <c r="M122" s="2" t="str">
        <f>IF(RawTable[[#This Row],[Net_Amount]]="","",IF(RawTable[[#This Row],[Payment_Type]]="Vendor_Invoice","Yes","No"))</f>
        <v>No</v>
      </c>
      <c r="N122" s="6">
        <f>IF(D122="Vendor_Invoice",
     IFERROR(
         INDEX(System_Master_Data!$B$9:$B$14,
               MATCH(E122,System_Master_Data!$A$9:$A$14,0)
         ),
     0),
0)</f>
        <v>0</v>
      </c>
      <c r="O122" s="4">
        <f t="shared" si="2"/>
        <v>0</v>
      </c>
      <c r="P122" s="4">
        <f t="shared" si="3"/>
        <v>24079</v>
      </c>
      <c r="Q122" s="56">
        <f>IFERROR(VLOOKUP(RawTable[[#This Row],[Currency]], System_Master_Data!$A$24:$B$29, 2, FALSE), "")</f>
        <v>0.21065</v>
      </c>
      <c r="R122">
        <f>IF(RawTable[[#This Row],[Exchange_Rate]]="","",ROUND(RawTable[[#This Row],[Gross_Amount]]*RawTable[[#This Row],[Exchange_Rate]],2))</f>
        <v>5072.24</v>
      </c>
      <c r="S122" t="str">
        <f>IF(RawTable[[#This Row],[Entity_Type]]&lt;&gt;"Employee",RawTable[[#This Row],[Entity_Type]],
IF(RawTable[[#This Row],[Country]]="Switzerland","Direct","EOR")
)</f>
        <v>EOR</v>
      </c>
      <c r="T122" t="str">
        <f>IF(RawTable[[#This Row],[Employment_Model]]&lt;&gt;"EOR","",
IFERROR(VLOOKUP(RawTable[[#This Row],[Country]],EORMap[#All],3,FALSE),"")
)</f>
        <v>Deel</v>
      </c>
    </row>
    <row r="123" spans="1:20">
      <c r="A123" s="24">
        <v>122</v>
      </c>
      <c r="B123" s="1" t="s">
        <v>28</v>
      </c>
      <c r="C123" s="3" t="s">
        <v>18</v>
      </c>
      <c r="D123" s="3" t="str">
        <f>IFERROR(VLOOKUP(RawTable[[#This Row],[Entity_Type]], EntityMap[], 2, FALSE), "")</f>
        <v>Payroll</v>
      </c>
      <c r="E123" s="3" t="s">
        <v>2</v>
      </c>
      <c r="F123" s="3" t="s">
        <v>74</v>
      </c>
      <c r="G123" s="3" t="str">
        <f>IFERROR(VLOOKUP(RawTable[[#This Row],[Name]], Name_Master!$A:$E, 4, FALSE), "")</f>
        <v>AE-IBAN-02498766</v>
      </c>
      <c r="H12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PAY-Switzerland-202602-000122</v>
      </c>
      <c r="I123" s="1">
        <f>IF(RawTable[[#This Row],[Month]]="","",DATE(YEAR(RawTable[[#This Row],[Month]]),MONTH(RawTable[[#This Row],[Month]]),1))</f>
        <v>46054</v>
      </c>
      <c r="J12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23" s="3" t="s">
        <v>3</v>
      </c>
      <c r="L123" s="4">
        <v>7033.65</v>
      </c>
      <c r="M123" s="2" t="str">
        <f>IF(RawTable[[#This Row],[Net_Amount]]="","",IF(RawTable[[#This Row],[Payment_Type]]="Vendor_Invoice","Yes","No"))</f>
        <v>No</v>
      </c>
      <c r="N123" s="6">
        <f>IF(D123="Vendor_Invoice",
     IFERROR(
         INDEX(System_Master_Data!$B$9:$B$14,
               MATCH(E123,System_Master_Data!$A$9:$A$14,0)
         ),
     0),
0)</f>
        <v>0</v>
      </c>
      <c r="O123" s="4">
        <f t="shared" si="2"/>
        <v>0</v>
      </c>
      <c r="P123" s="4">
        <f t="shared" si="3"/>
        <v>7033.65</v>
      </c>
      <c r="Q123" s="56">
        <f>IFERROR(VLOOKUP(RawTable[[#This Row],[Currency]], System_Master_Data!$A$24:$B$29, 2, FALSE), "")</f>
        <v>1</v>
      </c>
      <c r="R123">
        <f>IF(RawTable[[#This Row],[Exchange_Rate]]="","",ROUND(RawTable[[#This Row],[Gross_Amount]]*RawTable[[#This Row],[Exchange_Rate]],2))</f>
        <v>7033.65</v>
      </c>
      <c r="S123" t="str">
        <f>IF(RawTable[[#This Row],[Entity_Type]]&lt;&gt;"Employee",RawTable[[#This Row],[Entity_Type]],
IF(RawTable[[#This Row],[Country]]="Switzerland","Direct","EOR")
)</f>
        <v>Direct</v>
      </c>
      <c r="T123" t="str">
        <f>IF(RawTable[[#This Row],[Employment_Model]]&lt;&gt;"EOR","",
IFERROR(VLOOKUP(RawTable[[#This Row],[Country]],EORMap[#All],3,FALSE),"")
)</f>
        <v/>
      </c>
    </row>
    <row r="124" spans="1:20">
      <c r="A124" s="24">
        <v>123</v>
      </c>
      <c r="B124" s="1" t="s">
        <v>28</v>
      </c>
      <c r="C124" s="3" t="s">
        <v>18</v>
      </c>
      <c r="D124" s="3" t="str">
        <f>IFERROR(VLOOKUP(RawTable[[#This Row],[Entity_Type]], EntityMap[], 2, FALSE), "")</f>
        <v>Payroll</v>
      </c>
      <c r="E124" s="3" t="s">
        <v>10</v>
      </c>
      <c r="F124" s="3" t="s">
        <v>83</v>
      </c>
      <c r="G124" s="3" t="str">
        <f>IFERROR(VLOOKUP(RawTable[[#This Row],[Name]], Name_Master!$A:$E, 4, FALSE), "")</f>
        <v>DE890000000000746845</v>
      </c>
      <c r="H12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PAY-Jordan-202602-000123</v>
      </c>
      <c r="I124" s="1">
        <f>IF(RawTable[[#This Row],[Month]]="","",DATE(YEAR(RawTable[[#This Row],[Month]]),MONTH(RawTable[[#This Row],[Month]]),1))</f>
        <v>46054</v>
      </c>
      <c r="J12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24" s="3" t="s">
        <v>11</v>
      </c>
      <c r="L124" s="4">
        <v>1781.46</v>
      </c>
      <c r="M124" s="2" t="str">
        <f>IF(RawTable[[#This Row],[Net_Amount]]="","",IF(RawTable[[#This Row],[Payment_Type]]="Vendor_Invoice","Yes","No"))</f>
        <v>No</v>
      </c>
      <c r="N124" s="6">
        <f>IF(D124="Vendor_Invoice",
     IFERROR(
         INDEX(System_Master_Data!$B$9:$B$14,
               MATCH(E124,System_Master_Data!$A$9:$A$14,0)
         ),
     0),
0)</f>
        <v>0</v>
      </c>
      <c r="O124" s="4">
        <f t="shared" si="2"/>
        <v>0</v>
      </c>
      <c r="P124" s="4">
        <f t="shared" si="3"/>
        <v>1781.46</v>
      </c>
      <c r="Q124" s="56">
        <f>IFERROR(VLOOKUP(RawTable[[#This Row],[Currency]], System_Master_Data!$A$24:$B$29, 2, FALSE), "")</f>
        <v>1.08643</v>
      </c>
      <c r="R124">
        <f>IF(RawTable[[#This Row],[Exchange_Rate]]="","",ROUND(RawTable[[#This Row],[Gross_Amount]]*RawTable[[#This Row],[Exchange_Rate]],2))</f>
        <v>1935.43</v>
      </c>
      <c r="S124" t="str">
        <f>IF(RawTable[[#This Row],[Entity_Type]]&lt;&gt;"Employee",RawTable[[#This Row],[Entity_Type]],
IF(RawTable[[#This Row],[Country]]="Switzerland","Direct","EOR")
)</f>
        <v>EOR</v>
      </c>
      <c r="T124" t="str">
        <f>IF(RawTable[[#This Row],[Employment_Model]]&lt;&gt;"EOR","",
IFERROR(VLOOKUP(RawTable[[#This Row],[Country]],EORMap[#All],3,FALSE),"")
)</f>
        <v>Oyster</v>
      </c>
    </row>
    <row r="125" spans="1:20">
      <c r="A125" s="24">
        <v>124</v>
      </c>
      <c r="B125" s="1" t="s">
        <v>30</v>
      </c>
      <c r="C125" s="3" t="s">
        <v>18</v>
      </c>
      <c r="D125" s="3" t="str">
        <f>IFERROR(VLOOKUP(RawTable[[#This Row],[Entity_Type]], EntityMap[], 2, FALSE), "")</f>
        <v>Payroll</v>
      </c>
      <c r="E125" s="3" t="s">
        <v>2</v>
      </c>
      <c r="F125" s="3" t="s">
        <v>29</v>
      </c>
      <c r="G125" s="3" t="str">
        <f>IFERROR(VLOOKUP(RawTable[[#This Row],[Name]], Name_Master!$A:$E, 4, FALSE), "")</f>
        <v>US-RT-000003702-AC-0000017034</v>
      </c>
      <c r="H12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PAY-Switzerland-202603-000124</v>
      </c>
      <c r="I125" s="1">
        <f>IF(RawTable[[#This Row],[Month]]="","",DATE(YEAR(RawTable[[#This Row],[Month]]),MONTH(RawTable[[#This Row],[Month]]),1))</f>
        <v>46082</v>
      </c>
      <c r="J12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25" s="3" t="s">
        <v>3</v>
      </c>
      <c r="L125" s="4">
        <v>6521.45</v>
      </c>
      <c r="M125" s="2" t="str">
        <f>IF(RawTable[[#This Row],[Net_Amount]]="","",IF(RawTable[[#This Row],[Payment_Type]]="Vendor_Invoice","Yes","No"))</f>
        <v>No</v>
      </c>
      <c r="N125" s="6">
        <f>IF(D125="Vendor_Invoice",
     IFERROR(
         INDEX(System_Master_Data!$B$9:$B$14,
               MATCH(E125,System_Master_Data!$A$9:$A$14,0)
         ),
     0),
0)</f>
        <v>0</v>
      </c>
      <c r="O125" s="4">
        <f t="shared" si="2"/>
        <v>0</v>
      </c>
      <c r="P125" s="4">
        <f t="shared" si="3"/>
        <v>6521.45</v>
      </c>
      <c r="Q125" s="56">
        <f>IFERROR(VLOOKUP(RawTable[[#This Row],[Currency]], System_Master_Data!$A$24:$B$29, 2, FALSE), "")</f>
        <v>1</v>
      </c>
      <c r="R125">
        <f>IF(RawTable[[#This Row],[Exchange_Rate]]="","",ROUND(RawTable[[#This Row],[Gross_Amount]]*RawTable[[#This Row],[Exchange_Rate]],2))</f>
        <v>6521.45</v>
      </c>
      <c r="S125" t="str">
        <f>IF(RawTable[[#This Row],[Entity_Type]]&lt;&gt;"Employee",RawTable[[#This Row],[Entity_Type]],
IF(RawTable[[#This Row],[Country]]="Switzerland","Direct","EOR")
)</f>
        <v>Direct</v>
      </c>
      <c r="T125" t="str">
        <f>IF(RawTable[[#This Row],[Employment_Model]]&lt;&gt;"EOR","",
IFERROR(VLOOKUP(RawTable[[#This Row],[Country]],EORMap[#All],3,FALSE),"")
)</f>
        <v/>
      </c>
    </row>
    <row r="126" spans="1:20">
      <c r="A126" s="24">
        <v>125</v>
      </c>
      <c r="B126" s="1" t="s">
        <v>35</v>
      </c>
      <c r="C126" s="3" t="s">
        <v>18</v>
      </c>
      <c r="D126" s="3" t="str">
        <f>IFERROR(VLOOKUP(RawTable[[#This Row],[Entity_Type]], EntityMap[], 2, FALSE), "")</f>
        <v>Payroll</v>
      </c>
      <c r="E126" s="3" t="s">
        <v>2</v>
      </c>
      <c r="F126" s="3" t="s">
        <v>40</v>
      </c>
      <c r="G126" s="3" t="str">
        <f>IFERROR(VLOOKUP(RawTable[[#This Row],[Name]], Name_Master!$A:$E, 4, FALSE), "")</f>
        <v>JO-IBAN-00148140</v>
      </c>
      <c r="H12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PAY-Switzerland-202601-000125</v>
      </c>
      <c r="I126" s="1">
        <f>IF(RawTable[[#This Row],[Month]]="","",DATE(YEAR(RawTable[[#This Row],[Month]]),MONTH(RawTable[[#This Row],[Month]]),1))</f>
        <v>46023</v>
      </c>
      <c r="J12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26" s="3" t="s">
        <v>3</v>
      </c>
      <c r="L126" s="4">
        <v>7120.1</v>
      </c>
      <c r="M126" s="2" t="str">
        <f>IF(RawTable[[#This Row],[Net_Amount]]="","",IF(RawTable[[#This Row],[Payment_Type]]="Vendor_Invoice","Yes","No"))</f>
        <v>No</v>
      </c>
      <c r="N126" s="6">
        <f>IF(D126="Vendor_Invoice",
     IFERROR(
         INDEX(System_Master_Data!$B$9:$B$14,
               MATCH(E126,System_Master_Data!$A$9:$A$14,0)
         ),
     0),
0)</f>
        <v>0</v>
      </c>
      <c r="O126" s="4">
        <f t="shared" si="2"/>
        <v>0</v>
      </c>
      <c r="P126" s="4">
        <f t="shared" si="3"/>
        <v>7120.1</v>
      </c>
      <c r="Q126" s="56">
        <f>IFERROR(VLOOKUP(RawTable[[#This Row],[Currency]], System_Master_Data!$A$24:$B$29, 2, FALSE), "")</f>
        <v>1</v>
      </c>
      <c r="R126">
        <f>IF(RawTable[[#This Row],[Exchange_Rate]]="","",ROUND(RawTable[[#This Row],[Gross_Amount]]*RawTable[[#This Row],[Exchange_Rate]],2))</f>
        <v>7120.1</v>
      </c>
      <c r="S126" t="str">
        <f>IF(RawTable[[#This Row],[Entity_Type]]&lt;&gt;"Employee",RawTable[[#This Row],[Entity_Type]],
IF(RawTable[[#This Row],[Country]]="Switzerland","Direct","EOR")
)</f>
        <v>Direct</v>
      </c>
      <c r="T126" t="str">
        <f>IF(RawTable[[#This Row],[Employment_Model]]&lt;&gt;"EOR","",
IFERROR(VLOOKUP(RawTable[[#This Row],[Country]],EORMap[#All],3,FALSE),"")
)</f>
        <v/>
      </c>
    </row>
    <row r="127" spans="1:20">
      <c r="A127" s="24">
        <v>126</v>
      </c>
      <c r="B127" s="1" t="s">
        <v>28</v>
      </c>
      <c r="C127" s="3" t="s">
        <v>18</v>
      </c>
      <c r="D127" s="3" t="str">
        <f>IFERROR(VLOOKUP(RawTable[[#This Row],[Entity_Type]], EntityMap[], 2, FALSE), "")</f>
        <v>Payroll</v>
      </c>
      <c r="E127" s="3" t="s">
        <v>2</v>
      </c>
      <c r="F127" s="3" t="s">
        <v>94</v>
      </c>
      <c r="G127" s="3" t="str">
        <f>IFERROR(VLOOKUP(RawTable[[#This Row],[Name]], Name_Master!$A:$E, 4, FALSE), "")</f>
        <v>CH930000000001628880</v>
      </c>
      <c r="H12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PAY-Switzerland-202602-000126</v>
      </c>
      <c r="I127" s="1">
        <f>IF(RawTable[[#This Row],[Month]]="","",DATE(YEAR(RawTable[[#This Row],[Month]]),MONTH(RawTable[[#This Row],[Month]]),1))</f>
        <v>46054</v>
      </c>
      <c r="J12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27" s="3" t="s">
        <v>3</v>
      </c>
      <c r="L127" s="4">
        <v>6279</v>
      </c>
      <c r="M127" s="2" t="str">
        <f>IF(RawTable[[#This Row],[Net_Amount]]="","",IF(RawTable[[#This Row],[Payment_Type]]="Vendor_Invoice","Yes","No"))</f>
        <v>No</v>
      </c>
      <c r="N127" s="6">
        <f>IF(D127="Vendor_Invoice",
     IFERROR(
         INDEX(System_Master_Data!$B$9:$B$14,
               MATCH(E127,System_Master_Data!$A$9:$A$14,0)
         ),
     0),
0)</f>
        <v>0</v>
      </c>
      <c r="O127" s="4">
        <f t="shared" si="2"/>
        <v>0</v>
      </c>
      <c r="P127" s="4">
        <f t="shared" si="3"/>
        <v>6279</v>
      </c>
      <c r="Q127" s="56">
        <f>IFERROR(VLOOKUP(RawTable[[#This Row],[Currency]], System_Master_Data!$A$24:$B$29, 2, FALSE), "")</f>
        <v>1</v>
      </c>
      <c r="R127">
        <f>IF(RawTable[[#This Row],[Exchange_Rate]]="","",ROUND(RawTable[[#This Row],[Gross_Amount]]*RawTable[[#This Row],[Exchange_Rate]],2))</f>
        <v>6279</v>
      </c>
      <c r="S127" t="str">
        <f>IF(RawTable[[#This Row],[Entity_Type]]&lt;&gt;"Employee",RawTable[[#This Row],[Entity_Type]],
IF(RawTable[[#This Row],[Country]]="Switzerland","Direct","EOR")
)</f>
        <v>Direct</v>
      </c>
      <c r="T127" t="str">
        <f>IF(RawTable[[#This Row],[Employment_Model]]&lt;&gt;"EOR","",
IFERROR(VLOOKUP(RawTable[[#This Row],[Country]],EORMap[#All],3,FALSE),"")
)</f>
        <v/>
      </c>
    </row>
    <row r="128" spans="1:20">
      <c r="A128" s="24">
        <v>127</v>
      </c>
      <c r="B128" s="1" t="s">
        <v>35</v>
      </c>
      <c r="C128" s="3" t="s">
        <v>18</v>
      </c>
      <c r="D128" s="3" t="str">
        <f>IFERROR(VLOOKUP(RawTable[[#This Row],[Entity_Type]], EntityMap[], 2, FALSE), "")</f>
        <v>Payroll</v>
      </c>
      <c r="E128" s="3" t="s">
        <v>4</v>
      </c>
      <c r="F128" s="3" t="s">
        <v>44</v>
      </c>
      <c r="G128" s="3" t="str">
        <f>IFERROR(VLOOKUP(RawTable[[#This Row],[Name]], Name_Master!$A:$E, 4, FALSE), "")</f>
        <v>AE-IBAN-00869136</v>
      </c>
      <c r="H12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PAY-Germany-202601-000127</v>
      </c>
      <c r="I128" s="1">
        <f>IF(RawTable[[#This Row],[Month]]="","",DATE(YEAR(RawTable[[#This Row],[Month]]),MONTH(RawTable[[#This Row],[Month]]),1))</f>
        <v>46023</v>
      </c>
      <c r="J12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28" s="3" t="s">
        <v>5</v>
      </c>
      <c r="L128" s="4">
        <v>6599.12</v>
      </c>
      <c r="M128" s="2" t="str">
        <f>IF(RawTable[[#This Row],[Net_Amount]]="","",IF(RawTable[[#This Row],[Payment_Type]]="Vendor_Invoice","Yes","No"))</f>
        <v>No</v>
      </c>
      <c r="N128" s="6">
        <f>IF(D128="Vendor_Invoice",
     IFERROR(
         INDEX(System_Master_Data!$B$9:$B$14,
               MATCH(E128,System_Master_Data!$A$9:$A$14,0)
         ),
     0),
0)</f>
        <v>0</v>
      </c>
      <c r="O128" s="4">
        <f t="shared" si="2"/>
        <v>0</v>
      </c>
      <c r="P128" s="4">
        <f t="shared" si="3"/>
        <v>6599.12</v>
      </c>
      <c r="Q128" s="56">
        <f>IFERROR(VLOOKUP(RawTable[[#This Row],[Currency]], System_Master_Data!$A$24:$B$29, 2, FALSE), "")</f>
        <v>0.90888000000000002</v>
      </c>
      <c r="R128">
        <f>IF(RawTable[[#This Row],[Exchange_Rate]]="","",ROUND(RawTable[[#This Row],[Gross_Amount]]*RawTable[[#This Row],[Exchange_Rate]],2))</f>
        <v>5997.81</v>
      </c>
      <c r="S128" t="str">
        <f>IF(RawTable[[#This Row],[Entity_Type]]&lt;&gt;"Employee",RawTable[[#This Row],[Entity_Type]],
IF(RawTable[[#This Row],[Country]]="Switzerland","Direct","EOR")
)</f>
        <v>EOR</v>
      </c>
      <c r="T128" t="str">
        <f>IF(RawTable[[#This Row],[Employment_Model]]&lt;&gt;"EOR","",
IFERROR(VLOOKUP(RawTable[[#This Row],[Country]],EORMap[#All],3,FALSE),"")
)</f>
        <v>Oyster</v>
      </c>
    </row>
    <row r="129" spans="1:20">
      <c r="A129" s="24">
        <v>128</v>
      </c>
      <c r="B129" s="1" t="s">
        <v>35</v>
      </c>
      <c r="C129" s="3" t="s">
        <v>18</v>
      </c>
      <c r="D129" s="3" t="str">
        <f>IFERROR(VLOOKUP(RawTable[[#This Row],[Entity_Type]], EntityMap[], 2, FALSE), "")</f>
        <v>Payroll</v>
      </c>
      <c r="E129" s="3" t="s">
        <v>10</v>
      </c>
      <c r="F129" s="3" t="s">
        <v>95</v>
      </c>
      <c r="G129" s="3" t="str">
        <f>IFERROR(VLOOKUP(RawTable[[#This Row],[Name]], Name_Master!$A:$E, 4, FALSE), "")</f>
        <v>JO-IBAN-00827115</v>
      </c>
      <c r="H12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PAY-Jordan-202601-000128</v>
      </c>
      <c r="I129" s="1">
        <f>IF(RawTable[[#This Row],[Month]]="","",DATE(YEAR(RawTable[[#This Row],[Month]]),MONTH(RawTable[[#This Row],[Month]]),1))</f>
        <v>46023</v>
      </c>
      <c r="J12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29" s="3" t="s">
        <v>11</v>
      </c>
      <c r="L129" s="4">
        <v>1760.58</v>
      </c>
      <c r="M129" s="2" t="str">
        <f>IF(RawTable[[#This Row],[Net_Amount]]="","",IF(RawTable[[#This Row],[Payment_Type]]="Vendor_Invoice","Yes","No"))</f>
        <v>No</v>
      </c>
      <c r="N129" s="6">
        <f>IF(D129="Vendor_Invoice",
     IFERROR(
         INDEX(System_Master_Data!$B$9:$B$14,
               MATCH(E129,System_Master_Data!$A$9:$A$14,0)
         ),
     0),
0)</f>
        <v>0</v>
      </c>
      <c r="O129" s="4">
        <f t="shared" si="2"/>
        <v>0</v>
      </c>
      <c r="P129" s="4">
        <f t="shared" si="3"/>
        <v>1760.58</v>
      </c>
      <c r="Q129" s="56">
        <f>IFERROR(VLOOKUP(RawTable[[#This Row],[Currency]], System_Master_Data!$A$24:$B$29, 2, FALSE), "")</f>
        <v>1.08643</v>
      </c>
      <c r="R129">
        <f>IF(RawTable[[#This Row],[Exchange_Rate]]="","",ROUND(RawTable[[#This Row],[Gross_Amount]]*RawTable[[#This Row],[Exchange_Rate]],2))</f>
        <v>1912.75</v>
      </c>
      <c r="S129" t="str">
        <f>IF(RawTable[[#This Row],[Entity_Type]]&lt;&gt;"Employee",RawTable[[#This Row],[Entity_Type]],
IF(RawTable[[#This Row],[Country]]="Switzerland","Direct","EOR")
)</f>
        <v>EOR</v>
      </c>
      <c r="T129" t="str">
        <f>IF(RawTable[[#This Row],[Employment_Model]]&lt;&gt;"EOR","",
IFERROR(VLOOKUP(RawTable[[#This Row],[Country]],EORMap[#All],3,FALSE),"")
)</f>
        <v>Oyster</v>
      </c>
    </row>
    <row r="130" spans="1:20">
      <c r="A130" s="24">
        <v>129</v>
      </c>
      <c r="B130" s="1" t="s">
        <v>28</v>
      </c>
      <c r="C130" s="3" t="s">
        <v>18</v>
      </c>
      <c r="D130" s="3" t="str">
        <f>IFERROR(VLOOKUP(RawTable[[#This Row],[Entity_Type]], EntityMap[], 2, FALSE), "")</f>
        <v>Payroll</v>
      </c>
      <c r="E130" s="3" t="s">
        <v>6</v>
      </c>
      <c r="F130" s="3" t="s">
        <v>96</v>
      </c>
      <c r="G130" s="3" t="str">
        <f>IFERROR(VLOOKUP(RawTable[[#This Row],[Name]], Name_Master!$A:$E, 4, FALSE), "")</f>
        <v>US-RT-000083912-AC-0000386104</v>
      </c>
      <c r="H13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PAY-USA-202602-000129</v>
      </c>
      <c r="I130" s="1">
        <f>IF(RawTable[[#This Row],[Month]]="","",DATE(YEAR(RawTable[[#This Row],[Month]]),MONTH(RawTable[[#This Row],[Month]]),1))</f>
        <v>46054</v>
      </c>
      <c r="J13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30" s="3" t="s">
        <v>7</v>
      </c>
      <c r="L130" s="4">
        <v>7618.8</v>
      </c>
      <c r="M130" s="2" t="str">
        <f>IF(RawTable[[#This Row],[Net_Amount]]="","",IF(RawTable[[#This Row],[Payment_Type]]="Vendor_Invoice","Yes","No"))</f>
        <v>No</v>
      </c>
      <c r="N130" s="6">
        <f>IF(D130="Vendor_Invoice",
     IFERROR(
         INDEX(System_Master_Data!$B$9:$B$14,
               MATCH(E130,System_Master_Data!$A$9:$A$14,0)
         ),
     0),
0)</f>
        <v>0</v>
      </c>
      <c r="O130" s="4">
        <f t="shared" ref="O130:O193" si="4">N130*L130</f>
        <v>0</v>
      </c>
      <c r="P130" s="4">
        <f t="shared" ref="P130:P193" si="5">O130+L130</f>
        <v>7618.8</v>
      </c>
      <c r="Q130" s="56">
        <f>IFERROR(VLOOKUP(RawTable[[#This Row],[Currency]], System_Master_Data!$A$24:$B$29, 2, FALSE), "")</f>
        <v>0.77017999999999998</v>
      </c>
      <c r="R130">
        <f>IF(RawTable[[#This Row],[Exchange_Rate]]="","",ROUND(RawTable[[#This Row],[Gross_Amount]]*RawTable[[#This Row],[Exchange_Rate]],2))</f>
        <v>5867.85</v>
      </c>
      <c r="S130" t="str">
        <f>IF(RawTable[[#This Row],[Entity_Type]]&lt;&gt;"Employee",RawTable[[#This Row],[Entity_Type]],
IF(RawTable[[#This Row],[Country]]="Switzerland","Direct","EOR")
)</f>
        <v>EOR</v>
      </c>
      <c r="T130" t="str">
        <f>IF(RawTable[[#This Row],[Employment_Model]]&lt;&gt;"EOR","",
IFERROR(VLOOKUP(RawTable[[#This Row],[Country]],EORMap[#All],3,FALSE),"")
)</f>
        <v>Remote</v>
      </c>
    </row>
    <row r="131" spans="1:20">
      <c r="A131" s="24">
        <v>130</v>
      </c>
      <c r="B131" s="1" t="s">
        <v>28</v>
      </c>
      <c r="C131" s="3" t="s">
        <v>18</v>
      </c>
      <c r="D131" s="3" t="str">
        <f>IFERROR(VLOOKUP(RawTable[[#This Row],[Entity_Type]], EntityMap[], 2, FALSE), "")</f>
        <v>Payroll</v>
      </c>
      <c r="E131" s="3" t="s">
        <v>2</v>
      </c>
      <c r="F131" s="3" t="s">
        <v>46</v>
      </c>
      <c r="G131" s="3" t="str">
        <f>IFERROR(VLOOKUP(RawTable[[#This Row],[Name]], Name_Master!$A:$E, 4, FALSE), "")</f>
        <v>CH930000000000444240</v>
      </c>
      <c r="H13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PAY-Switzerland-202602-000130</v>
      </c>
      <c r="I131" s="1">
        <f>IF(RawTable[[#This Row],[Month]]="","",DATE(YEAR(RawTable[[#This Row],[Month]]),MONTH(RawTable[[#This Row],[Month]]),1))</f>
        <v>46054</v>
      </c>
      <c r="J13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31" s="3" t="s">
        <v>3</v>
      </c>
      <c r="L131" s="4">
        <v>7090.33</v>
      </c>
      <c r="M131" s="2" t="str">
        <f>IF(RawTable[[#This Row],[Net_Amount]]="","",IF(RawTable[[#This Row],[Payment_Type]]="Vendor_Invoice","Yes","No"))</f>
        <v>No</v>
      </c>
      <c r="N131" s="6">
        <f>IF(D131="Vendor_Invoice",
     IFERROR(
         INDEX(System_Master_Data!$B$9:$B$14,
               MATCH(E131,System_Master_Data!$A$9:$A$14,0)
         ),
     0),
0)</f>
        <v>0</v>
      </c>
      <c r="O131" s="4">
        <f t="shared" si="4"/>
        <v>0</v>
      </c>
      <c r="P131" s="4">
        <f t="shared" si="5"/>
        <v>7090.33</v>
      </c>
      <c r="Q131" s="56">
        <f>IFERROR(VLOOKUP(RawTable[[#This Row],[Currency]], System_Master_Data!$A$24:$B$29, 2, FALSE), "")</f>
        <v>1</v>
      </c>
      <c r="R131">
        <f>IF(RawTable[[#This Row],[Exchange_Rate]]="","",ROUND(RawTable[[#This Row],[Gross_Amount]]*RawTable[[#This Row],[Exchange_Rate]],2))</f>
        <v>7090.33</v>
      </c>
      <c r="S131" t="str">
        <f>IF(RawTable[[#This Row],[Entity_Type]]&lt;&gt;"Employee",RawTable[[#This Row],[Entity_Type]],
IF(RawTable[[#This Row],[Country]]="Switzerland","Direct","EOR")
)</f>
        <v>Direct</v>
      </c>
      <c r="T131" t="str">
        <f>IF(RawTable[[#This Row],[Employment_Model]]&lt;&gt;"EOR","",
IFERROR(VLOOKUP(RawTable[[#This Row],[Country]],EORMap[#All],3,FALSE),"")
)</f>
        <v/>
      </c>
    </row>
    <row r="132" spans="1:20">
      <c r="A132" s="24">
        <v>131</v>
      </c>
      <c r="B132" s="1" t="s">
        <v>30</v>
      </c>
      <c r="C132" s="3" t="s">
        <v>18</v>
      </c>
      <c r="D132" s="3" t="str">
        <f>IFERROR(VLOOKUP(RawTable[[#This Row],[Entity_Type]], EntityMap[], 2, FALSE), "")</f>
        <v>Payroll</v>
      </c>
      <c r="E132" s="3" t="s">
        <v>6</v>
      </c>
      <c r="F132" s="3" t="s">
        <v>84</v>
      </c>
      <c r="G132" s="3" t="str">
        <f>IFERROR(VLOOKUP(RawTable[[#This Row],[Name]], Name_Master!$A:$E, 4, FALSE), "")</f>
        <v>CH930000000001382080</v>
      </c>
      <c r="H13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PAY-USA-202603-000131</v>
      </c>
      <c r="I132" s="1">
        <f>IF(RawTable[[#This Row],[Month]]="","",DATE(YEAR(RawTable[[#This Row],[Month]]),MONTH(RawTable[[#This Row],[Month]]),1))</f>
        <v>46082</v>
      </c>
      <c r="J13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32" s="3" t="s">
        <v>7</v>
      </c>
      <c r="L132" s="4">
        <v>6871.25</v>
      </c>
      <c r="M132" s="2" t="str">
        <f>IF(RawTable[[#This Row],[Net_Amount]]="","",IF(RawTable[[#This Row],[Payment_Type]]="Vendor_Invoice","Yes","No"))</f>
        <v>No</v>
      </c>
      <c r="N132" s="6">
        <f>IF(D132="Vendor_Invoice",
     IFERROR(
         INDEX(System_Master_Data!$B$9:$B$14,
               MATCH(E132,System_Master_Data!$A$9:$A$14,0)
         ),
     0),
0)</f>
        <v>0</v>
      </c>
      <c r="O132" s="4">
        <f t="shared" si="4"/>
        <v>0</v>
      </c>
      <c r="P132" s="4">
        <f t="shared" si="5"/>
        <v>6871.25</v>
      </c>
      <c r="Q132" s="56">
        <f>IFERROR(VLOOKUP(RawTable[[#This Row],[Currency]], System_Master_Data!$A$24:$B$29, 2, FALSE), "")</f>
        <v>0.77017999999999998</v>
      </c>
      <c r="R132">
        <f>IF(RawTable[[#This Row],[Exchange_Rate]]="","",ROUND(RawTable[[#This Row],[Gross_Amount]]*RawTable[[#This Row],[Exchange_Rate]],2))</f>
        <v>5292.1</v>
      </c>
      <c r="S132" t="str">
        <f>IF(RawTable[[#This Row],[Entity_Type]]&lt;&gt;"Employee",RawTable[[#This Row],[Entity_Type]],
IF(RawTable[[#This Row],[Country]]="Switzerland","Direct","EOR")
)</f>
        <v>EOR</v>
      </c>
      <c r="T132" t="str">
        <f>IF(RawTable[[#This Row],[Employment_Model]]&lt;&gt;"EOR","",
IFERROR(VLOOKUP(RawTable[[#This Row],[Country]],EORMap[#All],3,FALSE),"")
)</f>
        <v>Remote</v>
      </c>
    </row>
    <row r="133" spans="1:20">
      <c r="A133" s="24">
        <v>132</v>
      </c>
      <c r="B133" s="1" t="s">
        <v>35</v>
      </c>
      <c r="C133" s="3" t="s">
        <v>18</v>
      </c>
      <c r="D133" s="3" t="str">
        <f>IFERROR(VLOOKUP(RawTable[[#This Row],[Entity_Type]], EntityMap[], 2, FALSE), "")</f>
        <v>Payroll</v>
      </c>
      <c r="E133" s="3" t="s">
        <v>6</v>
      </c>
      <c r="F133" s="3" t="s">
        <v>97</v>
      </c>
      <c r="G133" s="3" t="str">
        <f>IFERROR(VLOOKUP(RawTable[[#This Row],[Name]], Name_Master!$A:$E, 4, FALSE), "")</f>
        <v>US-RT-000085146-AC-0000391782</v>
      </c>
      <c r="H13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PAY-USA-202601-000132</v>
      </c>
      <c r="I133" s="1">
        <f>IF(RawTable[[#This Row],[Month]]="","",DATE(YEAR(RawTable[[#This Row],[Month]]),MONTH(RawTable[[#This Row],[Month]]),1))</f>
        <v>46023</v>
      </c>
      <c r="J13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L133" s="4">
        <v>6836.9</v>
      </c>
      <c r="M133" s="2" t="str">
        <f>IF(RawTable[[#This Row],[Net_Amount]]="","",IF(RawTable[[#This Row],[Payment_Type]]="Vendor_Invoice","Yes","No"))</f>
        <v>No</v>
      </c>
      <c r="N133" s="6">
        <f>IF(D133="Vendor_Invoice",
     IFERROR(
         INDEX(System_Master_Data!$B$9:$B$14,
               MATCH(E133,System_Master_Data!$A$9:$A$14,0)
         ),
     0),
0)</f>
        <v>0</v>
      </c>
      <c r="O133" s="4">
        <f t="shared" si="4"/>
        <v>0</v>
      </c>
      <c r="P133" s="4">
        <f t="shared" si="5"/>
        <v>6836.9</v>
      </c>
      <c r="Q133" s="56" t="str">
        <f>IFERROR(VLOOKUP(RawTable[[#This Row],[Currency]], System_Master_Data!$A$24:$B$29, 2, FALSE), "")</f>
        <v/>
      </c>
      <c r="R133" t="str">
        <f>IF(RawTable[[#This Row],[Exchange_Rate]]="","",ROUND(RawTable[[#This Row],[Gross_Amount]]*RawTable[[#This Row],[Exchange_Rate]],2))</f>
        <v/>
      </c>
      <c r="S133" t="str">
        <f>IF(RawTable[[#This Row],[Entity_Type]]&lt;&gt;"Employee",RawTable[[#This Row],[Entity_Type]],
IF(RawTable[[#This Row],[Country]]="Switzerland","Direct","EOR")
)</f>
        <v>EOR</v>
      </c>
      <c r="T133" t="str">
        <f>IF(RawTable[[#This Row],[Employment_Model]]&lt;&gt;"EOR","",
IFERROR(VLOOKUP(RawTable[[#This Row],[Country]],EORMap[#All],3,FALSE),"")
)</f>
        <v>Remote</v>
      </c>
    </row>
    <row r="134" spans="1:20">
      <c r="A134" s="24">
        <v>133</v>
      </c>
      <c r="B134" s="1" t="s">
        <v>35</v>
      </c>
      <c r="C134" s="3" t="s">
        <v>18</v>
      </c>
      <c r="D134" s="3" t="str">
        <f>IFERROR(VLOOKUP(RawTable[[#This Row],[Entity_Type]], EntityMap[], 2, FALSE), "")</f>
        <v>Payroll</v>
      </c>
      <c r="E134" s="3" t="s">
        <v>10</v>
      </c>
      <c r="F134" s="3" t="s">
        <v>48</v>
      </c>
      <c r="G134" s="3" t="str">
        <f>IFERROR(VLOOKUP(RawTable[[#This Row],[Name]], Name_Master!$A:$E, 4, FALSE), "")</f>
        <v>US-RT-000024680-AC-0000113560</v>
      </c>
      <c r="H13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PAY-Jordan-202601-000133</v>
      </c>
      <c r="I134" s="1">
        <f>IF(RawTable[[#This Row],[Month]]="","",DATE(YEAR(RawTable[[#This Row],[Month]]),MONTH(RawTable[[#This Row],[Month]]),1))</f>
        <v>46023</v>
      </c>
      <c r="J13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34" s="3" t="s">
        <v>11</v>
      </c>
      <c r="L134" s="4">
        <v>1919.34</v>
      </c>
      <c r="M134" s="2" t="str">
        <f>IF(RawTable[[#This Row],[Net_Amount]]="","",IF(RawTable[[#This Row],[Payment_Type]]="Vendor_Invoice","Yes","No"))</f>
        <v>No</v>
      </c>
      <c r="N134" s="6">
        <f>IF(D134="Vendor_Invoice",
     IFERROR(
         INDEX(System_Master_Data!$B$9:$B$14,
               MATCH(E134,System_Master_Data!$A$9:$A$14,0)
         ),
     0),
0)</f>
        <v>0</v>
      </c>
      <c r="O134" s="4">
        <f t="shared" si="4"/>
        <v>0</v>
      </c>
      <c r="P134" s="4">
        <f t="shared" si="5"/>
        <v>1919.34</v>
      </c>
      <c r="Q134" s="56">
        <f>IFERROR(VLOOKUP(RawTable[[#This Row],[Currency]], System_Master_Data!$A$24:$B$29, 2, FALSE), "")</f>
        <v>1.08643</v>
      </c>
      <c r="R134">
        <f>IF(RawTable[[#This Row],[Exchange_Rate]]="","",ROUND(RawTable[[#This Row],[Gross_Amount]]*RawTable[[#This Row],[Exchange_Rate]],2))</f>
        <v>2085.23</v>
      </c>
      <c r="S134" t="str">
        <f>IF(RawTable[[#This Row],[Entity_Type]]&lt;&gt;"Employee",RawTable[[#This Row],[Entity_Type]],
IF(RawTable[[#This Row],[Country]]="Switzerland","Direct","EOR")
)</f>
        <v>EOR</v>
      </c>
      <c r="T134" t="str">
        <f>IF(RawTable[[#This Row],[Employment_Model]]&lt;&gt;"EOR","",
IFERROR(VLOOKUP(RawTable[[#This Row],[Country]],EORMap[#All],3,FALSE),"")
)</f>
        <v>Oyster</v>
      </c>
    </row>
    <row r="135" spans="1:20">
      <c r="A135" s="24">
        <v>134</v>
      </c>
      <c r="B135" s="1" t="s">
        <v>35</v>
      </c>
      <c r="C135" s="3" t="s">
        <v>18</v>
      </c>
      <c r="D135" s="3" t="str">
        <f>IFERROR(VLOOKUP(RawTable[[#This Row],[Entity_Type]], EntityMap[], 2, FALSE), "")</f>
        <v>Payroll</v>
      </c>
      <c r="E135" s="3" t="s">
        <v>10</v>
      </c>
      <c r="F135" s="3" t="s">
        <v>60</v>
      </c>
      <c r="G135" s="3" t="str">
        <f>IFERROR(VLOOKUP(RawTable[[#This Row],[Name]], Name_Master!$A:$E, 4, FALSE), "")</f>
        <v>AE-IBAN-01738272</v>
      </c>
      <c r="H13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PAY-Jordan-202601-000134</v>
      </c>
      <c r="I135" s="1">
        <f>IF(RawTable[[#This Row],[Month]]="","",DATE(YEAR(RawTable[[#This Row],[Month]]),MONTH(RawTable[[#This Row],[Month]]),1))</f>
        <v>46023</v>
      </c>
      <c r="J13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35" s="3" t="s">
        <v>11</v>
      </c>
      <c r="L135" s="4">
        <v>1697.58</v>
      </c>
      <c r="M135" s="2" t="str">
        <f>IF(RawTable[[#This Row],[Net_Amount]]="","",IF(RawTable[[#This Row],[Payment_Type]]="Vendor_Invoice","Yes","No"))</f>
        <v>No</v>
      </c>
      <c r="N135" s="6">
        <f>IF(D135="Vendor_Invoice",
     IFERROR(
         INDEX(System_Master_Data!$B$9:$B$14,
               MATCH(E135,System_Master_Data!$A$9:$A$14,0)
         ),
     0),
0)</f>
        <v>0</v>
      </c>
      <c r="O135" s="4">
        <f t="shared" si="4"/>
        <v>0</v>
      </c>
      <c r="P135" s="4">
        <f t="shared" si="5"/>
        <v>1697.58</v>
      </c>
      <c r="Q135" s="56">
        <f>IFERROR(VLOOKUP(RawTable[[#This Row],[Currency]], System_Master_Data!$A$24:$B$29, 2, FALSE), "")</f>
        <v>1.08643</v>
      </c>
      <c r="R135">
        <f>IF(RawTable[[#This Row],[Exchange_Rate]]="","",ROUND(RawTable[[#This Row],[Gross_Amount]]*RawTable[[#This Row],[Exchange_Rate]],2))</f>
        <v>1844.3</v>
      </c>
      <c r="S135" t="str">
        <f>IF(RawTable[[#This Row],[Entity_Type]]&lt;&gt;"Employee",RawTable[[#This Row],[Entity_Type]],
IF(RawTable[[#This Row],[Country]]="Switzerland","Direct","EOR")
)</f>
        <v>EOR</v>
      </c>
      <c r="T135" t="str">
        <f>IF(RawTable[[#This Row],[Employment_Model]]&lt;&gt;"EOR","",
IFERROR(VLOOKUP(RawTable[[#This Row],[Country]],EORMap[#All],3,FALSE),"")
)</f>
        <v>Oyster</v>
      </c>
    </row>
    <row r="136" spans="1:20">
      <c r="A136" s="24">
        <v>135</v>
      </c>
      <c r="B136" s="1" t="s">
        <v>35</v>
      </c>
      <c r="C136" s="3" t="s">
        <v>18</v>
      </c>
      <c r="D136" s="3" t="str">
        <f>IFERROR(VLOOKUP(RawTable[[#This Row],[Entity_Type]], EntityMap[], 2, FALSE), "")</f>
        <v>Payroll</v>
      </c>
      <c r="E136" s="3" t="s">
        <v>6</v>
      </c>
      <c r="F136" s="3" t="s">
        <v>48</v>
      </c>
      <c r="G136" s="3" t="str">
        <f>IFERROR(VLOOKUP(RawTable[[#This Row],[Name]], Name_Master!$A:$E, 4, FALSE), "")</f>
        <v>US-RT-000024680-AC-0000113560</v>
      </c>
      <c r="H13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PAY-USA-202601-000135</v>
      </c>
      <c r="I136" s="1">
        <f>IF(RawTable[[#This Row],[Month]]="","",DATE(YEAR(RawTable[[#This Row],[Month]]),MONTH(RawTable[[#This Row],[Month]]),1))</f>
        <v>46023</v>
      </c>
      <c r="J13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36" s="3" t="s">
        <v>7</v>
      </c>
      <c r="L136" s="4">
        <v>7689.7</v>
      </c>
      <c r="M136" s="2" t="str">
        <f>IF(RawTable[[#This Row],[Net_Amount]]="","",IF(RawTable[[#This Row],[Payment_Type]]="Vendor_Invoice","Yes","No"))</f>
        <v>No</v>
      </c>
      <c r="N136" s="6">
        <f>IF(D136="Vendor_Invoice",
     IFERROR(
         INDEX(System_Master_Data!$B$9:$B$14,
               MATCH(E136,System_Master_Data!$A$9:$A$14,0)
         ),
     0),
0)</f>
        <v>0</v>
      </c>
      <c r="O136" s="4">
        <f t="shared" si="4"/>
        <v>0</v>
      </c>
      <c r="P136" s="4">
        <f t="shared" si="5"/>
        <v>7689.7</v>
      </c>
      <c r="Q136" s="56">
        <f>IFERROR(VLOOKUP(RawTable[[#This Row],[Currency]], System_Master_Data!$A$24:$B$29, 2, FALSE), "")</f>
        <v>0.77017999999999998</v>
      </c>
      <c r="R136">
        <f>IF(RawTable[[#This Row],[Exchange_Rate]]="","",ROUND(RawTable[[#This Row],[Gross_Amount]]*RawTable[[#This Row],[Exchange_Rate]],2))</f>
        <v>5922.45</v>
      </c>
      <c r="S136" t="str">
        <f>IF(RawTable[[#This Row],[Entity_Type]]&lt;&gt;"Employee",RawTable[[#This Row],[Entity_Type]],
IF(RawTable[[#This Row],[Country]]="Switzerland","Direct","EOR")
)</f>
        <v>EOR</v>
      </c>
      <c r="T136" t="str">
        <f>IF(RawTable[[#This Row],[Employment_Model]]&lt;&gt;"EOR","",
IFERROR(VLOOKUP(RawTable[[#This Row],[Country]],EORMap[#All],3,FALSE),"")
)</f>
        <v>Remote</v>
      </c>
    </row>
    <row r="137" spans="1:20">
      <c r="A137" s="24">
        <v>136</v>
      </c>
      <c r="B137" s="1" t="s">
        <v>35</v>
      </c>
      <c r="C137" s="3" t="s">
        <v>18</v>
      </c>
      <c r="D137" s="3" t="str">
        <f>IFERROR(VLOOKUP(RawTable[[#This Row],[Entity_Type]], EntityMap[], 2, FALSE), "")</f>
        <v>Payroll</v>
      </c>
      <c r="E137" s="3" t="s">
        <v>4</v>
      </c>
      <c r="F137" s="3" t="s">
        <v>86</v>
      </c>
      <c r="G137" s="3" t="str">
        <f>IFERROR(VLOOKUP(RawTable[[#This Row],[Name]], Name_Master!$A:$E, 4, FALSE), "")</f>
        <v>US-RT-000071572-AC-0000329324</v>
      </c>
      <c r="H13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PAY-Germany-202601-000136</v>
      </c>
      <c r="I137" s="1">
        <f>IF(RawTable[[#This Row],[Month]]="","",DATE(YEAR(RawTable[[#This Row],[Month]]),MONTH(RawTable[[#This Row],[Month]]),1))</f>
        <v>46023</v>
      </c>
      <c r="J13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37" s="3" t="s">
        <v>5</v>
      </c>
      <c r="L137" s="4">
        <v>6409.8</v>
      </c>
      <c r="M137" s="2" t="str">
        <f>IF(RawTable[[#This Row],[Net_Amount]]="","",IF(RawTable[[#This Row],[Payment_Type]]="Vendor_Invoice","Yes","No"))</f>
        <v>No</v>
      </c>
      <c r="N137" s="6">
        <f>IF(D137="Vendor_Invoice",
     IFERROR(
         INDEX(System_Master_Data!$B$9:$B$14,
               MATCH(E137,System_Master_Data!$A$9:$A$14,0)
         ),
     0),
0)</f>
        <v>0</v>
      </c>
      <c r="O137" s="4">
        <f t="shared" si="4"/>
        <v>0</v>
      </c>
      <c r="P137" s="4">
        <f t="shared" si="5"/>
        <v>6409.8</v>
      </c>
      <c r="Q137" s="56">
        <f>IFERROR(VLOOKUP(RawTable[[#This Row],[Currency]], System_Master_Data!$A$24:$B$29, 2, FALSE), "")</f>
        <v>0.90888000000000002</v>
      </c>
      <c r="R137">
        <f>IF(RawTable[[#This Row],[Exchange_Rate]]="","",ROUND(RawTable[[#This Row],[Gross_Amount]]*RawTable[[#This Row],[Exchange_Rate]],2))</f>
        <v>5825.74</v>
      </c>
      <c r="S137" t="str">
        <f>IF(RawTable[[#This Row],[Entity_Type]]&lt;&gt;"Employee",RawTable[[#This Row],[Entity_Type]],
IF(RawTable[[#This Row],[Country]]="Switzerland","Direct","EOR")
)</f>
        <v>EOR</v>
      </c>
      <c r="T137" t="str">
        <f>IF(RawTable[[#This Row],[Employment_Model]]&lt;&gt;"EOR","",
IFERROR(VLOOKUP(RawTable[[#This Row],[Country]],EORMap[#All],3,FALSE),"")
)</f>
        <v>Oyster</v>
      </c>
    </row>
    <row r="138" spans="1:20">
      <c r="A138" s="24">
        <v>137</v>
      </c>
      <c r="B138" s="1" t="s">
        <v>30</v>
      </c>
      <c r="C138" s="3" t="s">
        <v>18</v>
      </c>
      <c r="D138" s="3" t="str">
        <f>IFERROR(VLOOKUP(RawTable[[#This Row],[Entity_Type]], EntityMap[], 2, FALSE), "")</f>
        <v>Payroll</v>
      </c>
      <c r="E138" s="3" t="s">
        <v>4</v>
      </c>
      <c r="F138" s="3" t="s">
        <v>82</v>
      </c>
      <c r="G138" s="3" t="str">
        <f>IFERROR(VLOOKUP(RawTable[[#This Row],[Name]], Name_Master!$A:$E, 4, FALSE), "")</f>
        <v>US-RT-000066636-AC-0000306612</v>
      </c>
      <c r="H13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PAY-Germany-202603-000137</v>
      </c>
      <c r="I138" s="1">
        <f>IF(RawTable[[#This Row],[Month]]="","",DATE(YEAR(RawTable[[#This Row],[Month]]),MONTH(RawTable[[#This Row],[Month]]),1))</f>
        <v>46082</v>
      </c>
      <c r="J13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38" s="3" t="s">
        <v>5</v>
      </c>
      <c r="L138" s="4">
        <v>6326.4</v>
      </c>
      <c r="M138" s="2" t="str">
        <f>IF(RawTable[[#This Row],[Net_Amount]]="","",IF(RawTable[[#This Row],[Payment_Type]]="Vendor_Invoice","Yes","No"))</f>
        <v>No</v>
      </c>
      <c r="N138" s="6">
        <f>IF(D138="Vendor_Invoice",
     IFERROR(
         INDEX(System_Master_Data!$B$9:$B$14,
               MATCH(E138,System_Master_Data!$A$9:$A$14,0)
         ),
     0),
0)</f>
        <v>0</v>
      </c>
      <c r="O138" s="4">
        <f t="shared" si="4"/>
        <v>0</v>
      </c>
      <c r="P138" s="4">
        <f t="shared" si="5"/>
        <v>6326.4</v>
      </c>
      <c r="Q138" s="56">
        <f>IFERROR(VLOOKUP(RawTable[[#This Row],[Currency]], System_Master_Data!$A$24:$B$29, 2, FALSE), "")</f>
        <v>0.90888000000000002</v>
      </c>
      <c r="R138">
        <f>IF(RawTable[[#This Row],[Exchange_Rate]]="","",ROUND(RawTable[[#This Row],[Gross_Amount]]*RawTable[[#This Row],[Exchange_Rate]],2))</f>
        <v>5749.94</v>
      </c>
      <c r="S138" t="str">
        <f>IF(RawTable[[#This Row],[Entity_Type]]&lt;&gt;"Employee",RawTable[[#This Row],[Entity_Type]],
IF(RawTable[[#This Row],[Country]]="Switzerland","Direct","EOR")
)</f>
        <v>EOR</v>
      </c>
      <c r="T138" t="str">
        <f>IF(RawTable[[#This Row],[Employment_Model]]&lt;&gt;"EOR","",
IFERROR(VLOOKUP(RawTable[[#This Row],[Country]],EORMap[#All],3,FALSE),"")
)</f>
        <v>Oyster</v>
      </c>
    </row>
    <row r="139" spans="1:20">
      <c r="A139" s="24">
        <v>138</v>
      </c>
      <c r="B139" s="1" t="s">
        <v>30</v>
      </c>
      <c r="C139" s="3" t="s">
        <v>18</v>
      </c>
      <c r="D139" s="3" t="str">
        <f>IFERROR(VLOOKUP(RawTable[[#This Row],[Entity_Type]], EntityMap[], 2, FALSE), "")</f>
        <v>Payroll</v>
      </c>
      <c r="E139" s="3" t="s">
        <v>8</v>
      </c>
      <c r="F139" s="3" t="s">
        <v>33</v>
      </c>
      <c r="G139" s="3" t="str">
        <f>IFERROR(VLOOKUP(RawTable[[#This Row],[Name]], Name_Master!$A:$E, 4, FALSE), "")</f>
        <v>DE890000000000081474</v>
      </c>
      <c r="H13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PAY-UAE-202603-000138</v>
      </c>
      <c r="I139" s="1">
        <f>IF(RawTable[[#This Row],[Month]]="","",DATE(YEAR(RawTable[[#This Row],[Month]]),MONTH(RawTable[[#This Row],[Month]]),1))</f>
        <v>46082</v>
      </c>
      <c r="J13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39" s="3" t="s">
        <v>9</v>
      </c>
      <c r="L139" s="4">
        <v>20002.400000000001</v>
      </c>
      <c r="M139" s="2" t="str">
        <f>IF(RawTable[[#This Row],[Net_Amount]]="","",IF(RawTable[[#This Row],[Payment_Type]]="Vendor_Invoice","Yes","No"))</f>
        <v>No</v>
      </c>
      <c r="N139" s="6">
        <f>IF(D139="Vendor_Invoice",
     IFERROR(
         INDEX(System_Master_Data!$B$9:$B$14,
               MATCH(E139,System_Master_Data!$A$9:$A$14,0)
         ),
     0),
0)</f>
        <v>0</v>
      </c>
      <c r="O139" s="4">
        <f t="shared" si="4"/>
        <v>0</v>
      </c>
      <c r="P139" s="4">
        <f t="shared" si="5"/>
        <v>20002.400000000001</v>
      </c>
      <c r="Q139" s="56">
        <f>IFERROR(VLOOKUP(RawTable[[#This Row],[Currency]], System_Master_Data!$A$24:$B$29, 2, FALSE), "")</f>
        <v>0.21065</v>
      </c>
      <c r="R139">
        <f>IF(RawTable[[#This Row],[Exchange_Rate]]="","",ROUND(RawTable[[#This Row],[Gross_Amount]]*RawTable[[#This Row],[Exchange_Rate]],2))</f>
        <v>4213.51</v>
      </c>
      <c r="S139" t="str">
        <f>IF(RawTable[[#This Row],[Entity_Type]]&lt;&gt;"Employee",RawTable[[#This Row],[Entity_Type]],
IF(RawTable[[#This Row],[Country]]="Switzerland","Direct","EOR")
)</f>
        <v>EOR</v>
      </c>
      <c r="T139" t="str">
        <f>IF(RawTable[[#This Row],[Employment_Model]]&lt;&gt;"EOR","",
IFERROR(VLOOKUP(RawTable[[#This Row],[Country]],EORMap[#All],3,FALSE),"")
)</f>
        <v>Deel</v>
      </c>
    </row>
    <row r="140" spans="1:20">
      <c r="A140" s="24">
        <v>139</v>
      </c>
      <c r="B140" s="1" t="s">
        <v>35</v>
      </c>
      <c r="C140" s="3" t="s">
        <v>18</v>
      </c>
      <c r="D140" s="3" t="str">
        <f>IFERROR(VLOOKUP(RawTable[[#This Row],[Entity_Type]], EntityMap[], 2, FALSE), "")</f>
        <v>Payroll</v>
      </c>
      <c r="E140" s="3" t="s">
        <v>4</v>
      </c>
      <c r="F140" s="3" t="s">
        <v>98</v>
      </c>
      <c r="G140" s="3" t="str">
        <f>IFERROR(VLOOKUP(RawTable[[#This Row],[Name]], Name_Master!$A:$E, 4, FALSE), "")</f>
        <v>DE890000000000950530</v>
      </c>
      <c r="H14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PAY-Germany-202601-000139</v>
      </c>
      <c r="I140" s="1">
        <f>IF(RawTable[[#This Row],[Month]]="","",DATE(YEAR(RawTable[[#This Row],[Month]]),MONTH(RawTable[[#This Row],[Month]]),1))</f>
        <v>46023</v>
      </c>
      <c r="J14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40" s="3" t="s">
        <v>5</v>
      </c>
      <c r="L140" s="4">
        <v>5796</v>
      </c>
      <c r="M140" s="2" t="str">
        <f>IF(RawTable[[#This Row],[Net_Amount]]="","",IF(RawTable[[#This Row],[Payment_Type]]="Vendor_Invoice","Yes","No"))</f>
        <v>No</v>
      </c>
      <c r="N140" s="6">
        <f>IF(D140="Vendor_Invoice",
     IFERROR(
         INDEX(System_Master_Data!$B$9:$B$14,
               MATCH(E140,System_Master_Data!$A$9:$A$14,0)
         ),
     0),
0)</f>
        <v>0</v>
      </c>
      <c r="O140" s="4">
        <f t="shared" si="4"/>
        <v>0</v>
      </c>
      <c r="P140" s="4">
        <f t="shared" si="5"/>
        <v>5796</v>
      </c>
      <c r="Q140" s="56">
        <f>IFERROR(VLOOKUP(RawTable[[#This Row],[Currency]], System_Master_Data!$A$24:$B$29, 2, FALSE), "")</f>
        <v>0.90888000000000002</v>
      </c>
      <c r="R140">
        <f>IF(RawTable[[#This Row],[Exchange_Rate]]="","",ROUND(RawTable[[#This Row],[Gross_Amount]]*RawTable[[#This Row],[Exchange_Rate]],2))</f>
        <v>5267.87</v>
      </c>
      <c r="S140" t="str">
        <f>IF(RawTable[[#This Row],[Entity_Type]]&lt;&gt;"Employee",RawTable[[#This Row],[Entity_Type]],
IF(RawTable[[#This Row],[Country]]="Switzerland","Direct","EOR")
)</f>
        <v>EOR</v>
      </c>
      <c r="T140" t="str">
        <f>IF(RawTable[[#This Row],[Employment_Model]]&lt;&gt;"EOR","",
IFERROR(VLOOKUP(RawTable[[#This Row],[Country]],EORMap[#All],3,FALSE),"")
)</f>
        <v>Oyster</v>
      </c>
    </row>
    <row r="141" spans="1:20">
      <c r="A141" s="24">
        <v>140</v>
      </c>
      <c r="B141" s="1" t="s">
        <v>28</v>
      </c>
      <c r="C141" s="3" t="s">
        <v>18</v>
      </c>
      <c r="D141" s="3" t="str">
        <f>IFERROR(VLOOKUP(RawTable[[#This Row],[Entity_Type]], EntityMap[], 2, FALSE), "")</f>
        <v>Payroll</v>
      </c>
      <c r="E141" s="3" t="s">
        <v>2</v>
      </c>
      <c r="F141" s="3" t="s">
        <v>99</v>
      </c>
      <c r="G141" s="3" t="str">
        <f>IFERROR(VLOOKUP(RawTable[[#This Row],[Name]], Name_Master!$A:$E, 4, FALSE), "")</f>
        <v>CH930000000001752280</v>
      </c>
      <c r="H14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PAY-Switzerland-202602-000140</v>
      </c>
      <c r="I141" s="1">
        <f>IF(RawTable[[#This Row],[Month]]="","",DATE(YEAR(RawTable[[#This Row],[Month]]),MONTH(RawTable[[#This Row],[Month]]),1))</f>
        <v>46054</v>
      </c>
      <c r="J14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41" s="3" t="s">
        <v>3</v>
      </c>
      <c r="L141" s="4">
        <v>6481.8</v>
      </c>
      <c r="M141" s="2" t="str">
        <f>IF(RawTable[[#This Row],[Net_Amount]]="","",IF(RawTable[[#This Row],[Payment_Type]]="Vendor_Invoice","Yes","No"))</f>
        <v>No</v>
      </c>
      <c r="N141" s="6">
        <f>IF(D141="Vendor_Invoice",
     IFERROR(
         INDEX(System_Master_Data!$B$9:$B$14,
               MATCH(E141,System_Master_Data!$A$9:$A$14,0)
         ),
     0),
0)</f>
        <v>0</v>
      </c>
      <c r="O141" s="4">
        <f t="shared" si="4"/>
        <v>0</v>
      </c>
      <c r="P141" s="4">
        <f t="shared" si="5"/>
        <v>6481.8</v>
      </c>
      <c r="Q141" s="56">
        <f>IFERROR(VLOOKUP(RawTable[[#This Row],[Currency]], System_Master_Data!$A$24:$B$29, 2, FALSE), "")</f>
        <v>1</v>
      </c>
      <c r="R141">
        <f>IF(RawTable[[#This Row],[Exchange_Rate]]="","",ROUND(RawTable[[#This Row],[Gross_Amount]]*RawTable[[#This Row],[Exchange_Rate]],2))</f>
        <v>6481.8</v>
      </c>
      <c r="S141" t="str">
        <f>IF(RawTable[[#This Row],[Entity_Type]]&lt;&gt;"Employee",RawTable[[#This Row],[Entity_Type]],
IF(RawTable[[#This Row],[Country]]="Switzerland","Direct","EOR")
)</f>
        <v>Direct</v>
      </c>
      <c r="T141" t="str">
        <f>IF(RawTable[[#This Row],[Employment_Model]]&lt;&gt;"EOR","",
IFERROR(VLOOKUP(RawTable[[#This Row],[Country]],EORMap[#All],3,FALSE),"")
)</f>
        <v/>
      </c>
    </row>
    <row r="142" spans="1:20">
      <c r="A142" s="24">
        <v>141</v>
      </c>
      <c r="B142" s="1" t="s">
        <v>28</v>
      </c>
      <c r="C142" s="3" t="s">
        <v>18</v>
      </c>
      <c r="D142" s="3" t="str">
        <f>IFERROR(VLOOKUP(RawTable[[#This Row],[Entity_Type]], EntityMap[], 2, FALSE), "")</f>
        <v>Payroll</v>
      </c>
      <c r="E142" s="3" t="s">
        <v>4</v>
      </c>
      <c r="F142" s="3" t="s">
        <v>100</v>
      </c>
      <c r="G142" s="3" t="str">
        <f>IFERROR(VLOOKUP(RawTable[[#This Row],[Name]], Name_Master!$A:$E, 4, FALSE), "")</f>
        <v>DE890000000000977688</v>
      </c>
      <c r="H14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PAY-Germany-202602-000141</v>
      </c>
      <c r="I142" s="1">
        <f>IF(RawTable[[#This Row],[Month]]="","",DATE(YEAR(RawTable[[#This Row],[Month]]),MONTH(RawTable[[#This Row],[Month]]),1))</f>
        <v>46054</v>
      </c>
      <c r="J14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42" s="3" t="s">
        <v>5</v>
      </c>
      <c r="L142" s="4">
        <v>5851.2</v>
      </c>
      <c r="M142" s="2" t="str">
        <f>IF(RawTable[[#This Row],[Net_Amount]]="","",IF(RawTable[[#This Row],[Payment_Type]]="Vendor_Invoice","Yes","No"))</f>
        <v>No</v>
      </c>
      <c r="N142" s="6">
        <f>IF(D142="Vendor_Invoice",
     IFERROR(
         INDEX(System_Master_Data!$B$9:$B$14,
               MATCH(E142,System_Master_Data!$A$9:$A$14,0)
         ),
     0),
0)</f>
        <v>0</v>
      </c>
      <c r="O142" s="4">
        <f t="shared" si="4"/>
        <v>0</v>
      </c>
      <c r="P142" s="4">
        <f t="shared" si="5"/>
        <v>5851.2</v>
      </c>
      <c r="Q142" s="56">
        <f>IFERROR(VLOOKUP(RawTable[[#This Row],[Currency]], System_Master_Data!$A$24:$B$29, 2, FALSE), "")</f>
        <v>0.90888000000000002</v>
      </c>
      <c r="R142">
        <f>IF(RawTable[[#This Row],[Exchange_Rate]]="","",ROUND(RawTable[[#This Row],[Gross_Amount]]*RawTable[[#This Row],[Exchange_Rate]],2))</f>
        <v>5318.04</v>
      </c>
      <c r="S142" t="str">
        <f>IF(RawTable[[#This Row],[Entity_Type]]&lt;&gt;"Employee",RawTable[[#This Row],[Entity_Type]],
IF(RawTable[[#This Row],[Country]]="Switzerland","Direct","EOR")
)</f>
        <v>EOR</v>
      </c>
      <c r="T142" t="str">
        <f>IF(RawTable[[#This Row],[Employment_Model]]&lt;&gt;"EOR","",
IFERROR(VLOOKUP(RawTable[[#This Row],[Country]],EORMap[#All],3,FALSE),"")
)</f>
        <v>Oyster</v>
      </c>
    </row>
    <row r="143" spans="1:20">
      <c r="A143" s="24">
        <v>142</v>
      </c>
      <c r="B143" s="1" t="s">
        <v>35</v>
      </c>
      <c r="C143" s="3" t="s">
        <v>18</v>
      </c>
      <c r="D143" s="3" t="str">
        <f>IFERROR(VLOOKUP(RawTable[[#This Row],[Entity_Type]], EntityMap[], 2, FALSE), "")</f>
        <v>Payroll</v>
      </c>
      <c r="E143" s="3" t="s">
        <v>2</v>
      </c>
      <c r="F143" s="3" t="s">
        <v>82</v>
      </c>
      <c r="G143" s="3" t="str">
        <f>IFERROR(VLOOKUP(RawTable[[#This Row],[Name]], Name_Master!$A:$E, 4, FALSE), "")</f>
        <v>US-RT-000066636-AC-0000306612</v>
      </c>
      <c r="H14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PAY-Switzerland-202601-000142</v>
      </c>
      <c r="I143" s="1">
        <f>IF(RawTable[[#This Row],[Month]]="","",DATE(YEAR(RawTable[[#This Row],[Month]]),MONTH(RawTable[[#This Row],[Month]]),1))</f>
        <v>46023</v>
      </c>
      <c r="J14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43" s="3" t="s">
        <v>3</v>
      </c>
      <c r="L143" s="4">
        <v>6956.4</v>
      </c>
      <c r="M143" s="2" t="str">
        <f>IF(RawTable[[#This Row],[Net_Amount]]="","",IF(RawTable[[#This Row],[Payment_Type]]="Vendor_Invoice","Yes","No"))</f>
        <v>No</v>
      </c>
      <c r="N143" s="6">
        <f>IF(D143="Vendor_Invoice",
     IFERROR(
         INDEX(System_Master_Data!$B$9:$B$14,
               MATCH(E143,System_Master_Data!$A$9:$A$14,0)
         ),
     0),
0)</f>
        <v>0</v>
      </c>
      <c r="O143" s="4">
        <f t="shared" si="4"/>
        <v>0</v>
      </c>
      <c r="P143" s="4">
        <f t="shared" si="5"/>
        <v>6956.4</v>
      </c>
      <c r="Q143" s="56">
        <f>IFERROR(VLOOKUP(RawTable[[#This Row],[Currency]], System_Master_Data!$A$24:$B$29, 2, FALSE), "")</f>
        <v>1</v>
      </c>
      <c r="R143">
        <f>IF(RawTable[[#This Row],[Exchange_Rate]]="","",ROUND(RawTable[[#This Row],[Gross_Amount]]*RawTable[[#This Row],[Exchange_Rate]],2))</f>
        <v>6956.4</v>
      </c>
      <c r="S143" t="str">
        <f>IF(RawTable[[#This Row],[Entity_Type]]&lt;&gt;"Employee",RawTable[[#This Row],[Entity_Type]],
IF(RawTable[[#This Row],[Country]]="Switzerland","Direct","EOR")
)</f>
        <v>Direct</v>
      </c>
      <c r="T143" t="str">
        <f>IF(RawTable[[#This Row],[Employment_Model]]&lt;&gt;"EOR","",
IFERROR(VLOOKUP(RawTable[[#This Row],[Country]],EORMap[#All],3,FALSE),"")
)</f>
        <v/>
      </c>
    </row>
    <row r="144" spans="1:20">
      <c r="A144" s="24">
        <v>143</v>
      </c>
      <c r="B144" s="1" t="s">
        <v>35</v>
      </c>
      <c r="C144" s="3" t="s">
        <v>18</v>
      </c>
      <c r="D144" s="3" t="str">
        <f>IFERROR(VLOOKUP(RawTable[[#This Row],[Entity_Type]], EntityMap[], 2, FALSE), "")</f>
        <v>Payroll</v>
      </c>
      <c r="E144" s="3" t="s">
        <v>6</v>
      </c>
      <c r="F144" s="3" t="s">
        <v>101</v>
      </c>
      <c r="G144" s="3" t="str">
        <f>IFERROR(VLOOKUP(RawTable[[#This Row],[Name]], Name_Master!$A:$E, 4, FALSE), "")</f>
        <v>US-RT-000090082-AC-0000414494</v>
      </c>
      <c r="H14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PAY-USA-202601-000143</v>
      </c>
      <c r="I144" s="1">
        <f>IF(RawTable[[#This Row],[Month]]="","",DATE(YEAR(RawTable[[#This Row],[Month]]),MONTH(RawTable[[#This Row],[Month]]),1))</f>
        <v>46023</v>
      </c>
      <c r="J14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44" s="3" t="s">
        <v>7</v>
      </c>
      <c r="L144" s="4">
        <v>6719.3</v>
      </c>
      <c r="M144" s="2" t="str">
        <f>IF(RawTable[[#This Row],[Net_Amount]]="","",IF(RawTable[[#This Row],[Payment_Type]]="Vendor_Invoice","Yes","No"))</f>
        <v>No</v>
      </c>
      <c r="N144" s="6">
        <f>IF(D144="Vendor_Invoice",
     IFERROR(
         INDEX(System_Master_Data!$B$9:$B$14,
               MATCH(E144,System_Master_Data!$A$9:$A$14,0)
         ),
     0),
0)</f>
        <v>0</v>
      </c>
      <c r="O144" s="4">
        <f t="shared" si="4"/>
        <v>0</v>
      </c>
      <c r="P144" s="4">
        <f t="shared" si="5"/>
        <v>6719.3</v>
      </c>
      <c r="Q144" s="56">
        <f>IFERROR(VLOOKUP(RawTable[[#This Row],[Currency]], System_Master_Data!$A$24:$B$29, 2, FALSE), "")</f>
        <v>0.77017999999999998</v>
      </c>
      <c r="R144">
        <f>IF(RawTable[[#This Row],[Exchange_Rate]]="","",ROUND(RawTable[[#This Row],[Gross_Amount]]*RawTable[[#This Row],[Exchange_Rate]],2))</f>
        <v>5175.07</v>
      </c>
      <c r="S144" t="str">
        <f>IF(RawTable[[#This Row],[Entity_Type]]&lt;&gt;"Employee",RawTable[[#This Row],[Entity_Type]],
IF(RawTable[[#This Row],[Country]]="Switzerland","Direct","EOR")
)</f>
        <v>EOR</v>
      </c>
      <c r="T144" t="str">
        <f>IF(RawTable[[#This Row],[Employment_Model]]&lt;&gt;"EOR","",
IFERROR(VLOOKUP(RawTable[[#This Row],[Country]],EORMap[#All],3,FALSE),"")
)</f>
        <v>Remote</v>
      </c>
    </row>
    <row r="145" spans="1:20">
      <c r="A145" s="24">
        <v>144</v>
      </c>
      <c r="B145" s="1" t="s">
        <v>28</v>
      </c>
      <c r="C145" s="3" t="s">
        <v>18</v>
      </c>
      <c r="D145" s="3" t="str">
        <f>IFERROR(VLOOKUP(RawTable[[#This Row],[Entity_Type]], EntityMap[], 2, FALSE), "")</f>
        <v>Payroll</v>
      </c>
      <c r="E145" s="3" t="s">
        <v>10</v>
      </c>
      <c r="F145" s="3" t="s">
        <v>63</v>
      </c>
      <c r="G145" s="3" t="str">
        <f>IFERROR(VLOOKUP(RawTable[[#This Row],[Name]], Name_Master!$A:$E, 4, FALSE), "")</f>
        <v>CH930000000000863800</v>
      </c>
      <c r="H14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PAY-Jordan-202602-000144</v>
      </c>
      <c r="I145" s="1">
        <f>IF(RawTable[[#This Row],[Month]]="","",DATE(YEAR(RawTable[[#This Row],[Month]]),MONTH(RawTable[[#This Row],[Month]]),1))</f>
        <v>46054</v>
      </c>
      <c r="J14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45" s="3" t="s">
        <v>11</v>
      </c>
      <c r="L145" s="4">
        <v>1926.94</v>
      </c>
      <c r="M145" s="2" t="str">
        <f>IF(RawTable[[#This Row],[Net_Amount]]="","",IF(RawTable[[#This Row],[Payment_Type]]="Vendor_Invoice","Yes","No"))</f>
        <v>No</v>
      </c>
      <c r="N145" s="6">
        <f>IF(D145="Vendor_Invoice",
     IFERROR(
         INDEX(System_Master_Data!$B$9:$B$14,
               MATCH(E145,System_Master_Data!$A$9:$A$14,0)
         ),
     0),
0)</f>
        <v>0</v>
      </c>
      <c r="O145" s="4">
        <f t="shared" si="4"/>
        <v>0</v>
      </c>
      <c r="P145" s="4">
        <f t="shared" si="5"/>
        <v>1926.94</v>
      </c>
      <c r="Q145" s="56">
        <f>IFERROR(VLOOKUP(RawTable[[#This Row],[Currency]], System_Master_Data!$A$24:$B$29, 2, FALSE), "")</f>
        <v>1.08643</v>
      </c>
      <c r="R145">
        <f>IF(RawTable[[#This Row],[Exchange_Rate]]="","",ROUND(RawTable[[#This Row],[Gross_Amount]]*RawTable[[#This Row],[Exchange_Rate]],2))</f>
        <v>2093.4899999999998</v>
      </c>
      <c r="S145" t="str">
        <f>IF(RawTable[[#This Row],[Entity_Type]]&lt;&gt;"Employee",RawTable[[#This Row],[Entity_Type]],
IF(RawTable[[#This Row],[Country]]="Switzerland","Direct","EOR")
)</f>
        <v>EOR</v>
      </c>
      <c r="T145" t="str">
        <f>IF(RawTable[[#This Row],[Employment_Model]]&lt;&gt;"EOR","",
IFERROR(VLOOKUP(RawTable[[#This Row],[Country]],EORMap[#All],3,FALSE),"")
)</f>
        <v>Oyster</v>
      </c>
    </row>
    <row r="146" spans="1:20">
      <c r="A146" s="24">
        <v>145</v>
      </c>
      <c r="B146" s="1" t="s">
        <v>35</v>
      </c>
      <c r="C146" s="3" t="s">
        <v>18</v>
      </c>
      <c r="D146" s="3" t="str">
        <f>IFERROR(VLOOKUP(RawTable[[#This Row],[Entity_Type]], EntityMap[], 2, FALSE), "")</f>
        <v>Payroll</v>
      </c>
      <c r="E146" s="3" t="s">
        <v>4</v>
      </c>
      <c r="F146" s="3" t="s">
        <v>102</v>
      </c>
      <c r="G146" s="3" t="str">
        <f>IFERROR(VLOOKUP(RawTable[[#This Row],[Name]], Name_Master!$A:$E, 4, FALSE), "")</f>
        <v>DE890000000001004846</v>
      </c>
      <c r="H14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PAY-Germany-202601-000145</v>
      </c>
      <c r="I146" s="1">
        <f>IF(RawTable[[#This Row],[Month]]="","",DATE(YEAR(RawTable[[#This Row],[Month]]),MONTH(RawTable[[#This Row],[Month]]),1))</f>
        <v>46023</v>
      </c>
      <c r="J14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46" s="3" t="s">
        <v>5</v>
      </c>
      <c r="L146" s="4">
        <v>5742.6</v>
      </c>
      <c r="M146" s="2" t="str">
        <f>IF(RawTable[[#This Row],[Net_Amount]]="","",IF(RawTable[[#This Row],[Payment_Type]]="Vendor_Invoice","Yes","No"))</f>
        <v>No</v>
      </c>
      <c r="N146" s="6">
        <f>IF(D146="Vendor_Invoice",
     IFERROR(
         INDEX(System_Master_Data!$B$9:$B$14,
               MATCH(E146,System_Master_Data!$A$9:$A$14,0)
         ),
     0),
0)</f>
        <v>0</v>
      </c>
      <c r="O146" s="4">
        <f t="shared" si="4"/>
        <v>0</v>
      </c>
      <c r="P146" s="4">
        <f t="shared" si="5"/>
        <v>5742.6</v>
      </c>
      <c r="Q146" s="56">
        <f>IFERROR(VLOOKUP(RawTable[[#This Row],[Currency]], System_Master_Data!$A$24:$B$29, 2, FALSE), "")</f>
        <v>0.90888000000000002</v>
      </c>
      <c r="R146">
        <f>IF(RawTable[[#This Row],[Exchange_Rate]]="","",ROUND(RawTable[[#This Row],[Gross_Amount]]*RawTable[[#This Row],[Exchange_Rate]],2))</f>
        <v>5219.33</v>
      </c>
      <c r="S146" t="str">
        <f>IF(RawTable[[#This Row],[Entity_Type]]&lt;&gt;"Employee",RawTable[[#This Row],[Entity_Type]],
IF(RawTable[[#This Row],[Country]]="Switzerland","Direct","EOR")
)</f>
        <v>EOR</v>
      </c>
      <c r="T146" t="str">
        <f>IF(RawTable[[#This Row],[Employment_Model]]&lt;&gt;"EOR","",
IFERROR(VLOOKUP(RawTable[[#This Row],[Country]],EORMap[#All],3,FALSE),"")
)</f>
        <v>Oyster</v>
      </c>
    </row>
    <row r="147" spans="1:20">
      <c r="A147" s="24">
        <v>146</v>
      </c>
      <c r="B147" s="1" t="s">
        <v>30</v>
      </c>
      <c r="C147" s="3" t="s">
        <v>18</v>
      </c>
      <c r="D147" s="3" t="str">
        <f>IFERROR(VLOOKUP(RawTable[[#This Row],[Entity_Type]], EntityMap[], 2, FALSE), "")</f>
        <v>Payroll</v>
      </c>
      <c r="E147" s="3" t="s">
        <v>4</v>
      </c>
      <c r="F147" s="3" t="s">
        <v>92</v>
      </c>
      <c r="G147" s="3" t="str">
        <f>IFERROR(VLOOKUP(RawTable[[#This Row],[Name]], Name_Master!$A:$E, 4, FALSE), "")</f>
        <v>JO-IBAN-00790080</v>
      </c>
      <c r="H14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PAY-Germany-202603-000146</v>
      </c>
      <c r="I147" s="1">
        <f>IF(RawTable[[#This Row],[Month]]="","",DATE(YEAR(RawTable[[#This Row],[Month]]),MONTH(RawTable[[#This Row],[Month]]),1))</f>
        <v>46082</v>
      </c>
      <c r="J14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47" s="3" t="s">
        <v>5</v>
      </c>
      <c r="L147" s="4">
        <v>5782.2</v>
      </c>
      <c r="M147" s="2" t="str">
        <f>IF(RawTable[[#This Row],[Net_Amount]]="","",IF(RawTable[[#This Row],[Payment_Type]]="Vendor_Invoice","Yes","No"))</f>
        <v>No</v>
      </c>
      <c r="N147" s="6">
        <f>IF(D147="Vendor_Invoice",
     IFERROR(
         INDEX(System_Master_Data!$B$9:$B$14,
               MATCH(E147,System_Master_Data!$A$9:$A$14,0)
         ),
     0),
0)</f>
        <v>0</v>
      </c>
      <c r="O147" s="4">
        <f t="shared" si="4"/>
        <v>0</v>
      </c>
      <c r="P147" s="4">
        <f t="shared" si="5"/>
        <v>5782.2</v>
      </c>
      <c r="Q147" s="56">
        <f>IFERROR(VLOOKUP(RawTable[[#This Row],[Currency]], System_Master_Data!$A$24:$B$29, 2, FALSE), "")</f>
        <v>0.90888000000000002</v>
      </c>
      <c r="R147">
        <f>IF(RawTable[[#This Row],[Exchange_Rate]]="","",ROUND(RawTable[[#This Row],[Gross_Amount]]*RawTable[[#This Row],[Exchange_Rate]],2))</f>
        <v>5255.33</v>
      </c>
      <c r="S147" t="str">
        <f>IF(RawTable[[#This Row],[Entity_Type]]&lt;&gt;"Employee",RawTable[[#This Row],[Entity_Type]],
IF(RawTable[[#This Row],[Country]]="Switzerland","Direct","EOR")
)</f>
        <v>EOR</v>
      </c>
      <c r="T147" t="str">
        <f>IF(RawTable[[#This Row],[Employment_Model]]&lt;&gt;"EOR","",
IFERROR(VLOOKUP(RawTable[[#This Row],[Country]],EORMap[#All],3,FALSE),"")
)</f>
        <v>Oyster</v>
      </c>
    </row>
    <row r="148" spans="1:20">
      <c r="A148" s="24">
        <v>147</v>
      </c>
      <c r="B148" s="1" t="s">
        <v>28</v>
      </c>
      <c r="C148" s="3" t="s">
        <v>18</v>
      </c>
      <c r="D148" s="3" t="str">
        <f>IFERROR(VLOOKUP(RawTable[[#This Row],[Entity_Type]], EntityMap[], 2, FALSE), "")</f>
        <v>Payroll</v>
      </c>
      <c r="E148" s="3" t="s">
        <v>4</v>
      </c>
      <c r="F148" s="3" t="s">
        <v>86</v>
      </c>
      <c r="G148" s="3" t="str">
        <f>IFERROR(VLOOKUP(RawTable[[#This Row],[Name]], Name_Master!$A:$E, 4, FALSE), "")</f>
        <v>US-RT-000071572-AC-0000329324</v>
      </c>
      <c r="H14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PAY-Germany-202602-000147</v>
      </c>
      <c r="I148" s="1">
        <f>IF(RawTable[[#This Row],[Month]]="","",DATE(YEAR(RawTable[[#This Row],[Month]]),MONTH(RawTable[[#This Row],[Month]]),1))</f>
        <v>46054</v>
      </c>
      <c r="J14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48" s="3" t="s">
        <v>5</v>
      </c>
      <c r="L148" s="4">
        <v>6505.95</v>
      </c>
      <c r="M148" s="2" t="str">
        <f>IF(RawTable[[#This Row],[Net_Amount]]="","",IF(RawTable[[#This Row],[Payment_Type]]="Vendor_Invoice","Yes","No"))</f>
        <v>No</v>
      </c>
      <c r="N148" s="6">
        <f>IF(D148="Vendor_Invoice",
     IFERROR(
         INDEX(System_Master_Data!$B$9:$B$14,
               MATCH(E148,System_Master_Data!$A$9:$A$14,0)
         ),
     0),
0)</f>
        <v>0</v>
      </c>
      <c r="O148" s="4">
        <f t="shared" si="4"/>
        <v>0</v>
      </c>
      <c r="P148" s="4">
        <f t="shared" si="5"/>
        <v>6505.95</v>
      </c>
      <c r="Q148" s="56">
        <f>IFERROR(VLOOKUP(RawTable[[#This Row],[Currency]], System_Master_Data!$A$24:$B$29, 2, FALSE), "")</f>
        <v>0.90888000000000002</v>
      </c>
      <c r="R148">
        <f>IF(RawTable[[#This Row],[Exchange_Rate]]="","",ROUND(RawTable[[#This Row],[Gross_Amount]]*RawTable[[#This Row],[Exchange_Rate]],2))</f>
        <v>5913.13</v>
      </c>
      <c r="S148" t="str">
        <f>IF(RawTable[[#This Row],[Entity_Type]]&lt;&gt;"Employee",RawTable[[#This Row],[Entity_Type]],
IF(RawTable[[#This Row],[Country]]="Switzerland","Direct","EOR")
)</f>
        <v>EOR</v>
      </c>
      <c r="T148" t="str">
        <f>IF(RawTable[[#This Row],[Employment_Model]]&lt;&gt;"EOR","",
IFERROR(VLOOKUP(RawTable[[#This Row],[Country]],EORMap[#All],3,FALSE),"")
)</f>
        <v>Oyster</v>
      </c>
    </row>
    <row r="149" spans="1:20">
      <c r="A149" s="24">
        <v>148</v>
      </c>
      <c r="B149" s="1" t="s">
        <v>28</v>
      </c>
      <c r="C149" s="3" t="s">
        <v>18</v>
      </c>
      <c r="D149" s="3" t="str">
        <f>IFERROR(VLOOKUP(RawTable[[#This Row],[Entity_Type]], EntityMap[], 2, FALSE), "")</f>
        <v>Payroll</v>
      </c>
      <c r="E149" s="3" t="s">
        <v>4</v>
      </c>
      <c r="F149" s="3" t="s">
        <v>50</v>
      </c>
      <c r="G149" s="3" t="str">
        <f>IFERROR(VLOOKUP(RawTable[[#This Row],[Name]], Name_Master!$A:$E, 4, FALSE), "")</f>
        <v>DE890000000000298738</v>
      </c>
      <c r="H14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PAY-Germany-202602-000148</v>
      </c>
      <c r="I149" s="1">
        <f>IF(RawTable[[#This Row],[Month]]="","",DATE(YEAR(RawTable[[#This Row],[Month]]),MONTH(RawTable[[#This Row],[Month]]),1))</f>
        <v>46054</v>
      </c>
      <c r="J14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49" s="3" t="s">
        <v>5</v>
      </c>
      <c r="L149" s="4">
        <v>6312.89</v>
      </c>
      <c r="M149" s="2" t="str">
        <f>IF(RawTable[[#This Row],[Net_Amount]]="","",IF(RawTable[[#This Row],[Payment_Type]]="Vendor_Invoice","Yes","No"))</f>
        <v>No</v>
      </c>
      <c r="N149" s="6">
        <f>IF(D149="Vendor_Invoice",
     IFERROR(
         INDEX(System_Master_Data!$B$9:$B$14,
               MATCH(E149,System_Master_Data!$A$9:$A$14,0)
         ),
     0),
0)</f>
        <v>0</v>
      </c>
      <c r="O149" s="4">
        <f t="shared" si="4"/>
        <v>0</v>
      </c>
      <c r="P149" s="4">
        <f t="shared" si="5"/>
        <v>6312.89</v>
      </c>
      <c r="Q149" s="56">
        <f>IFERROR(VLOOKUP(RawTable[[#This Row],[Currency]], System_Master_Data!$A$24:$B$29, 2, FALSE), "")</f>
        <v>0.90888000000000002</v>
      </c>
      <c r="R149">
        <f>IF(RawTable[[#This Row],[Exchange_Rate]]="","",ROUND(RawTable[[#This Row],[Gross_Amount]]*RawTable[[#This Row],[Exchange_Rate]],2))</f>
        <v>5737.66</v>
      </c>
      <c r="S149" t="str">
        <f>IF(RawTable[[#This Row],[Entity_Type]]&lt;&gt;"Employee",RawTable[[#This Row],[Entity_Type]],
IF(RawTable[[#This Row],[Country]]="Switzerland","Direct","EOR")
)</f>
        <v>EOR</v>
      </c>
      <c r="T149" t="str">
        <f>IF(RawTable[[#This Row],[Employment_Model]]&lt;&gt;"EOR","",
IFERROR(VLOOKUP(RawTable[[#This Row],[Country]],EORMap[#All],3,FALSE),"")
)</f>
        <v>Oyster</v>
      </c>
    </row>
    <row r="150" spans="1:20">
      <c r="A150" s="24">
        <v>149</v>
      </c>
      <c r="B150" s="1" t="s">
        <v>28</v>
      </c>
      <c r="C150" s="3" t="s">
        <v>18</v>
      </c>
      <c r="D150" s="3" t="str">
        <f>IFERROR(VLOOKUP(RawTable[[#This Row],[Entity_Type]], EntityMap[], 2, FALSE), "")</f>
        <v>Payroll</v>
      </c>
      <c r="E150" s="3" t="s">
        <v>10</v>
      </c>
      <c r="F150" s="3" t="s">
        <v>103</v>
      </c>
      <c r="G150" s="3" t="str">
        <f>IFERROR(VLOOKUP(RawTable[[#This Row],[Name]], Name_Master!$A:$E, 4, FALSE), "")</f>
        <v>JO-IBAN-00925875</v>
      </c>
      <c r="H15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PAY-Jordan-202602-000149</v>
      </c>
      <c r="I150" s="1">
        <f>IF(RawTable[[#This Row],[Month]]="","",DATE(YEAR(RawTable[[#This Row],[Month]]),MONTH(RawTable[[#This Row],[Month]]),1))</f>
        <v>46054</v>
      </c>
      <c r="J15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50" s="3" t="s">
        <v>11</v>
      </c>
      <c r="L150" s="4">
        <v>1974.78</v>
      </c>
      <c r="M150" s="2" t="str">
        <f>IF(RawTable[[#This Row],[Net_Amount]]="","",IF(RawTable[[#This Row],[Payment_Type]]="Vendor_Invoice","Yes","No"))</f>
        <v>No</v>
      </c>
      <c r="N150" s="6">
        <f>IF(D150="Vendor_Invoice",
     IFERROR(
         INDEX(System_Master_Data!$B$9:$B$14,
               MATCH(E150,System_Master_Data!$A$9:$A$14,0)
         ),
     0),
0)</f>
        <v>0</v>
      </c>
      <c r="O150" s="4">
        <f t="shared" si="4"/>
        <v>0</v>
      </c>
      <c r="P150" s="4">
        <f t="shared" si="5"/>
        <v>1974.78</v>
      </c>
      <c r="Q150" s="56">
        <f>IFERROR(VLOOKUP(RawTable[[#This Row],[Currency]], System_Master_Data!$A$24:$B$29, 2, FALSE), "")</f>
        <v>1.08643</v>
      </c>
      <c r="R150">
        <f>IF(RawTable[[#This Row],[Exchange_Rate]]="","",ROUND(RawTable[[#This Row],[Gross_Amount]]*RawTable[[#This Row],[Exchange_Rate]],2))</f>
        <v>2145.46</v>
      </c>
      <c r="S150" t="str">
        <f>IF(RawTable[[#This Row],[Entity_Type]]&lt;&gt;"Employee",RawTable[[#This Row],[Entity_Type]],
IF(RawTable[[#This Row],[Country]]="Switzerland","Direct","EOR")
)</f>
        <v>EOR</v>
      </c>
      <c r="T150" t="str">
        <f>IF(RawTable[[#This Row],[Employment_Model]]&lt;&gt;"EOR","",
IFERROR(VLOOKUP(RawTable[[#This Row],[Country]],EORMap[#All],3,FALSE),"")
)</f>
        <v>Oyster</v>
      </c>
    </row>
    <row r="151" spans="1:20">
      <c r="A151" s="24">
        <v>150</v>
      </c>
      <c r="B151" s="1" t="s">
        <v>35</v>
      </c>
      <c r="C151" s="3" t="s">
        <v>18</v>
      </c>
      <c r="D151" s="3" t="str">
        <f>IFERROR(VLOOKUP(RawTable[[#This Row],[Entity_Type]], EntityMap[], 2, FALSE), "")</f>
        <v>Payroll</v>
      </c>
      <c r="E151" s="3" t="s">
        <v>6</v>
      </c>
      <c r="F151" s="3" t="s">
        <v>42</v>
      </c>
      <c r="G151" s="3" t="str">
        <f>IFERROR(VLOOKUP(RawTable[[#This Row],[Name]], Name_Master!$A:$E, 4, FALSE), "")</f>
        <v>DE890000000000190106</v>
      </c>
      <c r="H15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PAY-USA-202601-000150</v>
      </c>
      <c r="I151" s="1">
        <f>IF(RawTable[[#This Row],[Month]]="","",DATE(YEAR(RawTable[[#This Row],[Month]]),MONTH(RawTable[[#This Row],[Month]]),1))</f>
        <v>46023</v>
      </c>
      <c r="J15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51" s="3" t="s">
        <v>7</v>
      </c>
      <c r="L151" s="4">
        <v>7273</v>
      </c>
      <c r="M151" s="2" t="str">
        <f>IF(RawTable[[#This Row],[Net_Amount]]="","",IF(RawTable[[#This Row],[Payment_Type]]="Vendor_Invoice","Yes","No"))</f>
        <v>No</v>
      </c>
      <c r="N151" s="6">
        <f>IF(D151="Vendor_Invoice",
     IFERROR(
         INDEX(System_Master_Data!$B$9:$B$14,
               MATCH(E151,System_Master_Data!$A$9:$A$14,0)
         ),
     0),
0)</f>
        <v>0</v>
      </c>
      <c r="O151" s="4">
        <f t="shared" si="4"/>
        <v>0</v>
      </c>
      <c r="P151" s="4">
        <f t="shared" si="5"/>
        <v>7273</v>
      </c>
      <c r="Q151" s="56">
        <f>IFERROR(VLOOKUP(RawTable[[#This Row],[Currency]], System_Master_Data!$A$24:$B$29, 2, FALSE), "")</f>
        <v>0.77017999999999998</v>
      </c>
      <c r="R151">
        <f>IF(RawTable[[#This Row],[Exchange_Rate]]="","",ROUND(RawTable[[#This Row],[Gross_Amount]]*RawTable[[#This Row],[Exchange_Rate]],2))</f>
        <v>5601.52</v>
      </c>
      <c r="S151" t="str">
        <f>IF(RawTable[[#This Row],[Entity_Type]]&lt;&gt;"Employee",RawTable[[#This Row],[Entity_Type]],
IF(RawTable[[#This Row],[Country]]="Switzerland","Direct","EOR")
)</f>
        <v>EOR</v>
      </c>
      <c r="T151" t="str">
        <f>IF(RawTable[[#This Row],[Employment_Model]]&lt;&gt;"EOR","",
IFERROR(VLOOKUP(RawTable[[#This Row],[Country]],EORMap[#All],3,FALSE),"")
)</f>
        <v>Remote</v>
      </c>
    </row>
    <row r="152" spans="1:20">
      <c r="A152" s="24">
        <v>151</v>
      </c>
      <c r="B152" s="1" t="s">
        <v>35</v>
      </c>
      <c r="C152" s="3" t="s">
        <v>18</v>
      </c>
      <c r="D152" s="3" t="str">
        <f>IFERROR(VLOOKUP(RawTable[[#This Row],[Entity_Type]], EntityMap[], 2, FALSE), "")</f>
        <v>Payroll</v>
      </c>
      <c r="E152" s="3" t="s">
        <v>8</v>
      </c>
      <c r="F152" s="3" t="s">
        <v>101</v>
      </c>
      <c r="G152" s="3" t="str">
        <f>IFERROR(VLOOKUP(RawTable[[#This Row],[Name]], Name_Master!$A:$E, 4, FALSE), "")</f>
        <v>US-RT-000090082-AC-0000414494</v>
      </c>
      <c r="H15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PAY-UAE-202601-000151</v>
      </c>
      <c r="I152" s="1">
        <f>IF(RawTable[[#This Row],[Month]]="","",DATE(YEAR(RawTable[[#This Row],[Month]]),MONTH(RawTable[[#This Row],[Month]]),1))</f>
        <v>46023</v>
      </c>
      <c r="J15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52" s="3" t="s">
        <v>9</v>
      </c>
      <c r="L152" s="4">
        <v>21117.8</v>
      </c>
      <c r="M152" s="2" t="str">
        <f>IF(RawTable[[#This Row],[Net_Amount]]="","",IF(RawTable[[#This Row],[Payment_Type]]="Vendor_Invoice","Yes","No"))</f>
        <v>No</v>
      </c>
      <c r="N152" s="6">
        <f>IF(D152="Vendor_Invoice",
     IFERROR(
         INDEX(System_Master_Data!$B$9:$B$14,
               MATCH(E152,System_Master_Data!$A$9:$A$14,0)
         ),
     0),
0)</f>
        <v>0</v>
      </c>
      <c r="O152" s="4">
        <f t="shared" si="4"/>
        <v>0</v>
      </c>
      <c r="P152" s="4">
        <f t="shared" si="5"/>
        <v>21117.8</v>
      </c>
      <c r="Q152" s="56">
        <f>IFERROR(VLOOKUP(RawTable[[#This Row],[Currency]], System_Master_Data!$A$24:$B$29, 2, FALSE), "")</f>
        <v>0.21065</v>
      </c>
      <c r="R152">
        <f>IF(RawTable[[#This Row],[Exchange_Rate]]="","",ROUND(RawTable[[#This Row],[Gross_Amount]]*RawTable[[#This Row],[Exchange_Rate]],2))</f>
        <v>4448.46</v>
      </c>
      <c r="S152" t="str">
        <f>IF(RawTable[[#This Row],[Entity_Type]]&lt;&gt;"Employee",RawTable[[#This Row],[Entity_Type]],
IF(RawTable[[#This Row],[Country]]="Switzerland","Direct","EOR")
)</f>
        <v>EOR</v>
      </c>
      <c r="T152" t="str">
        <f>IF(RawTable[[#This Row],[Employment_Model]]&lt;&gt;"EOR","",
IFERROR(VLOOKUP(RawTable[[#This Row],[Country]],EORMap[#All],3,FALSE),"")
)</f>
        <v>Deel</v>
      </c>
    </row>
    <row r="153" spans="1:20">
      <c r="A153" s="24">
        <v>152</v>
      </c>
      <c r="B153" s="1" t="s">
        <v>28</v>
      </c>
      <c r="C153" s="3" t="s">
        <v>18</v>
      </c>
      <c r="D153" s="3" t="str">
        <f>IFERROR(VLOOKUP(RawTable[[#This Row],[Entity_Type]], EntityMap[], 2, FALSE), "")</f>
        <v>Payroll</v>
      </c>
      <c r="E153" s="3" t="s">
        <v>8</v>
      </c>
      <c r="F153" s="3" t="s">
        <v>39</v>
      </c>
      <c r="G153" s="3" t="str">
        <f>IFERROR(VLOOKUP(RawTable[[#This Row],[Name]], Name_Master!$A:$E, 4, FALSE), "")</f>
        <v>US-RT-000013574-AC-0000062458</v>
      </c>
      <c r="H15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PAY-UAE-202602-000152</v>
      </c>
      <c r="I153" s="1">
        <f>IF(RawTable[[#This Row],[Month]]="","",DATE(YEAR(RawTable[[#This Row],[Month]]),MONTH(RawTable[[#This Row],[Month]]),1))</f>
        <v>46054</v>
      </c>
      <c r="J15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53" s="3" t="s">
        <v>9</v>
      </c>
      <c r="L153" s="4">
        <v>22785.53</v>
      </c>
      <c r="M153" s="2" t="str">
        <f>IF(RawTable[[#This Row],[Net_Amount]]="","",IF(RawTable[[#This Row],[Payment_Type]]="Vendor_Invoice","Yes","No"))</f>
        <v>No</v>
      </c>
      <c r="N153" s="6">
        <f>IF(D153="Vendor_Invoice",
     IFERROR(
         INDEX(System_Master_Data!$B$9:$B$14,
               MATCH(E153,System_Master_Data!$A$9:$A$14,0)
         ),
     0),
0)</f>
        <v>0</v>
      </c>
      <c r="O153" s="4">
        <f t="shared" si="4"/>
        <v>0</v>
      </c>
      <c r="P153" s="4">
        <f t="shared" si="5"/>
        <v>22785.53</v>
      </c>
      <c r="Q153" s="56">
        <f>IFERROR(VLOOKUP(RawTable[[#This Row],[Currency]], System_Master_Data!$A$24:$B$29, 2, FALSE), "")</f>
        <v>0.21065</v>
      </c>
      <c r="R153">
        <f>IF(RawTable[[#This Row],[Exchange_Rate]]="","",ROUND(RawTable[[#This Row],[Gross_Amount]]*RawTable[[#This Row],[Exchange_Rate]],2))</f>
        <v>4799.7700000000004</v>
      </c>
      <c r="S153" t="str">
        <f>IF(RawTable[[#This Row],[Entity_Type]]&lt;&gt;"Employee",RawTable[[#This Row],[Entity_Type]],
IF(RawTable[[#This Row],[Country]]="Switzerland","Direct","EOR")
)</f>
        <v>EOR</v>
      </c>
      <c r="T153" t="str">
        <f>IF(RawTable[[#This Row],[Employment_Model]]&lt;&gt;"EOR","",
IFERROR(VLOOKUP(RawTable[[#This Row],[Country]],EORMap[#All],3,FALSE),"")
)</f>
        <v>Deel</v>
      </c>
    </row>
    <row r="154" spans="1:20">
      <c r="A154" s="24">
        <v>153</v>
      </c>
      <c r="B154" s="1" t="s">
        <v>35</v>
      </c>
      <c r="C154" s="3" t="s">
        <v>18</v>
      </c>
      <c r="D154" s="3" t="str">
        <f>IFERROR(VLOOKUP(RawTable[[#This Row],[Entity_Type]], EntityMap[], 2, FALSE), "")</f>
        <v>Payroll</v>
      </c>
      <c r="E154" s="3" t="s">
        <v>10</v>
      </c>
      <c r="F154" s="3" t="s">
        <v>52</v>
      </c>
      <c r="G154" s="3" t="str">
        <f>IFERROR(VLOOKUP(RawTable[[#This Row],[Name]], Name_Master!$A:$E, 4, FALSE), "")</f>
        <v>CH930000000000592320</v>
      </c>
      <c r="H15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PAY-Jordan-202601-000153</v>
      </c>
      <c r="I154" s="1">
        <f>IF(RawTable[[#This Row],[Month]]="","",DATE(YEAR(RawTable[[#This Row],[Month]]),MONTH(RawTable[[#This Row],[Month]]),1))</f>
        <v>46023</v>
      </c>
      <c r="J15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54" s="3" t="s">
        <v>11</v>
      </c>
      <c r="L154" s="4">
        <v>1806.72</v>
      </c>
      <c r="M154" s="2" t="str">
        <f>IF(RawTable[[#This Row],[Net_Amount]]="","",IF(RawTable[[#This Row],[Payment_Type]]="Vendor_Invoice","Yes","No"))</f>
        <v>No</v>
      </c>
      <c r="N154" s="6">
        <f>IF(D154="Vendor_Invoice",
     IFERROR(
         INDEX(System_Master_Data!$B$9:$B$14,
               MATCH(E154,System_Master_Data!$A$9:$A$14,0)
         ),
     0),
0)</f>
        <v>0</v>
      </c>
      <c r="O154" s="4">
        <f t="shared" si="4"/>
        <v>0</v>
      </c>
      <c r="P154" s="4">
        <f t="shared" si="5"/>
        <v>1806.72</v>
      </c>
      <c r="Q154" s="56">
        <f>IFERROR(VLOOKUP(RawTable[[#This Row],[Currency]], System_Master_Data!$A$24:$B$29, 2, FALSE), "")</f>
        <v>1.08643</v>
      </c>
      <c r="R154">
        <f>IF(RawTable[[#This Row],[Exchange_Rate]]="","",ROUND(RawTable[[#This Row],[Gross_Amount]]*RawTable[[#This Row],[Exchange_Rate]],2))</f>
        <v>1962.87</v>
      </c>
      <c r="S154" t="str">
        <f>IF(RawTable[[#This Row],[Entity_Type]]&lt;&gt;"Employee",RawTable[[#This Row],[Entity_Type]],
IF(RawTable[[#This Row],[Country]]="Switzerland","Direct","EOR")
)</f>
        <v>EOR</v>
      </c>
      <c r="T154" t="str">
        <f>IF(RawTable[[#This Row],[Employment_Model]]&lt;&gt;"EOR","",
IFERROR(VLOOKUP(RawTable[[#This Row],[Country]],EORMap[#All],3,FALSE),"")
)</f>
        <v>Oyster</v>
      </c>
    </row>
    <row r="155" spans="1:20">
      <c r="A155" s="24">
        <v>154</v>
      </c>
      <c r="B155" s="1" t="s">
        <v>35</v>
      </c>
      <c r="C155" s="3" t="s">
        <v>18</v>
      </c>
      <c r="D155" s="3" t="str">
        <f>IFERROR(VLOOKUP(RawTable[[#This Row],[Entity_Type]], EntityMap[], 2, FALSE), "")</f>
        <v>Payroll</v>
      </c>
      <c r="E155" s="3" t="s">
        <v>10</v>
      </c>
      <c r="F155" s="3" t="s">
        <v>104</v>
      </c>
      <c r="G155" s="3" t="str">
        <f>IFERROR(VLOOKUP(RawTable[[#This Row],[Name]], Name_Master!$A:$E, 4, FALSE), "")</f>
        <v>JO-IBAN-00938220</v>
      </c>
      <c r="H15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PAY-Jordan-202601-000154</v>
      </c>
      <c r="I155" s="1">
        <f>IF(RawTable[[#This Row],[Month]]="","",DATE(YEAR(RawTable[[#This Row],[Month]]),MONTH(RawTable[[#This Row],[Month]]),1))</f>
        <v>46023</v>
      </c>
      <c r="J15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55" s="3" t="s">
        <v>11</v>
      </c>
      <c r="L155" s="4">
        <v>1640.52</v>
      </c>
      <c r="M155" s="2" t="str">
        <f>IF(RawTable[[#This Row],[Net_Amount]]="","",IF(RawTable[[#This Row],[Payment_Type]]="Vendor_Invoice","Yes","No"))</f>
        <v>No</v>
      </c>
      <c r="N155" s="6">
        <f>IF(D155="Vendor_Invoice",
     IFERROR(
         INDEX(System_Master_Data!$B$9:$B$14,
               MATCH(E155,System_Master_Data!$A$9:$A$14,0)
         ),
     0),
0)</f>
        <v>0</v>
      </c>
      <c r="O155" s="4">
        <f t="shared" si="4"/>
        <v>0</v>
      </c>
      <c r="P155" s="4">
        <f t="shared" si="5"/>
        <v>1640.52</v>
      </c>
      <c r="Q155" s="56">
        <f>IFERROR(VLOOKUP(RawTable[[#This Row],[Currency]], System_Master_Data!$A$24:$B$29, 2, FALSE), "")</f>
        <v>1.08643</v>
      </c>
      <c r="R155">
        <f>IF(RawTable[[#This Row],[Exchange_Rate]]="","",ROUND(RawTable[[#This Row],[Gross_Amount]]*RawTable[[#This Row],[Exchange_Rate]],2))</f>
        <v>1782.31</v>
      </c>
      <c r="S155" t="str">
        <f>IF(RawTable[[#This Row],[Entity_Type]]&lt;&gt;"Employee",RawTable[[#This Row],[Entity_Type]],
IF(RawTable[[#This Row],[Country]]="Switzerland","Direct","EOR")
)</f>
        <v>EOR</v>
      </c>
      <c r="T155" t="str">
        <f>IF(RawTable[[#This Row],[Employment_Model]]&lt;&gt;"EOR","",
IFERROR(VLOOKUP(RawTable[[#This Row],[Country]],EORMap[#All],3,FALSE),"")
)</f>
        <v>Oyster</v>
      </c>
    </row>
    <row r="156" spans="1:20">
      <c r="A156" s="24">
        <v>155</v>
      </c>
      <c r="B156" s="1" t="s">
        <v>35</v>
      </c>
      <c r="C156" s="3" t="s">
        <v>18</v>
      </c>
      <c r="D156" s="3" t="str">
        <f>IFERROR(VLOOKUP(RawTable[[#This Row],[Entity_Type]], EntityMap[], 2, FALSE), "")</f>
        <v>Payroll</v>
      </c>
      <c r="E156" s="3" t="s">
        <v>6</v>
      </c>
      <c r="F156" s="3" t="s">
        <v>89</v>
      </c>
      <c r="G156" s="3" t="str">
        <f>IFERROR(VLOOKUP(RawTable[[#This Row],[Name]], Name_Master!$A:$E, 4, FALSE), "")</f>
        <v>AE-IBAN-03313581</v>
      </c>
      <c r="H15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PAY-USA-202601-000155</v>
      </c>
      <c r="I156" s="1">
        <f>IF(RawTable[[#This Row],[Month]]="","",DATE(YEAR(RawTable[[#This Row],[Month]]),MONTH(RawTable[[#This Row],[Month]]),1))</f>
        <v>46023</v>
      </c>
      <c r="J15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56" s="3" t="s">
        <v>7</v>
      </c>
      <c r="L156" s="4">
        <v>6400.8</v>
      </c>
      <c r="M156" s="2" t="str">
        <f>IF(RawTable[[#This Row],[Net_Amount]]="","",IF(RawTable[[#This Row],[Payment_Type]]="Vendor_Invoice","Yes","No"))</f>
        <v>No</v>
      </c>
      <c r="N156" s="6">
        <f>IF(D156="Vendor_Invoice",
     IFERROR(
         INDEX(System_Master_Data!$B$9:$B$14,
               MATCH(E156,System_Master_Data!$A$9:$A$14,0)
         ),
     0),
0)</f>
        <v>0</v>
      </c>
      <c r="O156" s="4">
        <f t="shared" si="4"/>
        <v>0</v>
      </c>
      <c r="P156" s="4">
        <f t="shared" si="5"/>
        <v>6400.8</v>
      </c>
      <c r="Q156" s="56">
        <f>IFERROR(VLOOKUP(RawTable[[#This Row],[Currency]], System_Master_Data!$A$24:$B$29, 2, FALSE), "")</f>
        <v>0.77017999999999998</v>
      </c>
      <c r="R156">
        <f>IF(RawTable[[#This Row],[Exchange_Rate]]="","",ROUND(RawTable[[#This Row],[Gross_Amount]]*RawTable[[#This Row],[Exchange_Rate]],2))</f>
        <v>4929.7700000000004</v>
      </c>
      <c r="S156" t="str">
        <f>IF(RawTable[[#This Row],[Entity_Type]]&lt;&gt;"Employee",RawTable[[#This Row],[Entity_Type]],
IF(RawTable[[#This Row],[Country]]="Switzerland","Direct","EOR")
)</f>
        <v>EOR</v>
      </c>
      <c r="T156" t="str">
        <f>IF(RawTable[[#This Row],[Employment_Model]]&lt;&gt;"EOR","",
IFERROR(VLOOKUP(RawTable[[#This Row],[Country]],EORMap[#All],3,FALSE),"")
)</f>
        <v>Remote</v>
      </c>
    </row>
    <row r="157" spans="1:20">
      <c r="A157" s="24">
        <v>156</v>
      </c>
      <c r="B157" s="1" t="s">
        <v>30</v>
      </c>
      <c r="C157" s="3" t="s">
        <v>18</v>
      </c>
      <c r="D157" s="3" t="str">
        <f>IFERROR(VLOOKUP(RawTable[[#This Row],[Entity_Type]], EntityMap[], 2, FALSE), "")</f>
        <v>Payroll</v>
      </c>
      <c r="E157" s="3" t="s">
        <v>6</v>
      </c>
      <c r="F157" s="3" t="s">
        <v>82</v>
      </c>
      <c r="G157" s="3" t="str">
        <f>IFERROR(VLOOKUP(RawTable[[#This Row],[Name]], Name_Master!$A:$E, 4, FALSE), "")</f>
        <v>US-RT-000066636-AC-0000306612</v>
      </c>
      <c r="H15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PAY-USA-202603-000156</v>
      </c>
      <c r="I157" s="1">
        <f>IF(RawTable[[#This Row],[Month]]="","",DATE(YEAR(RawTable[[#This Row],[Month]]),MONTH(RawTable[[#This Row],[Month]]),1))</f>
        <v>46082</v>
      </c>
      <c r="J15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57" s="3" t="s">
        <v>7</v>
      </c>
      <c r="L157" s="4">
        <v>7491.51</v>
      </c>
      <c r="M157" s="2" t="str">
        <f>IF(RawTable[[#This Row],[Net_Amount]]="","",IF(RawTable[[#This Row],[Payment_Type]]="Vendor_Invoice","Yes","No"))</f>
        <v>No</v>
      </c>
      <c r="N157" s="6">
        <f>IF(D157="Vendor_Invoice",
     IFERROR(
         INDEX(System_Master_Data!$B$9:$B$14,
               MATCH(E157,System_Master_Data!$A$9:$A$14,0)
         ),
     0),
0)</f>
        <v>0</v>
      </c>
      <c r="O157" s="4">
        <f t="shared" si="4"/>
        <v>0</v>
      </c>
      <c r="P157" s="4">
        <f t="shared" si="5"/>
        <v>7491.51</v>
      </c>
      <c r="Q157" s="56">
        <f>IFERROR(VLOOKUP(RawTable[[#This Row],[Currency]], System_Master_Data!$A$24:$B$29, 2, FALSE), "")</f>
        <v>0.77017999999999998</v>
      </c>
      <c r="R157">
        <f>IF(RawTable[[#This Row],[Exchange_Rate]]="","",ROUND(RawTable[[#This Row],[Gross_Amount]]*RawTable[[#This Row],[Exchange_Rate]],2))</f>
        <v>5769.81</v>
      </c>
      <c r="S157" t="str">
        <f>IF(RawTable[[#This Row],[Entity_Type]]&lt;&gt;"Employee",RawTable[[#This Row],[Entity_Type]],
IF(RawTable[[#This Row],[Country]]="Switzerland","Direct","EOR")
)</f>
        <v>EOR</v>
      </c>
      <c r="T157" t="str">
        <f>IF(RawTable[[#This Row],[Employment_Model]]&lt;&gt;"EOR","",
IFERROR(VLOOKUP(RawTable[[#This Row],[Country]],EORMap[#All],3,FALSE),"")
)</f>
        <v>Remote</v>
      </c>
    </row>
    <row r="158" spans="1:20">
      <c r="A158" s="24">
        <v>157</v>
      </c>
      <c r="B158" s="1" t="s">
        <v>28</v>
      </c>
      <c r="C158" s="3" t="s">
        <v>18</v>
      </c>
      <c r="D158" s="3" t="str">
        <f>IFERROR(VLOOKUP(RawTable[[#This Row],[Entity_Type]], EntityMap[], 2, FALSE), "")</f>
        <v>Payroll</v>
      </c>
      <c r="E158" s="3" t="s">
        <v>10</v>
      </c>
      <c r="F158" s="3" t="s">
        <v>66</v>
      </c>
      <c r="G158" s="3" t="str">
        <f>IFERROR(VLOOKUP(RawTable[[#This Row],[Name]], Name_Master!$A:$E, 4, FALSE), "")</f>
        <v>JO-IBAN-00469110</v>
      </c>
      <c r="H15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PAY-Jordan-202602-000157</v>
      </c>
      <c r="I158" s="1">
        <f>IF(RawTable[[#This Row],[Month]]="","",DATE(YEAR(RawTable[[#This Row],[Month]]),MONTH(RawTable[[#This Row],[Month]]),1))</f>
        <v>46054</v>
      </c>
      <c r="J15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58" s="3" t="s">
        <v>11</v>
      </c>
      <c r="L158" s="4">
        <v>1921.46</v>
      </c>
      <c r="M158" s="2" t="str">
        <f>IF(RawTable[[#This Row],[Net_Amount]]="","",IF(RawTable[[#This Row],[Payment_Type]]="Vendor_Invoice","Yes","No"))</f>
        <v>No</v>
      </c>
      <c r="N158" s="6">
        <f>IF(D158="Vendor_Invoice",
     IFERROR(
         INDEX(System_Master_Data!$B$9:$B$14,
               MATCH(E158,System_Master_Data!$A$9:$A$14,0)
         ),
     0),
0)</f>
        <v>0</v>
      </c>
      <c r="O158" s="4">
        <f t="shared" si="4"/>
        <v>0</v>
      </c>
      <c r="P158" s="4">
        <f t="shared" si="5"/>
        <v>1921.46</v>
      </c>
      <c r="Q158" s="56">
        <f>IFERROR(VLOOKUP(RawTable[[#This Row],[Currency]], System_Master_Data!$A$24:$B$29, 2, FALSE), "")</f>
        <v>1.08643</v>
      </c>
      <c r="R158">
        <f>IF(RawTable[[#This Row],[Exchange_Rate]]="","",ROUND(RawTable[[#This Row],[Gross_Amount]]*RawTable[[#This Row],[Exchange_Rate]],2))</f>
        <v>2087.5300000000002</v>
      </c>
      <c r="S158" t="str">
        <f>IF(RawTable[[#This Row],[Entity_Type]]&lt;&gt;"Employee",RawTable[[#This Row],[Entity_Type]],
IF(RawTable[[#This Row],[Country]]="Switzerland","Direct","EOR")
)</f>
        <v>EOR</v>
      </c>
      <c r="T158" t="str">
        <f>IF(RawTable[[#This Row],[Employment_Model]]&lt;&gt;"EOR","",
IFERROR(VLOOKUP(RawTable[[#This Row],[Country]],EORMap[#All],3,FALSE),"")
)</f>
        <v>Oyster</v>
      </c>
    </row>
    <row r="159" spans="1:20">
      <c r="A159" s="24">
        <v>158</v>
      </c>
      <c r="B159" s="1" t="s">
        <v>30</v>
      </c>
      <c r="C159" s="3" t="s">
        <v>18</v>
      </c>
      <c r="D159" s="3" t="str">
        <f>IFERROR(VLOOKUP(RawTable[[#This Row],[Entity_Type]], EntityMap[], 2, FALSE), "")</f>
        <v>Payroll</v>
      </c>
      <c r="E159" s="3" t="s">
        <v>6</v>
      </c>
      <c r="F159" s="3" t="s">
        <v>103</v>
      </c>
      <c r="G159" s="3" t="str">
        <f>IFERROR(VLOOKUP(RawTable[[#This Row],[Name]], Name_Master!$A:$E, 4, FALSE), "")</f>
        <v>JO-IBAN-00925875</v>
      </c>
      <c r="H15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PAY-USA-202603-000158</v>
      </c>
      <c r="I159" s="1">
        <f>IF(RawTable[[#This Row],[Month]]="","",DATE(YEAR(RawTable[[#This Row],[Month]]),MONTH(RawTable[[#This Row],[Month]]),1))</f>
        <v>46082</v>
      </c>
      <c r="J15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59" s="3" t="s">
        <v>7</v>
      </c>
      <c r="L159" s="4">
        <v>7679.7</v>
      </c>
      <c r="M159" s="2" t="str">
        <f>IF(RawTable[[#This Row],[Net_Amount]]="","",IF(RawTable[[#This Row],[Payment_Type]]="Vendor_Invoice","Yes","No"))</f>
        <v>No</v>
      </c>
      <c r="N159" s="6">
        <f>IF(D159="Vendor_Invoice",
     IFERROR(
         INDEX(System_Master_Data!$B$9:$B$14,
               MATCH(E159,System_Master_Data!$A$9:$A$14,0)
         ),
     0),
0)</f>
        <v>0</v>
      </c>
      <c r="O159" s="4">
        <f t="shared" si="4"/>
        <v>0</v>
      </c>
      <c r="P159" s="4">
        <f t="shared" si="5"/>
        <v>7679.7</v>
      </c>
      <c r="Q159" s="56">
        <f>IFERROR(VLOOKUP(RawTable[[#This Row],[Currency]], System_Master_Data!$A$24:$B$29, 2, FALSE), "")</f>
        <v>0.77017999999999998</v>
      </c>
      <c r="R159">
        <f>IF(RawTable[[#This Row],[Exchange_Rate]]="","",ROUND(RawTable[[#This Row],[Gross_Amount]]*RawTable[[#This Row],[Exchange_Rate]],2))</f>
        <v>5914.75</v>
      </c>
      <c r="S159" t="str">
        <f>IF(RawTable[[#This Row],[Entity_Type]]&lt;&gt;"Employee",RawTable[[#This Row],[Entity_Type]],
IF(RawTable[[#This Row],[Country]]="Switzerland","Direct","EOR")
)</f>
        <v>EOR</v>
      </c>
      <c r="T159" t="str">
        <f>IF(RawTable[[#This Row],[Employment_Model]]&lt;&gt;"EOR","",
IFERROR(VLOOKUP(RawTable[[#This Row],[Country]],EORMap[#All],3,FALSE),"")
)</f>
        <v>Remote</v>
      </c>
    </row>
    <row r="160" spans="1:20">
      <c r="A160" s="24">
        <v>159</v>
      </c>
      <c r="B160" s="1" t="s">
        <v>35</v>
      </c>
      <c r="C160" s="3" t="s">
        <v>18</v>
      </c>
      <c r="D160" s="3" t="str">
        <f>IFERROR(VLOOKUP(RawTable[[#This Row],[Entity_Type]], EntityMap[], 2, FALSE), "")</f>
        <v>Payroll</v>
      </c>
      <c r="E160" s="3" t="s">
        <v>10</v>
      </c>
      <c r="F160" s="3" t="s">
        <v>86</v>
      </c>
      <c r="G160" s="3" t="str">
        <f>IFERROR(VLOOKUP(RawTable[[#This Row],[Name]], Name_Master!$A:$E, 4, FALSE), "")</f>
        <v>US-RT-000071572-AC-0000329324</v>
      </c>
      <c r="H16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PAY-Jordan-202601-000159</v>
      </c>
      <c r="I160" s="1">
        <f>IF(RawTable[[#This Row],[Month]]="","",DATE(YEAR(RawTable[[#This Row],[Month]]),MONTH(RawTable[[#This Row],[Month]]),1))</f>
        <v>46023</v>
      </c>
      <c r="J16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60" s="3" t="s">
        <v>11</v>
      </c>
      <c r="L160" s="4">
        <v>1922.94</v>
      </c>
      <c r="M160" s="2" t="str">
        <f>IF(RawTable[[#This Row],[Net_Amount]]="","",IF(RawTable[[#This Row],[Payment_Type]]="Vendor_Invoice","Yes","No"))</f>
        <v>No</v>
      </c>
      <c r="N160" s="6">
        <f>IF(D160="Vendor_Invoice",
     IFERROR(
         INDEX(System_Master_Data!$B$9:$B$14,
               MATCH(E160,System_Master_Data!$A$9:$A$14,0)
         ),
     0),
0)</f>
        <v>0</v>
      </c>
      <c r="O160" s="4">
        <f t="shared" si="4"/>
        <v>0</v>
      </c>
      <c r="P160" s="4">
        <f t="shared" si="5"/>
        <v>1922.94</v>
      </c>
      <c r="Q160" s="56">
        <f>IFERROR(VLOOKUP(RawTable[[#This Row],[Currency]], System_Master_Data!$A$24:$B$29, 2, FALSE), "")</f>
        <v>1.08643</v>
      </c>
      <c r="R160">
        <f>IF(RawTable[[#This Row],[Exchange_Rate]]="","",ROUND(RawTable[[#This Row],[Gross_Amount]]*RawTable[[#This Row],[Exchange_Rate]],2))</f>
        <v>2089.14</v>
      </c>
      <c r="S160" t="str">
        <f>IF(RawTable[[#This Row],[Entity_Type]]&lt;&gt;"Employee",RawTable[[#This Row],[Entity_Type]],
IF(RawTable[[#This Row],[Country]]="Switzerland","Direct","EOR")
)</f>
        <v>EOR</v>
      </c>
      <c r="T160" t="str">
        <f>IF(RawTable[[#This Row],[Employment_Model]]&lt;&gt;"EOR","",
IFERROR(VLOOKUP(RawTable[[#This Row],[Country]],EORMap[#All],3,FALSE),"")
)</f>
        <v>Oyster</v>
      </c>
    </row>
    <row r="161" spans="1:20">
      <c r="A161" s="24">
        <v>160</v>
      </c>
      <c r="B161" s="1" t="s">
        <v>35</v>
      </c>
      <c r="C161" s="3" t="s">
        <v>18</v>
      </c>
      <c r="D161" s="3" t="str">
        <f>IFERROR(VLOOKUP(RawTable[[#This Row],[Entity_Type]], EntityMap[], 2, FALSE), "")</f>
        <v>Payroll</v>
      </c>
      <c r="E161" s="3" t="s">
        <v>8</v>
      </c>
      <c r="F161" s="3" t="s">
        <v>89</v>
      </c>
      <c r="G161" s="3" t="str">
        <f>IFERROR(VLOOKUP(RawTable[[#This Row],[Name]], Name_Master!$A:$E, 4, FALSE), "")</f>
        <v>AE-IBAN-03313581</v>
      </c>
      <c r="H16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PAY-UAE-202601-000160</v>
      </c>
      <c r="I161" s="1">
        <f>IF(RawTable[[#This Row],[Month]]="","",DATE(YEAR(RawTable[[#This Row],[Month]]),MONTH(RawTable[[#This Row],[Month]]),1))</f>
        <v>46023</v>
      </c>
      <c r="J16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61" s="3" t="s">
        <v>9</v>
      </c>
      <c r="L161" s="4">
        <v>20418.55</v>
      </c>
      <c r="M161" s="2" t="str">
        <f>IF(RawTable[[#This Row],[Net_Amount]]="","",IF(RawTable[[#This Row],[Payment_Type]]="Vendor_Invoice","Yes","No"))</f>
        <v>No</v>
      </c>
      <c r="N161" s="6">
        <f>IF(D161="Vendor_Invoice",
     IFERROR(
         INDEX(System_Master_Data!$B$9:$B$14,
               MATCH(E161,System_Master_Data!$A$9:$A$14,0)
         ),
     0),
0)</f>
        <v>0</v>
      </c>
      <c r="O161" s="4">
        <f t="shared" si="4"/>
        <v>0</v>
      </c>
      <c r="P161" s="4">
        <f t="shared" si="5"/>
        <v>20418.55</v>
      </c>
      <c r="Q161" s="56">
        <f>IFERROR(VLOOKUP(RawTable[[#This Row],[Currency]], System_Master_Data!$A$24:$B$29, 2, FALSE), "")</f>
        <v>0.21065</v>
      </c>
      <c r="R161">
        <f>IF(RawTable[[#This Row],[Exchange_Rate]]="","",ROUND(RawTable[[#This Row],[Gross_Amount]]*RawTable[[#This Row],[Exchange_Rate]],2))</f>
        <v>4301.17</v>
      </c>
      <c r="S161" t="str">
        <f>IF(RawTable[[#This Row],[Entity_Type]]&lt;&gt;"Employee",RawTable[[#This Row],[Entity_Type]],
IF(RawTable[[#This Row],[Country]]="Switzerland","Direct","EOR")
)</f>
        <v>EOR</v>
      </c>
      <c r="T161" t="str">
        <f>IF(RawTable[[#This Row],[Employment_Model]]&lt;&gt;"EOR","",
IFERROR(VLOOKUP(RawTable[[#This Row],[Country]],EORMap[#All],3,FALSE),"")
)</f>
        <v>Deel</v>
      </c>
    </row>
    <row r="162" spans="1:20">
      <c r="A162" s="24">
        <v>161</v>
      </c>
      <c r="B162" s="1" t="s">
        <v>35</v>
      </c>
      <c r="C162" s="3" t="s">
        <v>18</v>
      </c>
      <c r="D162" s="3" t="str">
        <f>IFERROR(VLOOKUP(RawTable[[#This Row],[Entity_Type]], EntityMap[], 2, FALSE), "")</f>
        <v>Payroll</v>
      </c>
      <c r="E162" s="3" t="s">
        <v>2</v>
      </c>
      <c r="F162" s="3" t="s">
        <v>66</v>
      </c>
      <c r="G162" s="3" t="str">
        <f>IFERROR(VLOOKUP(RawTable[[#This Row],[Name]], Name_Master!$A:$E, 4, FALSE), "")</f>
        <v>JO-IBAN-00469110</v>
      </c>
      <c r="H16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PAY-Switzerland-202601-000161</v>
      </c>
      <c r="I162" s="1">
        <f>IF(RawTable[[#This Row],[Month]]="","",DATE(YEAR(RawTable[[#This Row],[Month]]),MONTH(RawTable[[#This Row],[Month]]),1))</f>
        <v>46023</v>
      </c>
      <c r="J16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62" s="3" t="s">
        <v>3</v>
      </c>
      <c r="L162" s="4">
        <v>6938.59</v>
      </c>
      <c r="M162" s="2" t="str">
        <f>IF(RawTable[[#This Row],[Net_Amount]]="","",IF(RawTable[[#This Row],[Payment_Type]]="Vendor_Invoice","Yes","No"))</f>
        <v>No</v>
      </c>
      <c r="N162" s="6">
        <f>IF(D162="Vendor_Invoice",
     IFERROR(
         INDEX(System_Master_Data!$B$9:$B$14,
               MATCH(E162,System_Master_Data!$A$9:$A$14,0)
         ),
     0),
0)</f>
        <v>0</v>
      </c>
      <c r="O162" s="4">
        <f t="shared" si="4"/>
        <v>0</v>
      </c>
      <c r="P162" s="4">
        <f t="shared" si="5"/>
        <v>6938.59</v>
      </c>
      <c r="Q162" s="56">
        <f>IFERROR(VLOOKUP(RawTable[[#This Row],[Currency]], System_Master_Data!$A$24:$B$29, 2, FALSE), "")</f>
        <v>1</v>
      </c>
      <c r="R162">
        <f>IF(RawTable[[#This Row],[Exchange_Rate]]="","",ROUND(RawTable[[#This Row],[Gross_Amount]]*RawTable[[#This Row],[Exchange_Rate]],2))</f>
        <v>6938.59</v>
      </c>
      <c r="S162" t="str">
        <f>IF(RawTable[[#This Row],[Entity_Type]]&lt;&gt;"Employee",RawTable[[#This Row],[Entity_Type]],
IF(RawTable[[#This Row],[Country]]="Switzerland","Direct","EOR")
)</f>
        <v>Direct</v>
      </c>
      <c r="T162" t="str">
        <f>IF(RawTable[[#This Row],[Employment_Model]]&lt;&gt;"EOR","",
IFERROR(VLOOKUP(RawTable[[#This Row],[Country]],EORMap[#All],3,FALSE),"")
)</f>
        <v/>
      </c>
    </row>
    <row r="163" spans="1:20">
      <c r="A163" s="24">
        <v>162</v>
      </c>
      <c r="B163" s="1" t="s">
        <v>30</v>
      </c>
      <c r="C163" s="3" t="s">
        <v>18</v>
      </c>
      <c r="D163" s="3" t="str">
        <f>IFERROR(VLOOKUP(RawTable[[#This Row],[Entity_Type]], EntityMap[], 2, FALSE), "")</f>
        <v>Payroll</v>
      </c>
      <c r="E163" s="3" t="s">
        <v>6</v>
      </c>
      <c r="F163" s="3" t="s">
        <v>105</v>
      </c>
      <c r="G163" s="3" t="str">
        <f>IFERROR(VLOOKUP(RawTable[[#This Row],[Name]], Name_Master!$A:$E, 4, FALSE), "")</f>
        <v>US-RT-000095018-AC-0000437206</v>
      </c>
      <c r="H16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PAY-USA-202603-000162</v>
      </c>
      <c r="I163" s="1">
        <f>IF(RawTable[[#This Row],[Month]]="","",DATE(YEAR(RawTable[[#This Row],[Month]]),MONTH(RawTable[[#This Row],[Month]]),1))</f>
        <v>46082</v>
      </c>
      <c r="J16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63" s="3" t="s">
        <v>7</v>
      </c>
      <c r="L163" s="4">
        <v>7132.3</v>
      </c>
      <c r="M163" s="2" t="str">
        <f>IF(RawTable[[#This Row],[Net_Amount]]="","",IF(RawTable[[#This Row],[Payment_Type]]="Vendor_Invoice","Yes","No"))</f>
        <v>No</v>
      </c>
      <c r="N163" s="6">
        <f>IF(D163="Vendor_Invoice",
     IFERROR(
         INDEX(System_Master_Data!$B$9:$B$14,
               MATCH(E163,System_Master_Data!$A$9:$A$14,0)
         ),
     0),
0)</f>
        <v>0</v>
      </c>
      <c r="O163" s="4">
        <f t="shared" si="4"/>
        <v>0</v>
      </c>
      <c r="P163" s="4">
        <f t="shared" si="5"/>
        <v>7132.3</v>
      </c>
      <c r="Q163" s="56">
        <f>IFERROR(VLOOKUP(RawTable[[#This Row],[Currency]], System_Master_Data!$A$24:$B$29, 2, FALSE), "")</f>
        <v>0.77017999999999998</v>
      </c>
      <c r="R163">
        <f>IF(RawTable[[#This Row],[Exchange_Rate]]="","",ROUND(RawTable[[#This Row],[Gross_Amount]]*RawTable[[#This Row],[Exchange_Rate]],2))</f>
        <v>5493.15</v>
      </c>
      <c r="S163" t="str">
        <f>IF(RawTable[[#This Row],[Entity_Type]]&lt;&gt;"Employee",RawTable[[#This Row],[Entity_Type]],
IF(RawTable[[#This Row],[Country]]="Switzerland","Direct","EOR")
)</f>
        <v>EOR</v>
      </c>
      <c r="T163" t="str">
        <f>IF(RawTable[[#This Row],[Employment_Model]]&lt;&gt;"EOR","",
IFERROR(VLOOKUP(RawTable[[#This Row],[Country]],EORMap[#All],3,FALSE),"")
)</f>
        <v>Remote</v>
      </c>
    </row>
    <row r="164" spans="1:20">
      <c r="A164" s="24">
        <v>163</v>
      </c>
      <c r="B164" s="1" t="s">
        <v>28</v>
      </c>
      <c r="C164" s="3" t="s">
        <v>18</v>
      </c>
      <c r="D164" s="3" t="str">
        <f>IFERROR(VLOOKUP(RawTable[[#This Row],[Entity_Type]], EntityMap[], 2, FALSE), "")</f>
        <v>Payroll</v>
      </c>
      <c r="E164" s="3" t="s">
        <v>8</v>
      </c>
      <c r="F164" s="3" t="s">
        <v>32</v>
      </c>
      <c r="G164" s="3" t="str">
        <f>IFERROR(VLOOKUP(RawTable[[#This Row],[Name]], Name_Master!$A:$E, 4, FALSE), "")</f>
        <v>US-RT-000006170-AC-0000028390</v>
      </c>
      <c r="H16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PAY-UAE-202602-000163</v>
      </c>
      <c r="I164" s="1">
        <f>IF(RawTable[[#This Row],[Month]]="","",DATE(YEAR(RawTable[[#This Row],[Month]]),MONTH(RawTable[[#This Row],[Month]]),1))</f>
        <v>46054</v>
      </c>
      <c r="J16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64" s="3" t="s">
        <v>9</v>
      </c>
      <c r="L164" s="4">
        <v>22242</v>
      </c>
      <c r="M164" s="2" t="str">
        <f>IF(RawTable[[#This Row],[Net_Amount]]="","",IF(RawTable[[#This Row],[Payment_Type]]="Vendor_Invoice","Yes","No"))</f>
        <v>No</v>
      </c>
      <c r="N164" s="6">
        <f>IF(D164="Vendor_Invoice",
     IFERROR(
         INDEX(System_Master_Data!$B$9:$B$14,
               MATCH(E164,System_Master_Data!$A$9:$A$14,0)
         ),
     0),
0)</f>
        <v>0</v>
      </c>
      <c r="O164" s="4">
        <f t="shared" si="4"/>
        <v>0</v>
      </c>
      <c r="P164" s="4">
        <f t="shared" si="5"/>
        <v>22242</v>
      </c>
      <c r="Q164" s="56">
        <f>IFERROR(VLOOKUP(RawTable[[#This Row],[Currency]], System_Master_Data!$A$24:$B$29, 2, FALSE), "")</f>
        <v>0.21065</v>
      </c>
      <c r="R164">
        <f>IF(RawTable[[#This Row],[Exchange_Rate]]="","",ROUND(RawTable[[#This Row],[Gross_Amount]]*RawTable[[#This Row],[Exchange_Rate]],2))</f>
        <v>4685.28</v>
      </c>
      <c r="S164" t="str">
        <f>IF(RawTable[[#This Row],[Entity_Type]]&lt;&gt;"Employee",RawTable[[#This Row],[Entity_Type]],
IF(RawTable[[#This Row],[Country]]="Switzerland","Direct","EOR")
)</f>
        <v>EOR</v>
      </c>
      <c r="T164" t="str">
        <f>IF(RawTable[[#This Row],[Employment_Model]]&lt;&gt;"EOR","",
IFERROR(VLOOKUP(RawTable[[#This Row],[Country]],EORMap[#All],3,FALSE),"")
)</f>
        <v>Deel</v>
      </c>
    </row>
    <row r="165" spans="1:20">
      <c r="A165" s="24">
        <v>164</v>
      </c>
      <c r="B165" s="1" t="s">
        <v>30</v>
      </c>
      <c r="C165" s="3" t="s">
        <v>18</v>
      </c>
      <c r="D165" s="3" t="str">
        <f>IFERROR(VLOOKUP(RawTable[[#This Row],[Entity_Type]], EntityMap[], 2, FALSE), "")</f>
        <v>Payroll</v>
      </c>
      <c r="E165" s="3" t="s">
        <v>10</v>
      </c>
      <c r="F165" s="3" t="s">
        <v>32</v>
      </c>
      <c r="G165" s="3" t="str">
        <f>IFERROR(VLOOKUP(RawTable[[#This Row],[Name]], Name_Master!$A:$E, 4, FALSE), "")</f>
        <v>US-RT-000006170-AC-0000028390</v>
      </c>
      <c r="H16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PAY-Jordan-202603-000164</v>
      </c>
      <c r="I165" s="1">
        <f>IF(RawTable[[#This Row],[Month]]="","",DATE(YEAR(RawTable[[#This Row],[Month]]),MONTH(RawTable[[#This Row],[Month]]),1))</f>
        <v>46082</v>
      </c>
      <c r="J16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65" s="3" t="s">
        <v>11</v>
      </c>
      <c r="L165" s="4">
        <v>1819.8</v>
      </c>
      <c r="M165" s="2" t="str">
        <f>IF(RawTable[[#This Row],[Net_Amount]]="","",IF(RawTable[[#This Row],[Payment_Type]]="Vendor_Invoice","Yes","No"))</f>
        <v>No</v>
      </c>
      <c r="N165" s="6">
        <f>IF(D165="Vendor_Invoice",
     IFERROR(
         INDEX(System_Master_Data!$B$9:$B$14,
               MATCH(E165,System_Master_Data!$A$9:$A$14,0)
         ),
     0),
0)</f>
        <v>0</v>
      </c>
      <c r="O165" s="4">
        <f t="shared" si="4"/>
        <v>0</v>
      </c>
      <c r="P165" s="4">
        <f t="shared" si="5"/>
        <v>1819.8</v>
      </c>
      <c r="Q165" s="56">
        <f>IFERROR(VLOOKUP(RawTable[[#This Row],[Currency]], System_Master_Data!$A$24:$B$29, 2, FALSE), "")</f>
        <v>1.08643</v>
      </c>
      <c r="R165">
        <f>IF(RawTable[[#This Row],[Exchange_Rate]]="","",ROUND(RawTable[[#This Row],[Gross_Amount]]*RawTable[[#This Row],[Exchange_Rate]],2))</f>
        <v>1977.09</v>
      </c>
      <c r="S165" t="str">
        <f>IF(RawTable[[#This Row],[Entity_Type]]&lt;&gt;"Employee",RawTable[[#This Row],[Entity_Type]],
IF(RawTable[[#This Row],[Country]]="Switzerland","Direct","EOR")
)</f>
        <v>EOR</v>
      </c>
      <c r="T165" t="str">
        <f>IF(RawTable[[#This Row],[Employment_Model]]&lt;&gt;"EOR","",
IFERROR(VLOOKUP(RawTable[[#This Row],[Country]],EORMap[#All],3,FALSE),"")
)</f>
        <v>Oyster</v>
      </c>
    </row>
    <row r="166" spans="1:20">
      <c r="A166" s="24">
        <v>165</v>
      </c>
      <c r="B166" s="1" t="s">
        <v>35</v>
      </c>
      <c r="C166" s="3" t="s">
        <v>18</v>
      </c>
      <c r="D166" s="3" t="str">
        <f>IFERROR(VLOOKUP(RawTable[[#This Row],[Entity_Type]], EntityMap[], 2, FALSE), "")</f>
        <v>Payroll</v>
      </c>
      <c r="E166" s="3" t="s">
        <v>6</v>
      </c>
      <c r="F166" s="3" t="s">
        <v>85</v>
      </c>
      <c r="G166" s="3" t="str">
        <f>IFERROR(VLOOKUP(RawTable[[#This Row],[Name]], Name_Master!$A:$E, 4, FALSE), "")</f>
        <v>JO-IBAN-00703665</v>
      </c>
      <c r="H16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PAY-USA-202601-000165</v>
      </c>
      <c r="I166" s="1">
        <f>IF(RawTable[[#This Row],[Month]]="","",DATE(YEAR(RawTable[[#This Row],[Month]]),MONTH(RawTable[[#This Row],[Month]]),1))</f>
        <v>46023</v>
      </c>
      <c r="J16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66" s="3" t="s">
        <v>7</v>
      </c>
      <c r="L166" s="4">
        <v>6540.8</v>
      </c>
      <c r="M166" s="2" t="str">
        <f>IF(RawTable[[#This Row],[Net_Amount]]="","",IF(RawTable[[#This Row],[Payment_Type]]="Vendor_Invoice","Yes","No"))</f>
        <v>No</v>
      </c>
      <c r="N166" s="6">
        <f>IF(D166="Vendor_Invoice",
     IFERROR(
         INDEX(System_Master_Data!$B$9:$B$14,
               MATCH(E166,System_Master_Data!$A$9:$A$14,0)
         ),
     0),
0)</f>
        <v>0</v>
      </c>
      <c r="O166" s="4">
        <f t="shared" si="4"/>
        <v>0</v>
      </c>
      <c r="P166" s="4">
        <f t="shared" si="5"/>
        <v>6540.8</v>
      </c>
      <c r="Q166" s="56">
        <f>IFERROR(VLOOKUP(RawTable[[#This Row],[Currency]], System_Master_Data!$A$24:$B$29, 2, FALSE), "")</f>
        <v>0.77017999999999998</v>
      </c>
      <c r="R166">
        <f>IF(RawTable[[#This Row],[Exchange_Rate]]="","",ROUND(RawTable[[#This Row],[Gross_Amount]]*RawTable[[#This Row],[Exchange_Rate]],2))</f>
        <v>5037.59</v>
      </c>
      <c r="S166" t="str">
        <f>IF(RawTable[[#This Row],[Entity_Type]]&lt;&gt;"Employee",RawTable[[#This Row],[Entity_Type]],
IF(RawTable[[#This Row],[Country]]="Switzerland","Direct","EOR")
)</f>
        <v>EOR</v>
      </c>
      <c r="T166" t="str">
        <f>IF(RawTable[[#This Row],[Employment_Model]]&lt;&gt;"EOR","",
IFERROR(VLOOKUP(RawTable[[#This Row],[Country]],EORMap[#All],3,FALSE),"")
)</f>
        <v>Remote</v>
      </c>
    </row>
    <row r="167" spans="1:20">
      <c r="A167" s="24">
        <v>166</v>
      </c>
      <c r="B167" s="1" t="s">
        <v>30</v>
      </c>
      <c r="C167" s="3" t="s">
        <v>18</v>
      </c>
      <c r="D167" s="3" t="str">
        <f>IFERROR(VLOOKUP(RawTable[[#This Row],[Entity_Type]], EntityMap[], 2, FALSE), "")</f>
        <v>Payroll</v>
      </c>
      <c r="E167" s="3" t="s">
        <v>10</v>
      </c>
      <c r="F167" s="3" t="s">
        <v>60</v>
      </c>
      <c r="G167" s="3" t="str">
        <f>IFERROR(VLOOKUP(RawTable[[#This Row],[Name]], Name_Master!$A:$E, 4, FALSE), "")</f>
        <v>AE-IBAN-01738272</v>
      </c>
      <c r="H16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PAY-Jordan-202603-000166</v>
      </c>
      <c r="I167" s="1">
        <f>IF(RawTable[[#This Row],[Month]]="","",DATE(YEAR(RawTable[[#This Row],[Month]]),MONTH(RawTable[[#This Row],[Month]]),1))</f>
        <v>46082</v>
      </c>
      <c r="J16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67" s="3" t="s">
        <v>11</v>
      </c>
      <c r="L167" s="4">
        <v>1723.04</v>
      </c>
      <c r="M167" s="2" t="str">
        <f>IF(RawTable[[#This Row],[Net_Amount]]="","",IF(RawTable[[#This Row],[Payment_Type]]="Vendor_Invoice","Yes","No"))</f>
        <v>No</v>
      </c>
      <c r="N167" s="6">
        <f>IF(D167="Vendor_Invoice",
     IFERROR(
         INDEX(System_Master_Data!$B$9:$B$14,
               MATCH(E167,System_Master_Data!$A$9:$A$14,0)
         ),
     0),
0)</f>
        <v>0</v>
      </c>
      <c r="O167" s="4">
        <f t="shared" si="4"/>
        <v>0</v>
      </c>
      <c r="P167" s="4">
        <f t="shared" si="5"/>
        <v>1723.04</v>
      </c>
      <c r="Q167" s="56">
        <f>IFERROR(VLOOKUP(RawTable[[#This Row],[Currency]], System_Master_Data!$A$24:$B$29, 2, FALSE), "")</f>
        <v>1.08643</v>
      </c>
      <c r="R167">
        <f>IF(RawTable[[#This Row],[Exchange_Rate]]="","",ROUND(RawTable[[#This Row],[Gross_Amount]]*RawTable[[#This Row],[Exchange_Rate]],2))</f>
        <v>1871.96</v>
      </c>
      <c r="S167" t="str">
        <f>IF(RawTable[[#This Row],[Entity_Type]]&lt;&gt;"Employee",RawTable[[#This Row],[Entity_Type]],
IF(RawTable[[#This Row],[Country]]="Switzerland","Direct","EOR")
)</f>
        <v>EOR</v>
      </c>
      <c r="T167" t="str">
        <f>IF(RawTable[[#This Row],[Employment_Model]]&lt;&gt;"EOR","",
IFERROR(VLOOKUP(RawTable[[#This Row],[Country]],EORMap[#All],3,FALSE),"")
)</f>
        <v>Oyster</v>
      </c>
    </row>
    <row r="168" spans="1:20">
      <c r="A168" s="24">
        <v>167</v>
      </c>
      <c r="B168" s="1" t="s">
        <v>30</v>
      </c>
      <c r="C168" s="3" t="s">
        <v>18</v>
      </c>
      <c r="D168" s="3" t="str">
        <f>IFERROR(VLOOKUP(RawTable[[#This Row],[Entity_Type]], EntityMap[], 2, FALSE), "")</f>
        <v>Payroll</v>
      </c>
      <c r="E168" s="3" t="s">
        <v>2</v>
      </c>
      <c r="F168" s="3" t="s">
        <v>94</v>
      </c>
      <c r="G168" s="3" t="str">
        <f>IFERROR(VLOOKUP(RawTable[[#This Row],[Name]], Name_Master!$A:$E, 4, FALSE), "")</f>
        <v>CH930000000001628880</v>
      </c>
      <c r="H16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PAY-Switzerland-202603-000167</v>
      </c>
      <c r="I168" s="1">
        <f>IF(RawTable[[#This Row],[Month]]="","",DATE(YEAR(RawTable[[#This Row],[Month]]),MONTH(RawTable[[#This Row],[Month]]),1))</f>
        <v>46082</v>
      </c>
      <c r="J16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68" s="3" t="s">
        <v>3</v>
      </c>
      <c r="L168" s="4">
        <v>6373.18</v>
      </c>
      <c r="M168" s="2" t="str">
        <f>IF(RawTable[[#This Row],[Net_Amount]]="","",IF(RawTable[[#This Row],[Payment_Type]]="Vendor_Invoice","Yes","No"))</f>
        <v>No</v>
      </c>
      <c r="N168" s="6">
        <f>IF(D168="Vendor_Invoice",
     IFERROR(
         INDEX(System_Master_Data!$B$9:$B$14,
               MATCH(E168,System_Master_Data!$A$9:$A$14,0)
         ),
     0),
0)</f>
        <v>0</v>
      </c>
      <c r="O168" s="4">
        <f t="shared" si="4"/>
        <v>0</v>
      </c>
      <c r="P168" s="4">
        <f t="shared" si="5"/>
        <v>6373.18</v>
      </c>
      <c r="Q168" s="56">
        <f>IFERROR(VLOOKUP(RawTable[[#This Row],[Currency]], System_Master_Data!$A$24:$B$29, 2, FALSE), "")</f>
        <v>1</v>
      </c>
      <c r="R168">
        <f>IF(RawTable[[#This Row],[Exchange_Rate]]="","",ROUND(RawTable[[#This Row],[Gross_Amount]]*RawTable[[#This Row],[Exchange_Rate]],2))</f>
        <v>6373.18</v>
      </c>
      <c r="S168" t="str">
        <f>IF(RawTable[[#This Row],[Entity_Type]]&lt;&gt;"Employee",RawTable[[#This Row],[Entity_Type]],
IF(RawTable[[#This Row],[Country]]="Switzerland","Direct","EOR")
)</f>
        <v>Direct</v>
      </c>
      <c r="T168" t="str">
        <f>IF(RawTable[[#This Row],[Employment_Model]]&lt;&gt;"EOR","",
IFERROR(VLOOKUP(RawTable[[#This Row],[Country]],EORMap[#All],3,FALSE),"")
)</f>
        <v/>
      </c>
    </row>
    <row r="169" spans="1:20">
      <c r="A169" s="24">
        <v>168</v>
      </c>
      <c r="B169" s="1" t="s">
        <v>28</v>
      </c>
      <c r="C169" s="3" t="s">
        <v>18</v>
      </c>
      <c r="D169" s="3" t="str">
        <f>IFERROR(VLOOKUP(RawTable[[#This Row],[Entity_Type]], EntityMap[], 2, FALSE), "")</f>
        <v>Payroll</v>
      </c>
      <c r="E169" s="3" t="s">
        <v>2</v>
      </c>
      <c r="F169" s="3" t="s">
        <v>42</v>
      </c>
      <c r="G169" s="3" t="str">
        <f>IFERROR(VLOOKUP(RawTable[[#This Row],[Name]], Name_Master!$A:$E, 4, FALSE), "")</f>
        <v>DE890000000000190106</v>
      </c>
      <c r="H16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PAY-Switzerland-202602-000168</v>
      </c>
      <c r="I169" s="1">
        <f>IF(RawTable[[#This Row],[Month]]="","",DATE(YEAR(RawTable[[#This Row],[Month]]),MONTH(RawTable[[#This Row],[Month]]),1))</f>
        <v>46054</v>
      </c>
      <c r="J16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69" s="3" t="s">
        <v>3</v>
      </c>
      <c r="L169" s="4">
        <v>6753.5</v>
      </c>
      <c r="M169" s="2" t="str">
        <f>IF(RawTable[[#This Row],[Net_Amount]]="","",IF(RawTable[[#This Row],[Payment_Type]]="Vendor_Invoice","Yes","No"))</f>
        <v>No</v>
      </c>
      <c r="N169" s="6">
        <f>IF(D169="Vendor_Invoice",
     IFERROR(
         INDEX(System_Master_Data!$B$9:$B$14,
               MATCH(E169,System_Master_Data!$A$9:$A$14,0)
         ),
     0),
0)</f>
        <v>0</v>
      </c>
      <c r="O169" s="4">
        <f t="shared" si="4"/>
        <v>0</v>
      </c>
      <c r="P169" s="4">
        <f t="shared" si="5"/>
        <v>6753.5</v>
      </c>
      <c r="Q169" s="56">
        <f>IFERROR(VLOOKUP(RawTable[[#This Row],[Currency]], System_Master_Data!$A$24:$B$29, 2, FALSE), "")</f>
        <v>1</v>
      </c>
      <c r="R169">
        <f>IF(RawTable[[#This Row],[Exchange_Rate]]="","",ROUND(RawTable[[#This Row],[Gross_Amount]]*RawTable[[#This Row],[Exchange_Rate]],2))</f>
        <v>6753.5</v>
      </c>
      <c r="S169" t="str">
        <f>IF(RawTable[[#This Row],[Entity_Type]]&lt;&gt;"Employee",RawTable[[#This Row],[Entity_Type]],
IF(RawTable[[#This Row],[Country]]="Switzerland","Direct","EOR")
)</f>
        <v>Direct</v>
      </c>
      <c r="T169" t="str">
        <f>IF(RawTable[[#This Row],[Employment_Model]]&lt;&gt;"EOR","",
IFERROR(VLOOKUP(RawTable[[#This Row],[Country]],EORMap[#All],3,FALSE),"")
)</f>
        <v/>
      </c>
    </row>
    <row r="170" spans="1:20">
      <c r="A170" s="24">
        <v>169</v>
      </c>
      <c r="B170" s="1" t="s">
        <v>30</v>
      </c>
      <c r="C170" s="3" t="s">
        <v>18</v>
      </c>
      <c r="D170" s="3" t="str">
        <f>IFERROR(VLOOKUP(RawTable[[#This Row],[Entity_Type]], EntityMap[], 2, FALSE), "")</f>
        <v>Payroll</v>
      </c>
      <c r="E170" s="3" t="s">
        <v>8</v>
      </c>
      <c r="F170" s="3" t="s">
        <v>55</v>
      </c>
      <c r="G170" s="3" t="str">
        <f>IFERROR(VLOOKUP(RawTable[[#This Row],[Name]], Name_Master!$A:$E, 4, FALSE), "")</f>
        <v>DE890000000000366633</v>
      </c>
      <c r="H17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PAY-UAE-202603-000169</v>
      </c>
      <c r="I170" s="1">
        <f>IF(RawTable[[#This Row],[Month]]="","",DATE(YEAR(RawTable[[#This Row],[Month]]),MONTH(RawTable[[#This Row],[Month]]),1))</f>
        <v>46082</v>
      </c>
      <c r="J17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70" s="3" t="s">
        <v>9</v>
      </c>
      <c r="L170" s="4">
        <v>22149.599999999999</v>
      </c>
      <c r="M170" s="2" t="str">
        <f>IF(RawTable[[#This Row],[Net_Amount]]="","",IF(RawTable[[#This Row],[Payment_Type]]="Vendor_Invoice","Yes","No"))</f>
        <v>No</v>
      </c>
      <c r="N170" s="6">
        <f>IF(D170="Vendor_Invoice",
     IFERROR(
         INDEX(System_Master_Data!$B$9:$B$14,
               MATCH(E170,System_Master_Data!$A$9:$A$14,0)
         ),
     0),
0)</f>
        <v>0</v>
      </c>
      <c r="O170" s="4">
        <f t="shared" si="4"/>
        <v>0</v>
      </c>
      <c r="P170" s="4">
        <f t="shared" si="5"/>
        <v>22149.599999999999</v>
      </c>
      <c r="Q170" s="56">
        <f>IFERROR(VLOOKUP(RawTable[[#This Row],[Currency]], System_Master_Data!$A$24:$B$29, 2, FALSE), "")</f>
        <v>0.21065</v>
      </c>
      <c r="R170">
        <f>IF(RawTable[[#This Row],[Exchange_Rate]]="","",ROUND(RawTable[[#This Row],[Gross_Amount]]*RawTable[[#This Row],[Exchange_Rate]],2))</f>
        <v>4665.8100000000004</v>
      </c>
      <c r="S170" t="str">
        <f>IF(RawTable[[#This Row],[Entity_Type]]&lt;&gt;"Employee",RawTable[[#This Row],[Entity_Type]],
IF(RawTable[[#This Row],[Country]]="Switzerland","Direct","EOR")
)</f>
        <v>EOR</v>
      </c>
      <c r="T170" t="str">
        <f>IF(RawTable[[#This Row],[Employment_Model]]&lt;&gt;"EOR","",
IFERROR(VLOOKUP(RawTable[[#This Row],[Country]],EORMap[#All],3,FALSE),"")
)</f>
        <v>Deel</v>
      </c>
    </row>
    <row r="171" spans="1:20">
      <c r="A171" s="24">
        <v>170</v>
      </c>
      <c r="B171" s="1" t="s">
        <v>28</v>
      </c>
      <c r="C171" s="3" t="s">
        <v>18</v>
      </c>
      <c r="D171" s="3" t="str">
        <f>IFERROR(VLOOKUP(RawTable[[#This Row],[Entity_Type]], EntityMap[], 2, FALSE), "")</f>
        <v>Payroll</v>
      </c>
      <c r="E171" s="3" t="s">
        <v>4</v>
      </c>
      <c r="F171" s="3" t="s">
        <v>92</v>
      </c>
      <c r="G171" s="3" t="str">
        <f>IFERROR(VLOOKUP(RawTable[[#This Row],[Name]], Name_Master!$A:$E, 4, FALSE), "")</f>
        <v>JO-IBAN-00790080</v>
      </c>
      <c r="H17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PAY-Germany-202602-000170</v>
      </c>
      <c r="I171" s="1">
        <f>IF(RawTable[[#This Row],[Month]]="","",DATE(YEAR(RawTable[[#This Row],[Month]]),MONTH(RawTable[[#This Row],[Month]]),1))</f>
        <v>46054</v>
      </c>
      <c r="J17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71" s="3" t="s">
        <v>5</v>
      </c>
      <c r="L171" s="4">
        <v>5868.93</v>
      </c>
      <c r="M171" s="2" t="str">
        <f>IF(RawTable[[#This Row],[Net_Amount]]="","",IF(RawTable[[#This Row],[Payment_Type]]="Vendor_Invoice","Yes","No"))</f>
        <v>No</v>
      </c>
      <c r="N171" s="6">
        <f>IF(D171="Vendor_Invoice",
     IFERROR(
         INDEX(System_Master_Data!$B$9:$B$14,
               MATCH(E171,System_Master_Data!$A$9:$A$14,0)
         ),
     0),
0)</f>
        <v>0</v>
      </c>
      <c r="O171" s="4">
        <f t="shared" si="4"/>
        <v>0</v>
      </c>
      <c r="P171" s="4">
        <f t="shared" si="5"/>
        <v>5868.93</v>
      </c>
      <c r="Q171" s="56">
        <f>IFERROR(VLOOKUP(RawTable[[#This Row],[Currency]], System_Master_Data!$A$24:$B$29, 2, FALSE), "")</f>
        <v>0.90888000000000002</v>
      </c>
      <c r="R171">
        <f>IF(RawTable[[#This Row],[Exchange_Rate]]="","",ROUND(RawTable[[#This Row],[Gross_Amount]]*RawTable[[#This Row],[Exchange_Rate]],2))</f>
        <v>5334.15</v>
      </c>
      <c r="S171" t="str">
        <f>IF(RawTable[[#This Row],[Entity_Type]]&lt;&gt;"Employee",RawTable[[#This Row],[Entity_Type]],
IF(RawTable[[#This Row],[Country]]="Switzerland","Direct","EOR")
)</f>
        <v>EOR</v>
      </c>
      <c r="T171" t="str">
        <f>IF(RawTable[[#This Row],[Employment_Model]]&lt;&gt;"EOR","",
IFERROR(VLOOKUP(RawTable[[#This Row],[Country]],EORMap[#All],3,FALSE),"")
)</f>
        <v>Oyster</v>
      </c>
    </row>
    <row r="172" spans="1:20">
      <c r="A172" s="24">
        <v>171</v>
      </c>
      <c r="B172" s="1" t="s">
        <v>28</v>
      </c>
      <c r="C172" s="3" t="s">
        <v>18</v>
      </c>
      <c r="D172" s="3" t="str">
        <f>IFERROR(VLOOKUP(RawTable[[#This Row],[Entity_Type]], EntityMap[], 2, FALSE), "")</f>
        <v>Payroll</v>
      </c>
      <c r="E172" s="3" t="s">
        <v>2</v>
      </c>
      <c r="F172" s="3" t="s">
        <v>77</v>
      </c>
      <c r="G172" s="3" t="str">
        <f>IFERROR(VLOOKUP(RawTable[[#This Row],[Name]], Name_Master!$A:$E, 4, FALSE), "")</f>
        <v>CH930000000001209320</v>
      </c>
      <c r="H17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PAY-Switzerland-202602-000171</v>
      </c>
      <c r="I172" s="1">
        <f>IF(RawTable[[#This Row],[Month]]="","",DATE(YEAR(RawTable[[#This Row],[Month]]),MONTH(RawTable[[#This Row],[Month]]),1))</f>
        <v>46054</v>
      </c>
      <c r="J17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72" s="3" t="s">
        <v>3</v>
      </c>
      <c r="L172" s="4">
        <v>6917.48</v>
      </c>
      <c r="M172" s="2" t="str">
        <f>IF(RawTable[[#This Row],[Net_Amount]]="","",IF(RawTable[[#This Row],[Payment_Type]]="Vendor_Invoice","Yes","No"))</f>
        <v>No</v>
      </c>
      <c r="N172" s="6">
        <f>IF(D172="Vendor_Invoice",
     IFERROR(
         INDEX(System_Master_Data!$B$9:$B$14,
               MATCH(E172,System_Master_Data!$A$9:$A$14,0)
         ),
     0),
0)</f>
        <v>0</v>
      </c>
      <c r="O172" s="4">
        <f t="shared" si="4"/>
        <v>0</v>
      </c>
      <c r="P172" s="4">
        <f t="shared" si="5"/>
        <v>6917.48</v>
      </c>
      <c r="Q172" s="56">
        <f>IFERROR(VLOOKUP(RawTable[[#This Row],[Currency]], System_Master_Data!$A$24:$B$29, 2, FALSE), "")</f>
        <v>1</v>
      </c>
      <c r="R172">
        <f>IF(RawTable[[#This Row],[Exchange_Rate]]="","",ROUND(RawTable[[#This Row],[Gross_Amount]]*RawTable[[#This Row],[Exchange_Rate]],2))</f>
        <v>6917.48</v>
      </c>
      <c r="S172" t="str">
        <f>IF(RawTable[[#This Row],[Entity_Type]]&lt;&gt;"Employee",RawTable[[#This Row],[Entity_Type]],
IF(RawTable[[#This Row],[Country]]="Switzerland","Direct","EOR")
)</f>
        <v>Direct</v>
      </c>
      <c r="T172" t="str">
        <f>IF(RawTable[[#This Row],[Employment_Model]]&lt;&gt;"EOR","",
IFERROR(VLOOKUP(RawTable[[#This Row],[Country]],EORMap[#All],3,FALSE),"")
)</f>
        <v/>
      </c>
    </row>
    <row r="173" spans="1:20">
      <c r="A173" s="24">
        <v>172</v>
      </c>
      <c r="B173" s="1" t="s">
        <v>30</v>
      </c>
      <c r="C173" s="3" t="s">
        <v>18</v>
      </c>
      <c r="D173" s="3" t="str">
        <f>IFERROR(VLOOKUP(RawTable[[#This Row],[Entity_Type]], EntityMap[], 2, FALSE), "")</f>
        <v>Payroll</v>
      </c>
      <c r="E173" s="3" t="s">
        <v>4</v>
      </c>
      <c r="F173" s="3" t="s">
        <v>94</v>
      </c>
      <c r="G173" s="3" t="str">
        <f>IFERROR(VLOOKUP(RawTable[[#This Row],[Name]], Name_Master!$A:$E, 4, FALSE), "")</f>
        <v>CH930000000001628880</v>
      </c>
      <c r="H17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PAY-Germany-202603-000172</v>
      </c>
      <c r="I173" s="1">
        <f>IF(RawTable[[#This Row],[Month]]="","",DATE(YEAR(RawTable[[#This Row],[Month]]),MONTH(RawTable[[#This Row],[Month]]),1))</f>
        <v>46082</v>
      </c>
      <c r="J17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73" s="3" t="s">
        <v>5</v>
      </c>
      <c r="L173" s="4">
        <v>5796</v>
      </c>
      <c r="M173" s="2" t="str">
        <f>IF(RawTable[[#This Row],[Net_Amount]]="","",IF(RawTable[[#This Row],[Payment_Type]]="Vendor_Invoice","Yes","No"))</f>
        <v>No</v>
      </c>
      <c r="N173" s="6">
        <f>IF(D173="Vendor_Invoice",
     IFERROR(
         INDEX(System_Master_Data!$B$9:$B$14,
               MATCH(E173,System_Master_Data!$A$9:$A$14,0)
         ),
     0),
0)</f>
        <v>0</v>
      </c>
      <c r="O173" s="4">
        <f t="shared" si="4"/>
        <v>0</v>
      </c>
      <c r="P173" s="4">
        <f t="shared" si="5"/>
        <v>5796</v>
      </c>
      <c r="Q173" s="56">
        <f>IFERROR(VLOOKUP(RawTable[[#This Row],[Currency]], System_Master_Data!$A$24:$B$29, 2, FALSE), "")</f>
        <v>0.90888000000000002</v>
      </c>
      <c r="R173">
        <f>IF(RawTable[[#This Row],[Exchange_Rate]]="","",ROUND(RawTable[[#This Row],[Gross_Amount]]*RawTable[[#This Row],[Exchange_Rate]],2))</f>
        <v>5267.87</v>
      </c>
      <c r="S173" t="str">
        <f>IF(RawTable[[#This Row],[Entity_Type]]&lt;&gt;"Employee",RawTable[[#This Row],[Entity_Type]],
IF(RawTable[[#This Row],[Country]]="Switzerland","Direct","EOR")
)</f>
        <v>EOR</v>
      </c>
      <c r="T173" t="str">
        <f>IF(RawTable[[#This Row],[Employment_Model]]&lt;&gt;"EOR","",
IFERROR(VLOOKUP(RawTable[[#This Row],[Country]],EORMap[#All],3,FALSE),"")
)</f>
        <v>Oyster</v>
      </c>
    </row>
    <row r="174" spans="1:20">
      <c r="A174" s="24">
        <v>173</v>
      </c>
      <c r="B174" s="1" t="s">
        <v>30</v>
      </c>
      <c r="C174" s="3" t="s">
        <v>18</v>
      </c>
      <c r="D174" s="3" t="str">
        <f>IFERROR(VLOOKUP(RawTable[[#This Row],[Entity_Type]], EntityMap[], 2, FALSE), "")</f>
        <v>Payroll</v>
      </c>
      <c r="E174" s="3" t="s">
        <v>8</v>
      </c>
      <c r="F174" s="3" t="s">
        <v>85</v>
      </c>
      <c r="G174" s="3" t="str">
        <f>IFERROR(VLOOKUP(RawTable[[#This Row],[Name]], Name_Master!$A:$E, 4, FALSE), "")</f>
        <v>JO-IBAN-00703665</v>
      </c>
      <c r="H17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PAY-UAE-202603-000173</v>
      </c>
      <c r="I174" s="1">
        <f>IF(RawTable[[#This Row],[Month]]="","",DATE(YEAR(RawTable[[#This Row],[Month]]),MONTH(RawTable[[#This Row],[Month]]),1))</f>
        <v>46082</v>
      </c>
      <c r="J17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74" s="3" t="s">
        <v>9</v>
      </c>
      <c r="L174" s="4">
        <v>20556.8</v>
      </c>
      <c r="M174" s="2" t="str">
        <f>IF(RawTable[[#This Row],[Net_Amount]]="","",IF(RawTable[[#This Row],[Payment_Type]]="Vendor_Invoice","Yes","No"))</f>
        <v>No</v>
      </c>
      <c r="N174" s="6">
        <f>IF(D174="Vendor_Invoice",
     IFERROR(
         INDEX(System_Master_Data!$B$9:$B$14,
               MATCH(E174,System_Master_Data!$A$9:$A$14,0)
         ),
     0),
0)</f>
        <v>0</v>
      </c>
      <c r="O174" s="4">
        <f t="shared" si="4"/>
        <v>0</v>
      </c>
      <c r="P174" s="4">
        <f t="shared" si="5"/>
        <v>20556.8</v>
      </c>
      <c r="Q174" s="56">
        <f>IFERROR(VLOOKUP(RawTable[[#This Row],[Currency]], System_Master_Data!$A$24:$B$29, 2, FALSE), "")</f>
        <v>0.21065</v>
      </c>
      <c r="R174">
        <f>IF(RawTable[[#This Row],[Exchange_Rate]]="","",ROUND(RawTable[[#This Row],[Gross_Amount]]*RawTable[[#This Row],[Exchange_Rate]],2))</f>
        <v>4330.29</v>
      </c>
      <c r="S174" t="str">
        <f>IF(RawTable[[#This Row],[Entity_Type]]&lt;&gt;"Employee",RawTable[[#This Row],[Entity_Type]],
IF(RawTable[[#This Row],[Country]]="Switzerland","Direct","EOR")
)</f>
        <v>EOR</v>
      </c>
      <c r="T174" t="str">
        <f>IF(RawTable[[#This Row],[Employment_Model]]&lt;&gt;"EOR","",
IFERROR(VLOOKUP(RawTable[[#This Row],[Country]],EORMap[#All],3,FALSE),"")
)</f>
        <v>Deel</v>
      </c>
    </row>
    <row r="175" spans="1:20">
      <c r="A175" s="24">
        <v>174</v>
      </c>
      <c r="B175" s="1" t="s">
        <v>30</v>
      </c>
      <c r="C175" s="3" t="s">
        <v>18</v>
      </c>
      <c r="D175" s="3" t="str">
        <f>IFERROR(VLOOKUP(RawTable[[#This Row],[Entity_Type]], EntityMap[], 2, FALSE), "")</f>
        <v>Payroll</v>
      </c>
      <c r="E175" s="3" t="s">
        <v>4</v>
      </c>
      <c r="F175" s="3" t="s">
        <v>86</v>
      </c>
      <c r="G175" s="3" t="str">
        <f>IFERROR(VLOOKUP(RawTable[[#This Row],[Name]], Name_Master!$A:$E, 4, FALSE), "")</f>
        <v>US-RT-000071572-AC-0000329324</v>
      </c>
      <c r="H17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PAY-Germany-202603-000174</v>
      </c>
      <c r="I175" s="1">
        <f>IF(RawTable[[#This Row],[Month]]="","",DATE(YEAR(RawTable[[#This Row],[Month]]),MONTH(RawTable[[#This Row],[Month]]),1))</f>
        <v>46082</v>
      </c>
      <c r="J17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75" s="3" t="s">
        <v>5</v>
      </c>
      <c r="L175" s="4">
        <v>6603.54</v>
      </c>
      <c r="M175" s="2" t="str">
        <f>IF(RawTable[[#This Row],[Net_Amount]]="","",IF(RawTable[[#This Row],[Payment_Type]]="Vendor_Invoice","Yes","No"))</f>
        <v>No</v>
      </c>
      <c r="N175" s="6">
        <f>IF(D175="Vendor_Invoice",
     IFERROR(
         INDEX(System_Master_Data!$B$9:$B$14,
               MATCH(E175,System_Master_Data!$A$9:$A$14,0)
         ),
     0),
0)</f>
        <v>0</v>
      </c>
      <c r="O175" s="4">
        <f t="shared" si="4"/>
        <v>0</v>
      </c>
      <c r="P175" s="4">
        <f t="shared" si="5"/>
        <v>6603.54</v>
      </c>
      <c r="Q175" s="56">
        <f>IFERROR(VLOOKUP(RawTable[[#This Row],[Currency]], System_Master_Data!$A$24:$B$29, 2, FALSE), "")</f>
        <v>0.90888000000000002</v>
      </c>
      <c r="R175">
        <f>IF(RawTable[[#This Row],[Exchange_Rate]]="","",ROUND(RawTable[[#This Row],[Gross_Amount]]*RawTable[[#This Row],[Exchange_Rate]],2))</f>
        <v>6001.83</v>
      </c>
      <c r="S175" t="str">
        <f>IF(RawTable[[#This Row],[Entity_Type]]&lt;&gt;"Employee",RawTable[[#This Row],[Entity_Type]],
IF(RawTable[[#This Row],[Country]]="Switzerland","Direct","EOR")
)</f>
        <v>EOR</v>
      </c>
      <c r="T175" t="str">
        <f>IF(RawTable[[#This Row],[Employment_Model]]&lt;&gt;"EOR","",
IFERROR(VLOOKUP(RawTable[[#This Row],[Country]],EORMap[#All],3,FALSE),"")
)</f>
        <v>Oyster</v>
      </c>
    </row>
    <row r="176" spans="1:20">
      <c r="A176" s="24">
        <v>175</v>
      </c>
      <c r="B176" s="1" t="s">
        <v>30</v>
      </c>
      <c r="C176" s="3" t="s">
        <v>18</v>
      </c>
      <c r="D176" s="3" t="str">
        <f>IFERROR(VLOOKUP(RawTable[[#This Row],[Entity_Type]], EntityMap[], 2, FALSE), "")</f>
        <v>Payroll</v>
      </c>
      <c r="E176" s="3" t="s">
        <v>10</v>
      </c>
      <c r="F176" s="3" t="s">
        <v>64</v>
      </c>
      <c r="G176" s="3" t="str">
        <f>IFERROR(VLOOKUP(RawTable[[#This Row],[Name]], Name_Master!$A:$E, 4, FALSE), "")</f>
        <v>JO-IBAN-00444420</v>
      </c>
      <c r="H17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PAY-Jordan-202603-000175</v>
      </c>
      <c r="I176" s="1">
        <f>IF(RawTable[[#This Row],[Month]]="","",DATE(YEAR(RawTable[[#This Row],[Month]]),MONTH(RawTable[[#This Row],[Month]]),1))</f>
        <v>46082</v>
      </c>
      <c r="J17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76" s="3" t="s">
        <v>11</v>
      </c>
      <c r="L176" s="4">
        <v>1958.54</v>
      </c>
      <c r="M176" s="2" t="str">
        <f>IF(RawTable[[#This Row],[Net_Amount]]="","",IF(RawTable[[#This Row],[Payment_Type]]="Vendor_Invoice","Yes","No"))</f>
        <v>No</v>
      </c>
      <c r="N176" s="6">
        <f>IF(D176="Vendor_Invoice",
     IFERROR(
         INDEX(System_Master_Data!$B$9:$B$14,
               MATCH(E176,System_Master_Data!$A$9:$A$14,0)
         ),
     0),
0)</f>
        <v>0</v>
      </c>
      <c r="O176" s="4">
        <f t="shared" si="4"/>
        <v>0</v>
      </c>
      <c r="P176" s="4">
        <f t="shared" si="5"/>
        <v>1958.54</v>
      </c>
      <c r="Q176" s="56">
        <f>IFERROR(VLOOKUP(RawTable[[#This Row],[Currency]], System_Master_Data!$A$24:$B$29, 2, FALSE), "")</f>
        <v>1.08643</v>
      </c>
      <c r="R176">
        <f>IF(RawTable[[#This Row],[Exchange_Rate]]="","",ROUND(RawTable[[#This Row],[Gross_Amount]]*RawTable[[#This Row],[Exchange_Rate]],2))</f>
        <v>2127.8200000000002</v>
      </c>
      <c r="S176" t="str">
        <f>IF(RawTable[[#This Row],[Entity_Type]]&lt;&gt;"Employee",RawTable[[#This Row],[Entity_Type]],
IF(RawTable[[#This Row],[Country]]="Switzerland","Direct","EOR")
)</f>
        <v>EOR</v>
      </c>
      <c r="T176" t="str">
        <f>IF(RawTable[[#This Row],[Employment_Model]]&lt;&gt;"EOR","",
IFERROR(VLOOKUP(RawTable[[#This Row],[Country]],EORMap[#All],3,FALSE),"")
)</f>
        <v>Oyster</v>
      </c>
    </row>
    <row r="177" spans="1:20">
      <c r="A177" s="24">
        <v>176</v>
      </c>
      <c r="B177" s="1" t="s">
        <v>30</v>
      </c>
      <c r="C177" s="3" t="s">
        <v>18</v>
      </c>
      <c r="D177" s="3" t="str">
        <f>IFERROR(VLOOKUP(RawTable[[#This Row],[Entity_Type]], EntityMap[], 2, FALSE), "")</f>
        <v>Payroll</v>
      </c>
      <c r="E177" s="3" t="s">
        <v>6</v>
      </c>
      <c r="F177" s="3" t="s">
        <v>59</v>
      </c>
      <c r="G177" s="3" t="str">
        <f>IFERROR(VLOOKUP(RawTable[[#This Row],[Name]], Name_Master!$A:$E, 4, FALSE), "")</f>
        <v>JO-IBAN-00382695</v>
      </c>
      <c r="H17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PAY-USA-202603-000176</v>
      </c>
      <c r="I177" s="1">
        <f>IF(RawTable[[#This Row],[Month]]="","",DATE(YEAR(RawTable[[#This Row],[Month]]),MONTH(RawTable[[#This Row],[Month]]),1))</f>
        <v>46082</v>
      </c>
      <c r="J17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77" s="3" t="s">
        <v>7</v>
      </c>
      <c r="L177" s="4">
        <v>6399.4</v>
      </c>
      <c r="M177" s="2" t="str">
        <f>IF(RawTable[[#This Row],[Net_Amount]]="","",IF(RawTable[[#This Row],[Payment_Type]]="Vendor_Invoice","Yes","No"))</f>
        <v>No</v>
      </c>
      <c r="N177" s="6">
        <f>IF(D177="Vendor_Invoice",
     IFERROR(
         INDEX(System_Master_Data!$B$9:$B$14,
               MATCH(E177,System_Master_Data!$A$9:$A$14,0)
         ),
     0),
0)</f>
        <v>0</v>
      </c>
      <c r="O177" s="4">
        <f t="shared" si="4"/>
        <v>0</v>
      </c>
      <c r="P177" s="4">
        <f t="shared" si="5"/>
        <v>6399.4</v>
      </c>
      <c r="Q177" s="56">
        <f>IFERROR(VLOOKUP(RawTable[[#This Row],[Currency]], System_Master_Data!$A$24:$B$29, 2, FALSE), "")</f>
        <v>0.77017999999999998</v>
      </c>
      <c r="R177">
        <f>IF(RawTable[[#This Row],[Exchange_Rate]]="","",ROUND(RawTable[[#This Row],[Gross_Amount]]*RawTable[[#This Row],[Exchange_Rate]],2))</f>
        <v>4928.6899999999996</v>
      </c>
      <c r="S177" t="str">
        <f>IF(RawTable[[#This Row],[Entity_Type]]&lt;&gt;"Employee",RawTable[[#This Row],[Entity_Type]],
IF(RawTable[[#This Row],[Country]]="Switzerland","Direct","EOR")
)</f>
        <v>EOR</v>
      </c>
      <c r="T177" t="str">
        <f>IF(RawTable[[#This Row],[Employment_Model]]&lt;&gt;"EOR","",
IFERROR(VLOOKUP(RawTable[[#This Row],[Country]],EORMap[#All],3,FALSE),"")
)</f>
        <v>Remote</v>
      </c>
    </row>
    <row r="178" spans="1:20">
      <c r="A178" s="24">
        <v>177</v>
      </c>
      <c r="B178" s="1" t="s">
        <v>28</v>
      </c>
      <c r="C178" s="3" t="s">
        <v>18</v>
      </c>
      <c r="D178" s="3" t="str">
        <f>IFERROR(VLOOKUP(RawTable[[#This Row],[Entity_Type]], EntityMap[], 2, FALSE), "")</f>
        <v>Payroll</v>
      </c>
      <c r="E178" s="3" t="s">
        <v>10</v>
      </c>
      <c r="F178" s="3" t="s">
        <v>50</v>
      </c>
      <c r="G178" s="3" t="str">
        <f>IFERROR(VLOOKUP(RawTable[[#This Row],[Name]], Name_Master!$A:$E, 4, FALSE), "")</f>
        <v>DE890000000000298738</v>
      </c>
      <c r="H17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PAY-Jordan-202602-000177</v>
      </c>
      <c r="I178" s="1">
        <f>IF(RawTable[[#This Row],[Month]]="","",DATE(YEAR(RawTable[[#This Row],[Month]]),MONTH(RawTable[[#This Row],[Month]]),1))</f>
        <v>46054</v>
      </c>
      <c r="J17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78" s="3" t="s">
        <v>11</v>
      </c>
      <c r="L178" s="4">
        <v>1865.88</v>
      </c>
      <c r="M178" s="2" t="str">
        <f>IF(RawTable[[#This Row],[Net_Amount]]="","",IF(RawTable[[#This Row],[Payment_Type]]="Vendor_Invoice","Yes","No"))</f>
        <v>No</v>
      </c>
      <c r="N178" s="6">
        <f>IF(D178="Vendor_Invoice",
     IFERROR(
         INDEX(System_Master_Data!$B$9:$B$14,
               MATCH(E178,System_Master_Data!$A$9:$A$14,0)
         ),
     0),
0)</f>
        <v>0</v>
      </c>
      <c r="O178" s="4">
        <f t="shared" si="4"/>
        <v>0</v>
      </c>
      <c r="P178" s="4">
        <f t="shared" si="5"/>
        <v>1865.88</v>
      </c>
      <c r="Q178" s="56">
        <f>IFERROR(VLOOKUP(RawTable[[#This Row],[Currency]], System_Master_Data!$A$24:$B$29, 2, FALSE), "")</f>
        <v>1.08643</v>
      </c>
      <c r="R178">
        <f>IF(RawTable[[#This Row],[Exchange_Rate]]="","",ROUND(RawTable[[#This Row],[Gross_Amount]]*RawTable[[#This Row],[Exchange_Rate]],2))</f>
        <v>2027.15</v>
      </c>
      <c r="S178" t="str">
        <f>IF(RawTable[[#This Row],[Entity_Type]]&lt;&gt;"Employee",RawTable[[#This Row],[Entity_Type]],
IF(RawTable[[#This Row],[Country]]="Switzerland","Direct","EOR")
)</f>
        <v>EOR</v>
      </c>
      <c r="T178" t="str">
        <f>IF(RawTable[[#This Row],[Employment_Model]]&lt;&gt;"EOR","",
IFERROR(VLOOKUP(RawTable[[#This Row],[Country]],EORMap[#All],3,FALSE),"")
)</f>
        <v>Oyster</v>
      </c>
    </row>
    <row r="179" spans="1:20">
      <c r="A179" s="24">
        <v>178</v>
      </c>
      <c r="B179" s="1" t="s">
        <v>28</v>
      </c>
      <c r="C179" s="3" t="s">
        <v>18</v>
      </c>
      <c r="D179" s="3" t="str">
        <f>IFERROR(VLOOKUP(RawTable[[#This Row],[Entity_Type]], EntityMap[], 2, FALSE), "")</f>
        <v>Payroll</v>
      </c>
      <c r="E179" s="3" t="s">
        <v>4</v>
      </c>
      <c r="F179" s="3" t="s">
        <v>80</v>
      </c>
      <c r="G179" s="3" t="str">
        <f>IFERROR(VLOOKUP(RawTable[[#This Row],[Name]], Name_Master!$A:$E, 4, FALSE), "")</f>
        <v>JO-IBAN-00641940</v>
      </c>
      <c r="H17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PAY-Germany-202602-000178</v>
      </c>
      <c r="I179" s="1">
        <f>IF(RawTable[[#This Row],[Month]]="","",DATE(YEAR(RawTable[[#This Row],[Month]]),MONTH(RawTable[[#This Row],[Month]]),1))</f>
        <v>46054</v>
      </c>
      <c r="J17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79" s="3" t="s">
        <v>5</v>
      </c>
      <c r="L179" s="4">
        <v>5673</v>
      </c>
      <c r="M179" s="2" t="str">
        <f>IF(RawTable[[#This Row],[Net_Amount]]="","",IF(RawTable[[#This Row],[Payment_Type]]="Vendor_Invoice","Yes","No"))</f>
        <v>No</v>
      </c>
      <c r="N179" s="6">
        <f>IF(D179="Vendor_Invoice",
     IFERROR(
         INDEX(System_Master_Data!$B$9:$B$14,
               MATCH(E179,System_Master_Data!$A$9:$A$14,0)
         ),
     0),
0)</f>
        <v>0</v>
      </c>
      <c r="O179" s="4">
        <f t="shared" si="4"/>
        <v>0</v>
      </c>
      <c r="P179" s="4">
        <f t="shared" si="5"/>
        <v>5673</v>
      </c>
      <c r="Q179" s="56">
        <f>IFERROR(VLOOKUP(RawTable[[#This Row],[Currency]], System_Master_Data!$A$24:$B$29, 2, FALSE), "")</f>
        <v>0.90888000000000002</v>
      </c>
      <c r="R179">
        <f>IF(RawTable[[#This Row],[Exchange_Rate]]="","",ROUND(RawTable[[#This Row],[Gross_Amount]]*RawTable[[#This Row],[Exchange_Rate]],2))</f>
        <v>5156.08</v>
      </c>
      <c r="S179" t="str">
        <f>IF(RawTable[[#This Row],[Entity_Type]]&lt;&gt;"Employee",RawTable[[#This Row],[Entity_Type]],
IF(RawTable[[#This Row],[Country]]="Switzerland","Direct","EOR")
)</f>
        <v>EOR</v>
      </c>
      <c r="T179" t="str">
        <f>IF(RawTable[[#This Row],[Employment_Model]]&lt;&gt;"EOR","",
IFERROR(VLOOKUP(RawTable[[#This Row],[Country]],EORMap[#All],3,FALSE),"")
)</f>
        <v>Oyster</v>
      </c>
    </row>
    <row r="180" spans="1:20">
      <c r="A180" s="24">
        <v>179</v>
      </c>
      <c r="B180" s="1" t="s">
        <v>30</v>
      </c>
      <c r="C180" s="3" t="s">
        <v>18</v>
      </c>
      <c r="D180" s="3" t="str">
        <f>IFERROR(VLOOKUP(RawTable[[#This Row],[Entity_Type]], EntityMap[], 2, FALSE), "")</f>
        <v>Payroll</v>
      </c>
      <c r="E180" s="3" t="s">
        <v>4</v>
      </c>
      <c r="F180" s="3" t="s">
        <v>65</v>
      </c>
      <c r="G180" s="3" t="str">
        <f>IFERROR(VLOOKUP(RawTable[[#This Row],[Name]], Name_Master!$A:$E, 4, FALSE), "")</f>
        <v>AE-IBAN-02009877</v>
      </c>
      <c r="H18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PAY-Germany-202603-000179</v>
      </c>
      <c r="I180" s="1">
        <f>IF(RawTable[[#This Row],[Month]]="","",DATE(YEAR(RawTable[[#This Row],[Month]]),MONTH(RawTable[[#This Row],[Month]]),1))</f>
        <v>46082</v>
      </c>
      <c r="J18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80" s="3" t="s">
        <v>5</v>
      </c>
      <c r="L180" s="4">
        <v>5763</v>
      </c>
      <c r="M180" s="2" t="str">
        <f>IF(RawTable[[#This Row],[Net_Amount]]="","",IF(RawTable[[#This Row],[Payment_Type]]="Vendor_Invoice","Yes","No"))</f>
        <v>No</v>
      </c>
      <c r="N180" s="6">
        <f>IF(D180="Vendor_Invoice",
     IFERROR(
         INDEX(System_Master_Data!$B$9:$B$14,
               MATCH(E180,System_Master_Data!$A$9:$A$14,0)
         ),
     0),
0)</f>
        <v>0</v>
      </c>
      <c r="O180" s="4">
        <f t="shared" si="4"/>
        <v>0</v>
      </c>
      <c r="P180" s="4">
        <f t="shared" si="5"/>
        <v>5763</v>
      </c>
      <c r="Q180" s="56">
        <f>IFERROR(VLOOKUP(RawTable[[#This Row],[Currency]], System_Master_Data!$A$24:$B$29, 2, FALSE), "")</f>
        <v>0.90888000000000002</v>
      </c>
      <c r="R180">
        <f>IF(RawTable[[#This Row],[Exchange_Rate]]="","",ROUND(RawTable[[#This Row],[Gross_Amount]]*RawTable[[#This Row],[Exchange_Rate]],2))</f>
        <v>5237.88</v>
      </c>
      <c r="S180" t="str">
        <f>IF(RawTable[[#This Row],[Entity_Type]]&lt;&gt;"Employee",RawTable[[#This Row],[Entity_Type]],
IF(RawTable[[#This Row],[Country]]="Switzerland","Direct","EOR")
)</f>
        <v>EOR</v>
      </c>
      <c r="T180" t="str">
        <f>IF(RawTable[[#This Row],[Employment_Model]]&lt;&gt;"EOR","",
IFERROR(VLOOKUP(RawTable[[#This Row],[Country]],EORMap[#All],3,FALSE),"")
)</f>
        <v>Oyster</v>
      </c>
    </row>
    <row r="181" spans="1:20">
      <c r="A181" s="24">
        <v>180</v>
      </c>
      <c r="B181" s="1" t="s">
        <v>35</v>
      </c>
      <c r="C181" s="3" t="s">
        <v>18</v>
      </c>
      <c r="D181" s="3" t="str">
        <f>IFERROR(VLOOKUP(RawTable[[#This Row],[Entity_Type]], EntityMap[], 2, FALSE), "")</f>
        <v>Payroll</v>
      </c>
      <c r="E181" s="3" t="s">
        <v>4</v>
      </c>
      <c r="F181" s="3" t="s">
        <v>63</v>
      </c>
      <c r="G181" s="3" t="str">
        <f>IFERROR(VLOOKUP(RawTable[[#This Row],[Name]], Name_Master!$A:$E, 4, FALSE), "")</f>
        <v>CH930000000000863800</v>
      </c>
      <c r="H18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PAY-Germany-202601-000180</v>
      </c>
      <c r="I181" s="1">
        <f>IF(RawTable[[#This Row],[Month]]="","",DATE(YEAR(RawTable[[#This Row],[Month]]),MONTH(RawTable[[#This Row],[Month]]),1))</f>
        <v>46023</v>
      </c>
      <c r="J18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81" s="3" t="s">
        <v>5</v>
      </c>
      <c r="L181" s="4">
        <v>6328.2</v>
      </c>
      <c r="M181" s="2" t="str">
        <f>IF(RawTable[[#This Row],[Net_Amount]]="","",IF(RawTable[[#This Row],[Payment_Type]]="Vendor_Invoice","Yes","No"))</f>
        <v>No</v>
      </c>
      <c r="N181" s="6">
        <f>IF(D181="Vendor_Invoice",
     IFERROR(
         INDEX(System_Master_Data!$B$9:$B$14,
               MATCH(E181,System_Master_Data!$A$9:$A$14,0)
         ),
     0),
0)</f>
        <v>0</v>
      </c>
      <c r="O181" s="4">
        <f t="shared" si="4"/>
        <v>0</v>
      </c>
      <c r="P181" s="4">
        <f t="shared" si="5"/>
        <v>6328.2</v>
      </c>
      <c r="Q181" s="56">
        <f>IFERROR(VLOOKUP(RawTable[[#This Row],[Currency]], System_Master_Data!$A$24:$B$29, 2, FALSE), "")</f>
        <v>0.90888000000000002</v>
      </c>
      <c r="R181">
        <f>IF(RawTable[[#This Row],[Exchange_Rate]]="","",ROUND(RawTable[[#This Row],[Gross_Amount]]*RawTable[[#This Row],[Exchange_Rate]],2))</f>
        <v>5751.57</v>
      </c>
      <c r="S181" t="str">
        <f>IF(RawTable[[#This Row],[Entity_Type]]&lt;&gt;"Employee",RawTable[[#This Row],[Entity_Type]],
IF(RawTable[[#This Row],[Country]]="Switzerland","Direct","EOR")
)</f>
        <v>EOR</v>
      </c>
      <c r="T181" t="str">
        <f>IF(RawTable[[#This Row],[Employment_Model]]&lt;&gt;"EOR","",
IFERROR(VLOOKUP(RawTable[[#This Row],[Country]],EORMap[#All],3,FALSE),"")
)</f>
        <v>Oyster</v>
      </c>
    </row>
    <row r="182" spans="1:20">
      <c r="A182" s="24">
        <v>181</v>
      </c>
      <c r="B182" s="1" t="s">
        <v>35</v>
      </c>
      <c r="C182" s="3" t="s">
        <v>18</v>
      </c>
      <c r="D182" s="3" t="str">
        <f>IFERROR(VLOOKUP(RawTable[[#This Row],[Entity_Type]], EntityMap[], 2, FALSE), "")</f>
        <v>Payroll</v>
      </c>
      <c r="F182" s="3" t="s">
        <v>38</v>
      </c>
      <c r="G182" s="3" t="str">
        <f>IFERROR(VLOOKUP(RawTable[[#This Row],[Name]], Name_Master!$A:$E, 4, FALSE), "")</f>
        <v>US-RT-000012340-AC-0000056780</v>
      </c>
      <c r="H18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PAY--202601-000181</v>
      </c>
      <c r="I182" s="1">
        <f>IF(RawTable[[#This Row],[Month]]="","",DATE(YEAR(RawTable[[#This Row],[Month]]),MONTH(RawTable[[#This Row],[Month]]),1))</f>
        <v>46023</v>
      </c>
      <c r="J18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82" s="3" t="s">
        <v>7</v>
      </c>
      <c r="L182" s="4">
        <v>7571.8</v>
      </c>
      <c r="M182" s="2" t="str">
        <f>IF(RawTable[[#This Row],[Net_Amount]]="","",IF(RawTable[[#This Row],[Payment_Type]]="Vendor_Invoice","Yes","No"))</f>
        <v>No</v>
      </c>
      <c r="N182" s="6">
        <f>IF(D182="Vendor_Invoice",
     IFERROR(
         INDEX(System_Master_Data!$B$9:$B$14,
               MATCH(E182,System_Master_Data!$A$9:$A$14,0)
         ),
     0),
0)</f>
        <v>0</v>
      </c>
      <c r="O182" s="4">
        <f t="shared" si="4"/>
        <v>0</v>
      </c>
      <c r="P182" s="4">
        <f t="shared" si="5"/>
        <v>7571.8</v>
      </c>
      <c r="Q182" s="56">
        <f>IFERROR(VLOOKUP(RawTable[[#This Row],[Currency]], System_Master_Data!$A$24:$B$29, 2, FALSE), "")</f>
        <v>0.77017999999999998</v>
      </c>
      <c r="R182">
        <f>IF(RawTable[[#This Row],[Exchange_Rate]]="","",ROUND(RawTable[[#This Row],[Gross_Amount]]*RawTable[[#This Row],[Exchange_Rate]],2))</f>
        <v>5831.65</v>
      </c>
      <c r="S182" t="str">
        <f>IF(RawTable[[#This Row],[Entity_Type]]&lt;&gt;"Employee",RawTable[[#This Row],[Entity_Type]],
IF(RawTable[[#This Row],[Country]]="Switzerland","Direct","EOR")
)</f>
        <v>EOR</v>
      </c>
      <c r="T182" t="str">
        <f>IF(RawTable[[#This Row],[Employment_Model]]&lt;&gt;"EOR","",
IFERROR(VLOOKUP(RawTable[[#This Row],[Country]],EORMap[#All],3,FALSE),"")
)</f>
        <v/>
      </c>
    </row>
    <row r="183" spans="1:20">
      <c r="A183" s="24">
        <v>182</v>
      </c>
      <c r="B183" s="1" t="s">
        <v>28</v>
      </c>
      <c r="C183" s="3" t="s">
        <v>18</v>
      </c>
      <c r="D183" s="3" t="str">
        <f>IFERROR(VLOOKUP(RawTable[[#This Row],[Entity_Type]], EntityMap[], 2, FALSE), "")</f>
        <v>Payroll</v>
      </c>
      <c r="F183" s="3" t="s">
        <v>41</v>
      </c>
      <c r="G183" s="3" t="str">
        <f>IFERROR(VLOOKUP(RawTable[[#This Row],[Name]], Name_Master!$A:$E, 4, FALSE), "")</f>
        <v>CH930000000000320840</v>
      </c>
      <c r="H18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PAY--202602-000182</v>
      </c>
      <c r="I183" s="1">
        <f>IF(RawTable[[#This Row],[Month]]="","",DATE(YEAR(RawTable[[#This Row],[Month]]),MONTH(RawTable[[#This Row],[Month]]),1))</f>
        <v>46054</v>
      </c>
      <c r="J18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83" s="3" t="s">
        <v>9</v>
      </c>
      <c r="L183" s="4">
        <v>21542.400000000001</v>
      </c>
      <c r="M183" s="2" t="str">
        <f>IF(RawTable[[#This Row],[Net_Amount]]="","",IF(RawTable[[#This Row],[Payment_Type]]="Vendor_Invoice","Yes","No"))</f>
        <v>No</v>
      </c>
      <c r="N183" s="6">
        <f>IF(D183="Vendor_Invoice",
     IFERROR(
         INDEX(System_Master_Data!$B$9:$B$14,
               MATCH(E183,System_Master_Data!$A$9:$A$14,0)
         ),
     0),
0)</f>
        <v>0</v>
      </c>
      <c r="O183" s="4">
        <f t="shared" si="4"/>
        <v>0</v>
      </c>
      <c r="P183" s="4">
        <f t="shared" si="5"/>
        <v>21542.400000000001</v>
      </c>
      <c r="Q183" s="56">
        <f>IFERROR(VLOOKUP(RawTable[[#This Row],[Currency]], System_Master_Data!$A$24:$B$29, 2, FALSE), "")</f>
        <v>0.21065</v>
      </c>
      <c r="R183">
        <f>IF(RawTable[[#This Row],[Exchange_Rate]]="","",ROUND(RawTable[[#This Row],[Gross_Amount]]*RawTable[[#This Row],[Exchange_Rate]],2))</f>
        <v>4537.91</v>
      </c>
      <c r="S183" t="str">
        <f>IF(RawTable[[#This Row],[Entity_Type]]&lt;&gt;"Employee",RawTable[[#This Row],[Entity_Type]],
IF(RawTable[[#This Row],[Country]]="Switzerland","Direct","EOR")
)</f>
        <v>EOR</v>
      </c>
      <c r="T183" t="str">
        <f>IF(RawTable[[#This Row],[Employment_Model]]&lt;&gt;"EOR","",
IFERROR(VLOOKUP(RawTable[[#This Row],[Country]],EORMap[#All],3,FALSE),"")
)</f>
        <v/>
      </c>
    </row>
    <row r="184" spans="1:20">
      <c r="A184" s="24">
        <v>183</v>
      </c>
      <c r="B184" s="1" t="s">
        <v>35</v>
      </c>
      <c r="C184" s="3" t="s">
        <v>18</v>
      </c>
      <c r="D184" s="3" t="str">
        <f>IFERROR(VLOOKUP(RawTable[[#This Row],[Entity_Type]], EntityMap[], 2, FALSE), "")</f>
        <v>Payroll</v>
      </c>
      <c r="E184" s="3" t="s">
        <v>6</v>
      </c>
      <c r="F184" s="3" t="s">
        <v>106</v>
      </c>
      <c r="G184" s="3" t="str">
        <f>IFERROR(VLOOKUP(RawTable[[#This Row],[Name]], Name_Master!$A:$E, 4, FALSE), "")</f>
        <v>US-RT-000096252-AC-0000442884</v>
      </c>
      <c r="H18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PAY-USA-202601-000183</v>
      </c>
      <c r="I184" s="1">
        <f>IF(RawTable[[#This Row],[Month]]="","",DATE(YEAR(RawTable[[#This Row],[Month]]),MONTH(RawTable[[#This Row],[Month]]),1))</f>
        <v>46023</v>
      </c>
      <c r="J18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84" s="3" t="s">
        <v>7</v>
      </c>
      <c r="L184" s="4">
        <v>6514.9</v>
      </c>
      <c r="M184" s="2" t="str">
        <f>IF(RawTable[[#This Row],[Net_Amount]]="","",IF(RawTable[[#This Row],[Payment_Type]]="Vendor_Invoice","Yes","No"))</f>
        <v>No</v>
      </c>
      <c r="N184" s="6">
        <f>IF(D184="Vendor_Invoice",
     IFERROR(
         INDEX(System_Master_Data!$B$9:$B$14,
               MATCH(E184,System_Master_Data!$A$9:$A$14,0)
         ),
     0),
0)</f>
        <v>0</v>
      </c>
      <c r="O184" s="4">
        <f t="shared" si="4"/>
        <v>0</v>
      </c>
      <c r="P184" s="4">
        <f t="shared" si="5"/>
        <v>6514.9</v>
      </c>
      <c r="Q184" s="56">
        <f>IFERROR(VLOOKUP(RawTable[[#This Row],[Currency]], System_Master_Data!$A$24:$B$29, 2, FALSE), "")</f>
        <v>0.77017999999999998</v>
      </c>
      <c r="R184">
        <f>IF(RawTable[[#This Row],[Exchange_Rate]]="","",ROUND(RawTable[[#This Row],[Gross_Amount]]*RawTable[[#This Row],[Exchange_Rate]],2))</f>
        <v>5017.6499999999996</v>
      </c>
      <c r="S184" t="str">
        <f>IF(RawTable[[#This Row],[Entity_Type]]&lt;&gt;"Employee",RawTable[[#This Row],[Entity_Type]],
IF(RawTable[[#This Row],[Country]]="Switzerland","Direct","EOR")
)</f>
        <v>EOR</v>
      </c>
      <c r="T184" t="str">
        <f>IF(RawTable[[#This Row],[Employment_Model]]&lt;&gt;"EOR","",
IFERROR(VLOOKUP(RawTable[[#This Row],[Country]],EORMap[#All],3,FALSE),"")
)</f>
        <v>Remote</v>
      </c>
    </row>
    <row r="185" spans="1:20">
      <c r="A185" s="24">
        <v>184</v>
      </c>
      <c r="B185" s="1" t="s">
        <v>35</v>
      </c>
      <c r="C185" s="3" t="s">
        <v>18</v>
      </c>
      <c r="D185" s="3" t="str">
        <f>IFERROR(VLOOKUP(RawTable[[#This Row],[Entity_Type]], EntityMap[], 2, FALSE), "")</f>
        <v>Payroll</v>
      </c>
      <c r="E185" s="3" t="s">
        <v>6</v>
      </c>
      <c r="F185" s="3" t="s">
        <v>60</v>
      </c>
      <c r="G185" s="3" t="str">
        <f>IFERROR(VLOOKUP(RawTable[[#This Row],[Name]], Name_Master!$A:$E, 4, FALSE), "")</f>
        <v>AE-IBAN-01738272</v>
      </c>
      <c r="H18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PAY-USA-202601-000184</v>
      </c>
      <c r="I185" s="1">
        <f>IF(RawTable[[#This Row],[Month]]="","",DATE(YEAR(RawTable[[#This Row],[Month]]),MONTH(RawTable[[#This Row],[Month]]),1))</f>
        <v>46023</v>
      </c>
      <c r="J18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85" s="3" t="s">
        <v>7</v>
      </c>
      <c r="L185" s="4">
        <v>6601.7</v>
      </c>
      <c r="M185" s="2" t="str">
        <f>IF(RawTable[[#This Row],[Net_Amount]]="","",IF(RawTable[[#This Row],[Payment_Type]]="Vendor_Invoice","Yes","No"))</f>
        <v>No</v>
      </c>
      <c r="N185" s="6">
        <f>IF(D185="Vendor_Invoice",
     IFERROR(
         INDEX(System_Master_Data!$B$9:$B$14,
               MATCH(E185,System_Master_Data!$A$9:$A$14,0)
         ),
     0),
0)</f>
        <v>0</v>
      </c>
      <c r="O185" s="4">
        <f t="shared" si="4"/>
        <v>0</v>
      </c>
      <c r="P185" s="4">
        <f t="shared" si="5"/>
        <v>6601.7</v>
      </c>
      <c r="Q185" s="56">
        <f>IFERROR(VLOOKUP(RawTable[[#This Row],[Currency]], System_Master_Data!$A$24:$B$29, 2, FALSE), "")</f>
        <v>0.77017999999999998</v>
      </c>
      <c r="R185">
        <f>IF(RawTable[[#This Row],[Exchange_Rate]]="","",ROUND(RawTable[[#This Row],[Gross_Amount]]*RawTable[[#This Row],[Exchange_Rate]],2))</f>
        <v>5084.5</v>
      </c>
      <c r="S185" t="str">
        <f>IF(RawTable[[#This Row],[Entity_Type]]&lt;&gt;"Employee",RawTable[[#This Row],[Entity_Type]],
IF(RawTable[[#This Row],[Country]]="Switzerland","Direct","EOR")
)</f>
        <v>EOR</v>
      </c>
      <c r="T185" t="str">
        <f>IF(RawTable[[#This Row],[Employment_Model]]&lt;&gt;"EOR","",
IFERROR(VLOOKUP(RawTable[[#This Row],[Country]],EORMap[#All],3,FALSE),"")
)</f>
        <v>Remote</v>
      </c>
    </row>
    <row r="186" spans="1:20">
      <c r="A186" s="24">
        <v>185</v>
      </c>
      <c r="B186" s="1" t="s">
        <v>35</v>
      </c>
      <c r="C186" s="3" t="s">
        <v>18</v>
      </c>
      <c r="D186" s="3" t="str">
        <f>IFERROR(VLOOKUP(RawTable[[#This Row],[Entity_Type]], EntityMap[], 2, FALSE), "")</f>
        <v>Payroll</v>
      </c>
      <c r="E186" s="3" t="s">
        <v>2</v>
      </c>
      <c r="F186" s="3" t="s">
        <v>34</v>
      </c>
      <c r="G186" s="3" t="str">
        <f>IFERROR(VLOOKUP(RawTable[[#This Row],[Name]], Name_Master!$A:$E, 4, FALSE), "")</f>
        <v>DE890000000000095053</v>
      </c>
      <c r="H18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PAY-Switzerland-202601-000185</v>
      </c>
      <c r="I186" s="1">
        <f>IF(RawTable[[#This Row],[Month]]="","",DATE(YEAR(RawTable[[#This Row],[Month]]),MONTH(RawTable[[#This Row],[Month]]),1))</f>
        <v>46023</v>
      </c>
      <c r="J18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86" s="3" t="s">
        <v>3</v>
      </c>
      <c r="L186" s="4">
        <v>6350.09</v>
      </c>
      <c r="M186" s="2" t="str">
        <f>IF(RawTable[[#This Row],[Net_Amount]]="","",IF(RawTable[[#This Row],[Payment_Type]]="Vendor_Invoice","Yes","No"))</f>
        <v>No</v>
      </c>
      <c r="N186" s="6">
        <f>IF(D186="Vendor_Invoice",
     IFERROR(
         INDEX(System_Master_Data!$B$9:$B$14,
               MATCH(E186,System_Master_Data!$A$9:$A$14,0)
         ),
     0),
0)</f>
        <v>0</v>
      </c>
      <c r="O186" s="4">
        <f t="shared" si="4"/>
        <v>0</v>
      </c>
      <c r="P186" s="4">
        <f t="shared" si="5"/>
        <v>6350.09</v>
      </c>
      <c r="Q186" s="56">
        <f>IFERROR(VLOOKUP(RawTable[[#This Row],[Currency]], System_Master_Data!$A$24:$B$29, 2, FALSE), "")</f>
        <v>1</v>
      </c>
      <c r="R186">
        <f>IF(RawTable[[#This Row],[Exchange_Rate]]="","",ROUND(RawTable[[#This Row],[Gross_Amount]]*RawTable[[#This Row],[Exchange_Rate]],2))</f>
        <v>6350.09</v>
      </c>
      <c r="S186" t="str">
        <f>IF(RawTable[[#This Row],[Entity_Type]]&lt;&gt;"Employee",RawTable[[#This Row],[Entity_Type]],
IF(RawTable[[#This Row],[Country]]="Switzerland","Direct","EOR")
)</f>
        <v>Direct</v>
      </c>
      <c r="T186" t="str">
        <f>IF(RawTable[[#This Row],[Employment_Model]]&lt;&gt;"EOR","",
IFERROR(VLOOKUP(RawTable[[#This Row],[Country]],EORMap[#All],3,FALSE),"")
)</f>
        <v/>
      </c>
    </row>
    <row r="187" spans="1:20">
      <c r="A187" s="24">
        <v>186</v>
      </c>
      <c r="B187" s="1" t="s">
        <v>28</v>
      </c>
      <c r="C187" s="3" t="s">
        <v>18</v>
      </c>
      <c r="D187" s="3" t="str">
        <f>IFERROR(VLOOKUP(RawTable[[#This Row],[Entity_Type]], EntityMap[], 2, FALSE), "")</f>
        <v>Payroll</v>
      </c>
      <c r="E187" s="3" t="s">
        <v>8</v>
      </c>
      <c r="F187" s="3" t="s">
        <v>58</v>
      </c>
      <c r="G187" s="3" t="str">
        <f>IFERROR(VLOOKUP(RawTable[[#This Row],[Name]], Name_Master!$A:$E, 4, FALSE), "")</f>
        <v>CH930000000000740400</v>
      </c>
      <c r="H18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PAY-UAE-202602-000186</v>
      </c>
      <c r="I187" s="1">
        <f>IF(RawTable[[#This Row],[Month]]="","",DATE(YEAR(RawTable[[#This Row],[Month]]),MONTH(RawTable[[#This Row],[Month]]),1))</f>
        <v>46054</v>
      </c>
      <c r="J18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87" s="3" t="s">
        <v>9</v>
      </c>
      <c r="L187" s="4">
        <v>22653.4</v>
      </c>
      <c r="M187" s="2" t="str">
        <f>IF(RawTable[[#This Row],[Net_Amount]]="","",IF(RawTable[[#This Row],[Payment_Type]]="Vendor_Invoice","Yes","No"))</f>
        <v>No</v>
      </c>
      <c r="N187" s="6">
        <f>IF(D187="Vendor_Invoice",
     IFERROR(
         INDEX(System_Master_Data!$B$9:$B$14,
               MATCH(E187,System_Master_Data!$A$9:$A$14,0)
         ),
     0),
0)</f>
        <v>0</v>
      </c>
      <c r="O187" s="4">
        <f t="shared" si="4"/>
        <v>0</v>
      </c>
      <c r="P187" s="4">
        <f t="shared" si="5"/>
        <v>22653.4</v>
      </c>
      <c r="Q187" s="56">
        <f>IFERROR(VLOOKUP(RawTable[[#This Row],[Currency]], System_Master_Data!$A$24:$B$29, 2, FALSE), "")</f>
        <v>0.21065</v>
      </c>
      <c r="R187">
        <f>IF(RawTable[[#This Row],[Exchange_Rate]]="","",ROUND(RawTable[[#This Row],[Gross_Amount]]*RawTable[[#This Row],[Exchange_Rate]],2))</f>
        <v>4771.9399999999996</v>
      </c>
      <c r="S187" t="str">
        <f>IF(RawTable[[#This Row],[Entity_Type]]&lt;&gt;"Employee",RawTable[[#This Row],[Entity_Type]],
IF(RawTable[[#This Row],[Country]]="Switzerland","Direct","EOR")
)</f>
        <v>EOR</v>
      </c>
      <c r="T187" t="str">
        <f>IF(RawTable[[#This Row],[Employment_Model]]&lt;&gt;"EOR","",
IFERROR(VLOOKUP(RawTable[[#This Row],[Country]],EORMap[#All],3,FALSE),"")
)</f>
        <v>Deel</v>
      </c>
    </row>
    <row r="188" spans="1:20">
      <c r="A188" s="24">
        <v>187</v>
      </c>
      <c r="B188" s="1" t="s">
        <v>35</v>
      </c>
      <c r="C188" s="3" t="s">
        <v>18</v>
      </c>
      <c r="D188" s="3" t="str">
        <f>IFERROR(VLOOKUP(RawTable[[#This Row],[Entity_Type]], EntityMap[], 2, FALSE), "")</f>
        <v>Payroll</v>
      </c>
      <c r="E188" s="3" t="s">
        <v>8</v>
      </c>
      <c r="F188" s="3" t="s">
        <v>100</v>
      </c>
      <c r="G188" s="3" t="str">
        <f>IFERROR(VLOOKUP(RawTable[[#This Row],[Name]], Name_Master!$A:$E, 4, FALSE), "")</f>
        <v>DE890000000000977688</v>
      </c>
      <c r="H18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PAY-UAE-202601-000187</v>
      </c>
      <c r="I188" s="1">
        <f>IF(RawTable[[#This Row],[Month]]="","",DATE(YEAR(RawTable[[#This Row],[Month]]),MONTH(RawTable[[#This Row],[Month]]),1))</f>
        <v>46023</v>
      </c>
      <c r="J18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88" s="3" t="s">
        <v>9</v>
      </c>
      <c r="L188" s="4">
        <v>21454.400000000001</v>
      </c>
      <c r="M188" s="2" t="str">
        <f>IF(RawTable[[#This Row],[Net_Amount]]="","",IF(RawTable[[#This Row],[Payment_Type]]="Vendor_Invoice","Yes","No"))</f>
        <v>No</v>
      </c>
      <c r="N188" s="6">
        <f>IF(D188="Vendor_Invoice",
     IFERROR(
         INDEX(System_Master_Data!$B$9:$B$14,
               MATCH(E188,System_Master_Data!$A$9:$A$14,0)
         ),
     0),
0)</f>
        <v>0</v>
      </c>
      <c r="O188" s="4">
        <f t="shared" si="4"/>
        <v>0</v>
      </c>
      <c r="P188" s="4">
        <f t="shared" si="5"/>
        <v>21454.400000000001</v>
      </c>
      <c r="Q188" s="56">
        <f>IFERROR(VLOOKUP(RawTable[[#This Row],[Currency]], System_Master_Data!$A$24:$B$29, 2, FALSE), "")</f>
        <v>0.21065</v>
      </c>
      <c r="R188">
        <f>IF(RawTable[[#This Row],[Exchange_Rate]]="","",ROUND(RawTable[[#This Row],[Gross_Amount]]*RawTable[[#This Row],[Exchange_Rate]],2))</f>
        <v>4519.37</v>
      </c>
      <c r="S188" t="str">
        <f>IF(RawTable[[#This Row],[Entity_Type]]&lt;&gt;"Employee",RawTable[[#This Row],[Entity_Type]],
IF(RawTable[[#This Row],[Country]]="Switzerland","Direct","EOR")
)</f>
        <v>EOR</v>
      </c>
      <c r="T188" t="str">
        <f>IF(RawTable[[#This Row],[Employment_Model]]&lt;&gt;"EOR","",
IFERROR(VLOOKUP(RawTable[[#This Row],[Country]],EORMap[#All],3,FALSE),"")
)</f>
        <v>Deel</v>
      </c>
    </row>
    <row r="189" spans="1:20">
      <c r="A189" s="24">
        <v>188</v>
      </c>
      <c r="B189" s="1" t="s">
        <v>28</v>
      </c>
      <c r="C189" s="3" t="s">
        <v>18</v>
      </c>
      <c r="D189" s="3" t="str">
        <f>IFERROR(VLOOKUP(RawTable[[#This Row],[Entity_Type]], EntityMap[], 2, FALSE), "")</f>
        <v>Payroll</v>
      </c>
      <c r="E189" s="3" t="s">
        <v>10</v>
      </c>
      <c r="F189" s="3" t="s">
        <v>98</v>
      </c>
      <c r="G189" s="3" t="str">
        <f>IFERROR(VLOOKUP(RawTable[[#This Row],[Name]], Name_Master!$A:$E, 4, FALSE), "")</f>
        <v>DE890000000000950530</v>
      </c>
      <c r="H18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PAY-Jordan-202602-000188</v>
      </c>
      <c r="I189" s="1">
        <f>IF(RawTable[[#This Row],[Month]]="","",DATE(YEAR(RawTable[[#This Row],[Month]]),MONTH(RawTable[[#This Row],[Month]]),1))</f>
        <v>46054</v>
      </c>
      <c r="J18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89" s="3" t="s">
        <v>11</v>
      </c>
      <c r="L189" s="4">
        <v>1738.8</v>
      </c>
      <c r="M189" s="2" t="str">
        <f>IF(RawTable[[#This Row],[Net_Amount]]="","",IF(RawTable[[#This Row],[Payment_Type]]="Vendor_Invoice","Yes","No"))</f>
        <v>No</v>
      </c>
      <c r="N189" s="6">
        <f>IF(D189="Vendor_Invoice",
     IFERROR(
         INDEX(System_Master_Data!$B$9:$B$14,
               MATCH(E189,System_Master_Data!$A$9:$A$14,0)
         ),
     0),
0)</f>
        <v>0</v>
      </c>
      <c r="O189" s="4">
        <f t="shared" si="4"/>
        <v>0</v>
      </c>
      <c r="P189" s="4">
        <f t="shared" si="5"/>
        <v>1738.8</v>
      </c>
      <c r="Q189" s="56">
        <f>IFERROR(VLOOKUP(RawTable[[#This Row],[Currency]], System_Master_Data!$A$24:$B$29, 2, FALSE), "")</f>
        <v>1.08643</v>
      </c>
      <c r="R189">
        <f>IF(RawTable[[#This Row],[Exchange_Rate]]="","",ROUND(RawTable[[#This Row],[Gross_Amount]]*RawTable[[#This Row],[Exchange_Rate]],2))</f>
        <v>1889.08</v>
      </c>
      <c r="S189" t="str">
        <f>IF(RawTable[[#This Row],[Entity_Type]]&lt;&gt;"Employee",RawTable[[#This Row],[Entity_Type]],
IF(RawTable[[#This Row],[Country]]="Switzerland","Direct","EOR")
)</f>
        <v>EOR</v>
      </c>
      <c r="T189" t="str">
        <f>IF(RawTable[[#This Row],[Employment_Model]]&lt;&gt;"EOR","",
IFERROR(VLOOKUP(RawTable[[#This Row],[Country]],EORMap[#All],3,FALSE),"")
)</f>
        <v>Oyster</v>
      </c>
    </row>
    <row r="190" spans="1:20">
      <c r="A190" s="24">
        <v>189</v>
      </c>
      <c r="B190" s="1" t="s">
        <v>28</v>
      </c>
      <c r="C190" s="3" t="s">
        <v>18</v>
      </c>
      <c r="D190" s="3" t="str">
        <f>IFERROR(VLOOKUP(RawTable[[#This Row],[Entity_Type]], EntityMap[], 2, FALSE), "")</f>
        <v>Payroll</v>
      </c>
      <c r="E190" s="3" t="s">
        <v>2</v>
      </c>
      <c r="F190" s="3" t="s">
        <v>60</v>
      </c>
      <c r="G190" s="3" t="str">
        <f>IFERROR(VLOOKUP(RawTable[[#This Row],[Name]], Name_Master!$A:$E, 4, FALSE), "")</f>
        <v>AE-IBAN-01738272</v>
      </c>
      <c r="H19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PAY-Switzerland-202602-000189</v>
      </c>
      <c r="I190" s="1">
        <f>IF(RawTable[[#This Row],[Month]]="","",DATE(YEAR(RawTable[[#This Row],[Month]]),MONTH(RawTable[[#This Row],[Month]]),1))</f>
        <v>46054</v>
      </c>
      <c r="J19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90" s="3" t="s">
        <v>3</v>
      </c>
      <c r="L190" s="4">
        <v>6222.1</v>
      </c>
      <c r="M190" s="2" t="str">
        <f>IF(RawTable[[#This Row],[Net_Amount]]="","",IF(RawTable[[#This Row],[Payment_Type]]="Vendor_Invoice","Yes","No"))</f>
        <v>No</v>
      </c>
      <c r="N190" s="6">
        <f>IF(D190="Vendor_Invoice",
     IFERROR(
         INDEX(System_Master_Data!$B$9:$B$14,
               MATCH(E190,System_Master_Data!$A$9:$A$14,0)
         ),
     0),
0)</f>
        <v>0</v>
      </c>
      <c r="O190" s="4">
        <f t="shared" si="4"/>
        <v>0</v>
      </c>
      <c r="P190" s="4">
        <f t="shared" si="5"/>
        <v>6222.1</v>
      </c>
      <c r="Q190" s="56">
        <f>IFERROR(VLOOKUP(RawTable[[#This Row],[Currency]], System_Master_Data!$A$24:$B$29, 2, FALSE), "")</f>
        <v>1</v>
      </c>
      <c r="R190">
        <f>IF(RawTable[[#This Row],[Exchange_Rate]]="","",ROUND(RawTable[[#This Row],[Gross_Amount]]*RawTable[[#This Row],[Exchange_Rate]],2))</f>
        <v>6222.1</v>
      </c>
      <c r="S190" t="str">
        <f>IF(RawTable[[#This Row],[Entity_Type]]&lt;&gt;"Employee",RawTable[[#This Row],[Entity_Type]],
IF(RawTable[[#This Row],[Country]]="Switzerland","Direct","EOR")
)</f>
        <v>Direct</v>
      </c>
      <c r="T190" t="str">
        <f>IF(RawTable[[#This Row],[Employment_Model]]&lt;&gt;"EOR","",
IFERROR(VLOOKUP(RawTable[[#This Row],[Country]],EORMap[#All],3,FALSE),"")
)</f>
        <v/>
      </c>
    </row>
    <row r="191" spans="1:20">
      <c r="A191" s="24">
        <v>190</v>
      </c>
      <c r="B191" s="1" t="s">
        <v>35</v>
      </c>
      <c r="C191" s="3" t="s">
        <v>18</v>
      </c>
      <c r="D191" s="3" t="str">
        <f>IFERROR(VLOOKUP(RawTable[[#This Row],[Entity_Type]], EntityMap[], 2, FALSE), "")</f>
        <v>Payroll</v>
      </c>
      <c r="E191" s="3" t="s">
        <v>8</v>
      </c>
      <c r="F191" s="3" t="s">
        <v>84</v>
      </c>
      <c r="G191" s="3" t="str">
        <f>IFERROR(VLOOKUP(RawTable[[#This Row],[Name]], Name_Master!$A:$E, 4, FALSE), "")</f>
        <v>CH930000000001382080</v>
      </c>
      <c r="H19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PAY-UAE-202601-000190</v>
      </c>
      <c r="I191" s="1">
        <f>IF(RawTable[[#This Row],[Month]]="","",DATE(YEAR(RawTable[[#This Row],[Month]]),MONTH(RawTable[[#This Row],[Month]]),1))</f>
        <v>46023</v>
      </c>
      <c r="J19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91" s="3" t="s">
        <v>9</v>
      </c>
      <c r="L191" s="4">
        <v>21276.2</v>
      </c>
      <c r="M191" s="2" t="str">
        <f>IF(RawTable[[#This Row],[Net_Amount]]="","",IF(RawTable[[#This Row],[Payment_Type]]="Vendor_Invoice","Yes","No"))</f>
        <v>No</v>
      </c>
      <c r="N191" s="6">
        <f>IF(D191="Vendor_Invoice",
     IFERROR(
         INDEX(System_Master_Data!$B$9:$B$14,
               MATCH(E191,System_Master_Data!$A$9:$A$14,0)
         ),
     0),
0)</f>
        <v>0</v>
      </c>
      <c r="O191" s="4">
        <f t="shared" si="4"/>
        <v>0</v>
      </c>
      <c r="P191" s="4">
        <f t="shared" si="5"/>
        <v>21276.2</v>
      </c>
      <c r="Q191" s="56">
        <f>IFERROR(VLOOKUP(RawTable[[#This Row],[Currency]], System_Master_Data!$A$24:$B$29, 2, FALSE), "")</f>
        <v>0.21065</v>
      </c>
      <c r="R191">
        <f>IF(RawTable[[#This Row],[Exchange_Rate]]="","",ROUND(RawTable[[#This Row],[Gross_Amount]]*RawTable[[#This Row],[Exchange_Rate]],2))</f>
        <v>4481.83</v>
      </c>
      <c r="S191" t="str">
        <f>IF(RawTable[[#This Row],[Entity_Type]]&lt;&gt;"Employee",RawTable[[#This Row],[Entity_Type]],
IF(RawTable[[#This Row],[Country]]="Switzerland","Direct","EOR")
)</f>
        <v>EOR</v>
      </c>
      <c r="T191" t="str">
        <f>IF(RawTable[[#This Row],[Employment_Model]]&lt;&gt;"EOR","",
IFERROR(VLOOKUP(RawTable[[#This Row],[Country]],EORMap[#All],3,FALSE),"")
)</f>
        <v>Deel</v>
      </c>
    </row>
    <row r="192" spans="1:20">
      <c r="A192" s="24">
        <v>191</v>
      </c>
      <c r="B192" s="1" t="s">
        <v>28</v>
      </c>
      <c r="C192" s="3" t="s">
        <v>18</v>
      </c>
      <c r="D192" s="3" t="str">
        <f>IFERROR(VLOOKUP(RawTable[[#This Row],[Entity_Type]], EntityMap[], 2, FALSE), "")</f>
        <v>Payroll</v>
      </c>
      <c r="E192" s="3" t="s">
        <v>8</v>
      </c>
      <c r="F192" s="3" t="s">
        <v>53</v>
      </c>
      <c r="G192" s="3" t="str">
        <f>IFERROR(VLOOKUP(RawTable[[#This Row],[Name]], Name_Master!$A:$E, 4, FALSE), "")</f>
        <v>DE890000000000339475</v>
      </c>
      <c r="H19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PAY-UAE-202602-000191</v>
      </c>
      <c r="I192" s="1">
        <f>IF(RawTable[[#This Row],[Month]]="","",DATE(YEAR(RawTable[[#This Row],[Month]]),MONTH(RawTable[[#This Row],[Month]]),1))</f>
        <v>46054</v>
      </c>
      <c r="J19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92" s="3" t="s">
        <v>9</v>
      </c>
      <c r="L192" s="4">
        <v>22399.22</v>
      </c>
      <c r="M192" s="2" t="str">
        <f>IF(RawTable[[#This Row],[Net_Amount]]="","",IF(RawTable[[#This Row],[Payment_Type]]="Vendor_Invoice","Yes","No"))</f>
        <v>No</v>
      </c>
      <c r="N192" s="6">
        <f>IF(D192="Vendor_Invoice",
     IFERROR(
         INDEX(System_Master_Data!$B$9:$B$14,
               MATCH(E192,System_Master_Data!$A$9:$A$14,0)
         ),
     0),
0)</f>
        <v>0</v>
      </c>
      <c r="O192" s="4">
        <f t="shared" si="4"/>
        <v>0</v>
      </c>
      <c r="P192" s="4">
        <f t="shared" si="5"/>
        <v>22399.22</v>
      </c>
      <c r="Q192" s="56">
        <f>IFERROR(VLOOKUP(RawTable[[#This Row],[Currency]], System_Master_Data!$A$24:$B$29, 2, FALSE), "")</f>
        <v>0.21065</v>
      </c>
      <c r="R192">
        <f>IF(RawTable[[#This Row],[Exchange_Rate]]="","",ROUND(RawTable[[#This Row],[Gross_Amount]]*RawTable[[#This Row],[Exchange_Rate]],2))</f>
        <v>4718.3999999999996</v>
      </c>
      <c r="S192" t="str">
        <f>IF(RawTable[[#This Row],[Entity_Type]]&lt;&gt;"Employee",RawTable[[#This Row],[Entity_Type]],
IF(RawTable[[#This Row],[Country]]="Switzerland","Direct","EOR")
)</f>
        <v>EOR</v>
      </c>
      <c r="T192" t="str">
        <f>IF(RawTable[[#This Row],[Employment_Model]]&lt;&gt;"EOR","",
IFERROR(VLOOKUP(RawTable[[#This Row],[Country]],EORMap[#All],3,FALSE),"")
)</f>
        <v>Deel</v>
      </c>
    </row>
    <row r="193" spans="1:20">
      <c r="A193" s="24">
        <v>192</v>
      </c>
      <c r="B193" s="1" t="s">
        <v>35</v>
      </c>
      <c r="C193" s="3" t="s">
        <v>18</v>
      </c>
      <c r="D193" s="3" t="str">
        <f>IFERROR(VLOOKUP(RawTable[[#This Row],[Entity_Type]], EntityMap[], 2, FALSE), "")</f>
        <v>Payroll</v>
      </c>
      <c r="E193" s="3" t="s">
        <v>4</v>
      </c>
      <c r="F193" s="3" t="s">
        <v>107</v>
      </c>
      <c r="G193" s="3" t="str">
        <f>IFERROR(VLOOKUP(RawTable[[#This Row],[Name]], Name_Master!$A:$E, 4, FALSE), "")</f>
        <v>DE890000000001072741</v>
      </c>
      <c r="H19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PAY-Germany-202601-000192</v>
      </c>
      <c r="I193" s="1">
        <f>IF(RawTable[[#This Row],[Month]]="","",DATE(YEAR(RawTable[[#This Row],[Month]]),MONTH(RawTable[[#This Row],[Month]]),1))</f>
        <v>46023</v>
      </c>
      <c r="J19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93" s="3" t="s">
        <v>5</v>
      </c>
      <c r="L193" s="4">
        <v>5848.8</v>
      </c>
      <c r="M193" s="2" t="str">
        <f>IF(RawTable[[#This Row],[Net_Amount]]="","",IF(RawTable[[#This Row],[Payment_Type]]="Vendor_Invoice","Yes","No"))</f>
        <v>No</v>
      </c>
      <c r="N193" s="6">
        <f>IF(D193="Vendor_Invoice",
     IFERROR(
         INDEX(System_Master_Data!$B$9:$B$14,
               MATCH(E193,System_Master_Data!$A$9:$A$14,0)
         ),
     0),
0)</f>
        <v>0</v>
      </c>
      <c r="O193" s="4">
        <f t="shared" si="4"/>
        <v>0</v>
      </c>
      <c r="P193" s="4">
        <f t="shared" si="5"/>
        <v>5848.8</v>
      </c>
      <c r="Q193" s="56">
        <f>IFERROR(VLOOKUP(RawTable[[#This Row],[Currency]], System_Master_Data!$A$24:$B$29, 2, FALSE), "")</f>
        <v>0.90888000000000002</v>
      </c>
      <c r="R193">
        <f>IF(RawTable[[#This Row],[Exchange_Rate]]="","",ROUND(RawTable[[#This Row],[Gross_Amount]]*RawTable[[#This Row],[Exchange_Rate]],2))</f>
        <v>5315.86</v>
      </c>
      <c r="S193" t="str">
        <f>IF(RawTable[[#This Row],[Entity_Type]]&lt;&gt;"Employee",RawTable[[#This Row],[Entity_Type]],
IF(RawTable[[#This Row],[Country]]="Switzerland","Direct","EOR")
)</f>
        <v>EOR</v>
      </c>
      <c r="T193" t="str">
        <f>IF(RawTable[[#This Row],[Employment_Model]]&lt;&gt;"EOR","",
IFERROR(VLOOKUP(RawTable[[#This Row],[Country]],EORMap[#All],3,FALSE),"")
)</f>
        <v>Oyster</v>
      </c>
    </row>
    <row r="194" spans="1:20">
      <c r="A194" s="24">
        <v>193</v>
      </c>
      <c r="B194" s="1" t="s">
        <v>35</v>
      </c>
      <c r="C194" s="3" t="s">
        <v>18</v>
      </c>
      <c r="D194" s="3" t="str">
        <f>IFERROR(VLOOKUP(RawTable[[#This Row],[Entity_Type]], EntityMap[], 2, FALSE), "")</f>
        <v>Payroll</v>
      </c>
      <c r="E194" s="3" t="s">
        <v>4</v>
      </c>
      <c r="F194" s="3" t="s">
        <v>57</v>
      </c>
      <c r="G194" s="3" t="str">
        <f>IFERROR(VLOOKUP(RawTable[[#This Row],[Name]], Name_Master!$A:$E, 4, FALSE), "")</f>
        <v>CH930000000000715720</v>
      </c>
      <c r="H19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PAY-Germany-202601-000193</v>
      </c>
      <c r="I194" s="1">
        <f>IF(RawTable[[#This Row],[Month]]="","",DATE(YEAR(RawTable[[#This Row],[Month]]),MONTH(RawTable[[#This Row],[Month]]),1))</f>
        <v>46023</v>
      </c>
      <c r="J19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94" s="3" t="s">
        <v>5</v>
      </c>
      <c r="L194" s="4">
        <v>6558</v>
      </c>
      <c r="M194" s="2" t="str">
        <f>IF(RawTable[[#This Row],[Net_Amount]]="","",IF(RawTable[[#This Row],[Payment_Type]]="Vendor_Invoice","Yes","No"))</f>
        <v>No</v>
      </c>
      <c r="N194" s="6">
        <f>IF(D194="Vendor_Invoice",
     IFERROR(
         INDEX(System_Master_Data!$B$9:$B$14,
               MATCH(E194,System_Master_Data!$A$9:$A$14,0)
         ),
     0),
0)</f>
        <v>0</v>
      </c>
      <c r="O194" s="4">
        <f t="shared" ref="O194:O257" si="6">N194*L194</f>
        <v>0</v>
      </c>
      <c r="P194" s="4">
        <f t="shared" ref="P194:P257" si="7">O194+L194</f>
        <v>6558</v>
      </c>
      <c r="Q194" s="56">
        <f>IFERROR(VLOOKUP(RawTable[[#This Row],[Currency]], System_Master_Data!$A$24:$B$29, 2, FALSE), "")</f>
        <v>0.90888000000000002</v>
      </c>
      <c r="R194">
        <f>IF(RawTable[[#This Row],[Exchange_Rate]]="","",ROUND(RawTable[[#This Row],[Gross_Amount]]*RawTable[[#This Row],[Exchange_Rate]],2))</f>
        <v>5960.44</v>
      </c>
      <c r="S194" t="str">
        <f>IF(RawTable[[#This Row],[Entity_Type]]&lt;&gt;"Employee",RawTable[[#This Row],[Entity_Type]],
IF(RawTable[[#This Row],[Country]]="Switzerland","Direct","EOR")
)</f>
        <v>EOR</v>
      </c>
      <c r="T194" t="str">
        <f>IF(RawTable[[#This Row],[Employment_Model]]&lt;&gt;"EOR","",
IFERROR(VLOOKUP(RawTable[[#This Row],[Country]],EORMap[#All],3,FALSE),"")
)</f>
        <v>Oyster</v>
      </c>
    </row>
    <row r="195" spans="1:20">
      <c r="A195" s="24">
        <v>194</v>
      </c>
      <c r="B195" s="1" t="s">
        <v>28</v>
      </c>
      <c r="C195" s="3" t="s">
        <v>18</v>
      </c>
      <c r="D195" s="3" t="str">
        <f>IFERROR(VLOOKUP(RawTable[[#This Row],[Entity_Type]], EntityMap[], 2, FALSE), "")</f>
        <v>Payroll</v>
      </c>
      <c r="E195" s="3" t="s">
        <v>6</v>
      </c>
      <c r="F195" s="3" t="s">
        <v>95</v>
      </c>
      <c r="G195" s="3" t="str">
        <f>IFERROR(VLOOKUP(RawTable[[#This Row],[Name]], Name_Master!$A:$E, 4, FALSE), "")</f>
        <v>JO-IBAN-00827115</v>
      </c>
      <c r="H19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PAY-USA-202602-000194</v>
      </c>
      <c r="I195" s="1">
        <f>IF(RawTable[[#This Row],[Month]]="","",DATE(YEAR(RawTable[[#This Row],[Month]]),MONTH(RawTable[[#This Row],[Month]]),1))</f>
        <v>46054</v>
      </c>
      <c r="J19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95" s="3" t="s">
        <v>7</v>
      </c>
      <c r="L195" s="4">
        <v>6846.7</v>
      </c>
      <c r="M195" s="2" t="str">
        <f>IF(RawTable[[#This Row],[Net_Amount]]="","",IF(RawTable[[#This Row],[Payment_Type]]="Vendor_Invoice","Yes","No"))</f>
        <v>No</v>
      </c>
      <c r="N195" s="6">
        <f>IF(D195="Vendor_Invoice",
     IFERROR(
         INDEX(System_Master_Data!$B$9:$B$14,
               MATCH(E195,System_Master_Data!$A$9:$A$14,0)
         ),
     0),
0)</f>
        <v>0</v>
      </c>
      <c r="O195" s="4">
        <f t="shared" si="6"/>
        <v>0</v>
      </c>
      <c r="P195" s="4">
        <f t="shared" si="7"/>
        <v>6846.7</v>
      </c>
      <c r="Q195" s="56">
        <f>IFERROR(VLOOKUP(RawTable[[#This Row],[Currency]], System_Master_Data!$A$24:$B$29, 2, FALSE), "")</f>
        <v>0.77017999999999998</v>
      </c>
      <c r="R195">
        <f>IF(RawTable[[#This Row],[Exchange_Rate]]="","",ROUND(RawTable[[#This Row],[Gross_Amount]]*RawTable[[#This Row],[Exchange_Rate]],2))</f>
        <v>5273.19</v>
      </c>
      <c r="S195" t="str">
        <f>IF(RawTable[[#This Row],[Entity_Type]]&lt;&gt;"Employee",RawTable[[#This Row],[Entity_Type]],
IF(RawTable[[#This Row],[Country]]="Switzerland","Direct","EOR")
)</f>
        <v>EOR</v>
      </c>
      <c r="T195" t="str">
        <f>IF(RawTable[[#This Row],[Employment_Model]]&lt;&gt;"EOR","",
IFERROR(VLOOKUP(RawTable[[#This Row],[Country]],EORMap[#All],3,FALSE),"")
)</f>
        <v>Remote</v>
      </c>
    </row>
    <row r="196" spans="1:20">
      <c r="A196" s="24">
        <v>195</v>
      </c>
      <c r="B196" s="1" t="s">
        <v>30</v>
      </c>
      <c r="C196" s="3" t="s">
        <v>18</v>
      </c>
      <c r="D196" s="3" t="str">
        <f>IFERROR(VLOOKUP(RawTable[[#This Row],[Entity_Type]], EntityMap[], 2, FALSE), "")</f>
        <v>Payroll</v>
      </c>
      <c r="E196" s="3" t="s">
        <v>6</v>
      </c>
      <c r="F196" s="3" t="s">
        <v>84</v>
      </c>
      <c r="G196" s="3" t="str">
        <f>IFERROR(VLOOKUP(RawTable[[#This Row],[Name]], Name_Master!$A:$E, 4, FALSE), "")</f>
        <v>CH930000000001382080</v>
      </c>
      <c r="H19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PAY-USA-202603-000195</v>
      </c>
      <c r="I196" s="1">
        <f>IF(RawTable[[#This Row],[Month]]="","",DATE(YEAR(RawTable[[#This Row],[Month]]),MONTH(RawTable[[#This Row],[Month]]),1))</f>
        <v>46082</v>
      </c>
      <c r="J19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96" s="3" t="s">
        <v>7</v>
      </c>
      <c r="L196" s="4">
        <v>6974.32</v>
      </c>
      <c r="M196" s="2" t="str">
        <f>IF(RawTable[[#This Row],[Net_Amount]]="","",IF(RawTable[[#This Row],[Payment_Type]]="Vendor_Invoice","Yes","No"))</f>
        <v>No</v>
      </c>
      <c r="N196" s="6">
        <f>IF(D196="Vendor_Invoice",
     IFERROR(
         INDEX(System_Master_Data!$B$9:$B$14,
               MATCH(E196,System_Master_Data!$A$9:$A$14,0)
         ),
     0),
0)</f>
        <v>0</v>
      </c>
      <c r="O196" s="4">
        <f t="shared" si="6"/>
        <v>0</v>
      </c>
      <c r="P196" s="4">
        <f t="shared" si="7"/>
        <v>6974.32</v>
      </c>
      <c r="Q196" s="56">
        <f>IFERROR(VLOOKUP(RawTable[[#This Row],[Currency]], System_Master_Data!$A$24:$B$29, 2, FALSE), "")</f>
        <v>0.77017999999999998</v>
      </c>
      <c r="R196">
        <f>IF(RawTable[[#This Row],[Exchange_Rate]]="","",ROUND(RawTable[[#This Row],[Gross_Amount]]*RawTable[[#This Row],[Exchange_Rate]],2))</f>
        <v>5371.48</v>
      </c>
      <c r="S196" t="str">
        <f>IF(RawTable[[#This Row],[Entity_Type]]&lt;&gt;"Employee",RawTable[[#This Row],[Entity_Type]],
IF(RawTable[[#This Row],[Country]]="Switzerland","Direct","EOR")
)</f>
        <v>EOR</v>
      </c>
      <c r="T196" t="str">
        <f>IF(RawTable[[#This Row],[Employment_Model]]&lt;&gt;"EOR","",
IFERROR(VLOOKUP(RawTable[[#This Row],[Country]],EORMap[#All],3,FALSE),"")
)</f>
        <v>Remote</v>
      </c>
    </row>
    <row r="197" spans="1:20">
      <c r="A197" s="24">
        <v>196</v>
      </c>
      <c r="B197" s="1" t="s">
        <v>35</v>
      </c>
      <c r="C197" s="3" t="s">
        <v>18</v>
      </c>
      <c r="D197" s="3" t="str">
        <f>IFERROR(VLOOKUP(RawTable[[#This Row],[Entity_Type]], EntityMap[], 2, FALSE), "")</f>
        <v>Payroll</v>
      </c>
      <c r="E197" s="3" t="s">
        <v>10</v>
      </c>
      <c r="F197" s="3" t="s">
        <v>108</v>
      </c>
      <c r="G197" s="3" t="str">
        <f>IFERROR(VLOOKUP(RawTable[[#This Row],[Name]], Name_Master!$A:$E, 4, FALSE), "")</f>
        <v>JO-IBAN-00987600</v>
      </c>
      <c r="H19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PAY-Jordan-202601-000196</v>
      </c>
      <c r="I197" s="1">
        <f>IF(RawTable[[#This Row],[Month]]="","",DATE(YEAR(RawTable[[#This Row],[Month]]),MONTH(RawTable[[#This Row],[Month]]),1))</f>
        <v>46023</v>
      </c>
      <c r="J19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97" s="3" t="s">
        <v>11</v>
      </c>
      <c r="L197" s="4">
        <v>1875.06</v>
      </c>
      <c r="M197" s="2" t="str">
        <f>IF(RawTable[[#This Row],[Net_Amount]]="","",IF(RawTable[[#This Row],[Payment_Type]]="Vendor_Invoice","Yes","No"))</f>
        <v>No</v>
      </c>
      <c r="N197" s="6">
        <f>IF(D197="Vendor_Invoice",
     IFERROR(
         INDEX(System_Master_Data!$B$9:$B$14,
               MATCH(E197,System_Master_Data!$A$9:$A$14,0)
         ),
     0),
0)</f>
        <v>0</v>
      </c>
      <c r="O197" s="4">
        <f t="shared" si="6"/>
        <v>0</v>
      </c>
      <c r="P197" s="4">
        <f t="shared" si="7"/>
        <v>1875.06</v>
      </c>
      <c r="Q197" s="56">
        <f>IFERROR(VLOOKUP(RawTable[[#This Row],[Currency]], System_Master_Data!$A$24:$B$29, 2, FALSE), "")</f>
        <v>1.08643</v>
      </c>
      <c r="R197">
        <f>IF(RawTable[[#This Row],[Exchange_Rate]]="","",ROUND(RawTable[[#This Row],[Gross_Amount]]*RawTable[[#This Row],[Exchange_Rate]],2))</f>
        <v>2037.12</v>
      </c>
      <c r="S197" t="str">
        <f>IF(RawTable[[#This Row],[Entity_Type]]&lt;&gt;"Employee",RawTable[[#This Row],[Entity_Type]],
IF(RawTable[[#This Row],[Country]]="Switzerland","Direct","EOR")
)</f>
        <v>EOR</v>
      </c>
      <c r="T197" t="str">
        <f>IF(RawTable[[#This Row],[Employment_Model]]&lt;&gt;"EOR","",
IFERROR(VLOOKUP(RawTable[[#This Row],[Country]],EORMap[#All],3,FALSE),"")
)</f>
        <v>Oyster</v>
      </c>
    </row>
    <row r="198" spans="1:20">
      <c r="A198" s="24">
        <v>197</v>
      </c>
      <c r="B198" s="1" t="s">
        <v>35</v>
      </c>
      <c r="C198" s="3" t="s">
        <v>18</v>
      </c>
      <c r="D198" s="3" t="str">
        <f>IFERROR(VLOOKUP(RawTable[[#This Row],[Entity_Type]], EntityMap[], 2, FALSE), "")</f>
        <v>Payroll</v>
      </c>
      <c r="E198" s="3" t="s">
        <v>8</v>
      </c>
      <c r="F198" s="3" t="s">
        <v>109</v>
      </c>
      <c r="G198" s="3" t="str">
        <f>IFERROR(VLOOKUP(RawTable[[#This Row],[Name]], Name_Master!$A:$E, 4, FALSE), "")</f>
        <v>AE-IBAN-04400001</v>
      </c>
      <c r="H19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PAY-UAE-202601-000197</v>
      </c>
      <c r="I198" s="1">
        <f>IF(RawTable[[#This Row],[Month]]="","",DATE(YEAR(RawTable[[#This Row],[Month]]),MONTH(RawTable[[#This Row],[Month]]),1))</f>
        <v>46023</v>
      </c>
      <c r="J19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98" s="3" t="s">
        <v>9</v>
      </c>
      <c r="L198" s="4">
        <v>22763.4</v>
      </c>
      <c r="M198" s="2" t="str">
        <f>IF(RawTable[[#This Row],[Net_Amount]]="","",IF(RawTable[[#This Row],[Payment_Type]]="Vendor_Invoice","Yes","No"))</f>
        <v>No</v>
      </c>
      <c r="N198" s="6">
        <f>IF(D198="Vendor_Invoice",
     IFERROR(
         INDEX(System_Master_Data!$B$9:$B$14,
               MATCH(E198,System_Master_Data!$A$9:$A$14,0)
         ),
     0),
0)</f>
        <v>0</v>
      </c>
      <c r="O198" s="4">
        <f t="shared" si="6"/>
        <v>0</v>
      </c>
      <c r="P198" s="4">
        <f t="shared" si="7"/>
        <v>22763.4</v>
      </c>
      <c r="Q198" s="56">
        <f>IFERROR(VLOOKUP(RawTable[[#This Row],[Currency]], System_Master_Data!$A$24:$B$29, 2, FALSE), "")</f>
        <v>0.21065</v>
      </c>
      <c r="R198">
        <f>IF(RawTable[[#This Row],[Exchange_Rate]]="","",ROUND(RawTable[[#This Row],[Gross_Amount]]*RawTable[[#This Row],[Exchange_Rate]],2))</f>
        <v>4795.1099999999997</v>
      </c>
      <c r="S198" t="str">
        <f>IF(RawTable[[#This Row],[Entity_Type]]&lt;&gt;"Employee",RawTable[[#This Row],[Entity_Type]],
IF(RawTable[[#This Row],[Country]]="Switzerland","Direct","EOR")
)</f>
        <v>EOR</v>
      </c>
      <c r="T198" t="str">
        <f>IF(RawTable[[#This Row],[Employment_Model]]&lt;&gt;"EOR","",
IFERROR(VLOOKUP(RawTable[[#This Row],[Country]],EORMap[#All],3,FALSE),"")
)</f>
        <v>Deel</v>
      </c>
    </row>
    <row r="199" spans="1:20">
      <c r="A199" s="24">
        <v>198</v>
      </c>
      <c r="B199" s="1" t="s">
        <v>30</v>
      </c>
      <c r="C199" s="3" t="s">
        <v>18</v>
      </c>
      <c r="D199" s="3" t="str">
        <f>IFERROR(VLOOKUP(RawTable[[#This Row],[Entity_Type]], EntityMap[], 2, FALSE), "")</f>
        <v>Payroll</v>
      </c>
      <c r="E199" s="3" t="s">
        <v>4</v>
      </c>
      <c r="F199" s="3" t="s">
        <v>53</v>
      </c>
      <c r="H19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PAY-Germany-202603-000198</v>
      </c>
      <c r="I199" s="1">
        <f>IF(RawTable[[#This Row],[Month]]="","",DATE(YEAR(RawTable[[#This Row],[Month]]),MONTH(RawTable[[#This Row],[Month]]),1))</f>
        <v>46082</v>
      </c>
      <c r="J19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99" s="3" t="s">
        <v>5</v>
      </c>
      <c r="L199" s="4">
        <v>6108.88</v>
      </c>
      <c r="M199" s="2" t="str">
        <f>IF(RawTable[[#This Row],[Net_Amount]]="","",IF(RawTable[[#This Row],[Payment_Type]]="Vendor_Invoice","Yes","No"))</f>
        <v>No</v>
      </c>
      <c r="N199" s="6">
        <f>IF(D199="Vendor_Invoice",
     IFERROR(
         INDEX(System_Master_Data!$B$9:$B$14,
               MATCH(E199,System_Master_Data!$A$9:$A$14,0)
         ),
     0),
0)</f>
        <v>0</v>
      </c>
      <c r="O199" s="4">
        <f t="shared" si="6"/>
        <v>0</v>
      </c>
      <c r="P199" s="4">
        <f t="shared" si="7"/>
        <v>6108.88</v>
      </c>
      <c r="Q199" s="56">
        <f>IFERROR(VLOOKUP(RawTable[[#This Row],[Currency]], System_Master_Data!$A$24:$B$29, 2, FALSE), "")</f>
        <v>0.90888000000000002</v>
      </c>
      <c r="R199">
        <f>IF(RawTable[[#This Row],[Exchange_Rate]]="","",ROUND(RawTable[[#This Row],[Gross_Amount]]*RawTable[[#This Row],[Exchange_Rate]],2))</f>
        <v>5552.24</v>
      </c>
      <c r="S199" t="str">
        <f>IF(RawTable[[#This Row],[Entity_Type]]&lt;&gt;"Employee",RawTable[[#This Row],[Entity_Type]],
IF(RawTable[[#This Row],[Country]]="Switzerland","Direct","EOR")
)</f>
        <v>EOR</v>
      </c>
      <c r="T199" t="str">
        <f>IF(RawTable[[#This Row],[Employment_Model]]&lt;&gt;"EOR","",
IFERROR(VLOOKUP(RawTable[[#This Row],[Country]],EORMap[#All],3,FALSE),"")
)</f>
        <v>Oyster</v>
      </c>
    </row>
    <row r="200" spans="1:20">
      <c r="A200" s="24">
        <v>199</v>
      </c>
      <c r="B200" s="1" t="s">
        <v>30</v>
      </c>
      <c r="C200" s="3" t="s">
        <v>18</v>
      </c>
      <c r="D200" s="3" t="str">
        <f>IFERROR(VLOOKUP(RawTable[[#This Row],[Entity_Type]], EntityMap[], 2, FALSE), "")</f>
        <v>Payroll</v>
      </c>
      <c r="E200" s="3" t="s">
        <v>2</v>
      </c>
      <c r="F200" s="3" t="s">
        <v>45</v>
      </c>
      <c r="G200" s="3" t="str">
        <f>IFERROR(VLOOKUP(RawTable[[#This Row],[Name]], Name_Master!$A:$E, 4, FALSE), "")</f>
        <v>JO-IBAN-00209865</v>
      </c>
      <c r="H20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PAY-Switzerland-202603-000199</v>
      </c>
      <c r="I200" s="1">
        <f>IF(RawTable[[#This Row],[Month]]="","",DATE(YEAR(RawTable[[#This Row],[Month]]),MONTH(RawTable[[#This Row],[Month]]),1))</f>
        <v>46082</v>
      </c>
      <c r="J20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200" s="3" t="s">
        <v>3</v>
      </c>
      <c r="L200" s="4">
        <v>6766.5</v>
      </c>
      <c r="M200" s="2" t="str">
        <f>IF(RawTable[[#This Row],[Net_Amount]]="","",IF(RawTable[[#This Row],[Payment_Type]]="Vendor_Invoice","Yes","No"))</f>
        <v>No</v>
      </c>
      <c r="N200" s="6">
        <f>IF(D200="Vendor_Invoice",
     IFERROR(
         INDEX(System_Master_Data!$B$9:$B$14,
               MATCH(E200,System_Master_Data!$A$9:$A$14,0)
         ),
     0),
0)</f>
        <v>0</v>
      </c>
      <c r="O200" s="4">
        <f t="shared" si="6"/>
        <v>0</v>
      </c>
      <c r="P200" s="4">
        <f t="shared" si="7"/>
        <v>6766.5</v>
      </c>
      <c r="Q200" s="56">
        <f>IFERROR(VLOOKUP(RawTable[[#This Row],[Currency]], System_Master_Data!$A$24:$B$29, 2, FALSE), "")</f>
        <v>1</v>
      </c>
      <c r="R200">
        <f>IF(RawTable[[#This Row],[Exchange_Rate]]="","",ROUND(RawTable[[#This Row],[Gross_Amount]]*RawTable[[#This Row],[Exchange_Rate]],2))</f>
        <v>6766.5</v>
      </c>
      <c r="S200" t="str">
        <f>IF(RawTable[[#This Row],[Entity_Type]]&lt;&gt;"Employee",RawTable[[#This Row],[Entity_Type]],
IF(RawTable[[#This Row],[Country]]="Switzerland","Direct","EOR")
)</f>
        <v>Direct</v>
      </c>
      <c r="T200" t="str">
        <f>IF(RawTable[[#This Row],[Employment_Model]]&lt;&gt;"EOR","",
IFERROR(VLOOKUP(RawTable[[#This Row],[Country]],EORMap[#All],3,FALSE),"")
)</f>
        <v/>
      </c>
    </row>
    <row r="201" spans="1:20">
      <c r="A201" s="24">
        <v>200</v>
      </c>
      <c r="B201" s="1" t="s">
        <v>35</v>
      </c>
      <c r="C201" s="3" t="s">
        <v>18</v>
      </c>
      <c r="D201" s="3" t="str">
        <f>IFERROR(VLOOKUP(RawTable[[#This Row],[Entity_Type]], EntityMap[], 2, FALSE), "")</f>
        <v>Payroll</v>
      </c>
      <c r="E201" s="3" t="s">
        <v>10</v>
      </c>
      <c r="F201" s="3" t="s">
        <v>60</v>
      </c>
      <c r="H20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PAY-Jordan-202601-000200</v>
      </c>
      <c r="I201" s="1">
        <f>IF(RawTable[[#This Row],[Month]]="","",DATE(YEAR(RawTable[[#This Row],[Month]]),MONTH(RawTable[[#This Row],[Month]]),1))</f>
        <v>46023</v>
      </c>
      <c r="J20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201" s="3" t="s">
        <v>11</v>
      </c>
      <c r="L201" s="4">
        <v>1748.89</v>
      </c>
      <c r="M201" s="2" t="str">
        <f>IF(RawTable[[#This Row],[Net_Amount]]="","",IF(RawTable[[#This Row],[Payment_Type]]="Vendor_Invoice","Yes","No"))</f>
        <v>No</v>
      </c>
      <c r="N201" s="6">
        <f>IF(D201="Vendor_Invoice",
     IFERROR(
         INDEX(System_Master_Data!$B$9:$B$14,
               MATCH(E201,System_Master_Data!$A$9:$A$14,0)
         ),
     0),
0)</f>
        <v>0</v>
      </c>
      <c r="O201" s="4">
        <f t="shared" si="6"/>
        <v>0</v>
      </c>
      <c r="P201" s="4">
        <f t="shared" si="7"/>
        <v>1748.89</v>
      </c>
      <c r="Q201" s="56">
        <f>IFERROR(VLOOKUP(RawTable[[#This Row],[Currency]], System_Master_Data!$A$24:$B$29, 2, FALSE), "")</f>
        <v>1.08643</v>
      </c>
      <c r="R201">
        <f>IF(RawTable[[#This Row],[Exchange_Rate]]="","",ROUND(RawTable[[#This Row],[Gross_Amount]]*RawTable[[#This Row],[Exchange_Rate]],2))</f>
        <v>1900.05</v>
      </c>
      <c r="S201" t="str">
        <f>IF(RawTable[[#This Row],[Entity_Type]]&lt;&gt;"Employee",RawTable[[#This Row],[Entity_Type]],
IF(RawTable[[#This Row],[Country]]="Switzerland","Direct","EOR")
)</f>
        <v>EOR</v>
      </c>
      <c r="T201" t="str">
        <f>IF(RawTable[[#This Row],[Employment_Model]]&lt;&gt;"EOR","",
IFERROR(VLOOKUP(RawTable[[#This Row],[Country]],EORMap[#All],3,FALSE),"")
)</f>
        <v>Oyster</v>
      </c>
    </row>
    <row r="202" spans="1:20">
      <c r="A202" s="24">
        <v>201</v>
      </c>
      <c r="B202" s="1" t="s">
        <v>28</v>
      </c>
      <c r="C202" s="3" t="s">
        <v>19</v>
      </c>
      <c r="D202" s="3" t="str">
        <f>IFERROR(VLOOKUP(RawTable[[#This Row],[Entity_Type]], EntityMap[], 2, FALSE), "")</f>
        <v>Contractor_Fee</v>
      </c>
      <c r="E202" s="3" t="s">
        <v>6</v>
      </c>
      <c r="F202" s="3" t="s">
        <v>81</v>
      </c>
      <c r="G202" s="3" t="str">
        <f>IFERROR(VLOOKUP(RawTable[[#This Row],[Name]], Name_Master!$A:$E, 4, FALSE), "")</f>
        <v>US-RT-000065402-AC-0000300934</v>
      </c>
      <c r="H20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CON-USA-202602-000201</v>
      </c>
      <c r="I202" s="1">
        <f>IF(RawTable[[#This Row],[Month]]="","",DATE(YEAR(RawTable[[#This Row],[Month]]),MONTH(RawTable[[#This Row],[Month]]),1))</f>
        <v>46054</v>
      </c>
      <c r="J20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02" s="3" t="s">
        <v>7</v>
      </c>
      <c r="L202" s="4">
        <v>5830.16</v>
      </c>
      <c r="M202" s="2" t="str">
        <f>IF(RawTable[[#This Row],[Net_Amount]]="","",IF(RawTable[[#This Row],[Payment_Type]]="Vendor_Invoice","Yes","No"))</f>
        <v>No</v>
      </c>
      <c r="N202" s="6">
        <f>IF(D202="Vendor_Invoice",
     IFERROR(
         INDEX(System_Master_Data!$B$9:$B$14,
               MATCH(E202,System_Master_Data!$A$9:$A$14,0)
         ),
     0),
0)</f>
        <v>0</v>
      </c>
      <c r="O202" s="4">
        <f t="shared" si="6"/>
        <v>0</v>
      </c>
      <c r="P202" s="4">
        <f t="shared" si="7"/>
        <v>5830.16</v>
      </c>
      <c r="Q202" s="56">
        <f>IFERROR(VLOOKUP(RawTable[[#This Row],[Currency]], System_Master_Data!$A$24:$B$29, 2, FALSE), "")</f>
        <v>0.77017999999999998</v>
      </c>
      <c r="R202">
        <f>IF(RawTable[[#This Row],[Exchange_Rate]]="","",ROUND(RawTable[[#This Row],[Gross_Amount]]*RawTable[[#This Row],[Exchange_Rate]],2))</f>
        <v>4490.2700000000004</v>
      </c>
      <c r="S202" t="str">
        <f>IF(RawTable[[#This Row],[Entity_Type]]&lt;&gt;"Employee",RawTable[[#This Row],[Entity_Type]],
IF(RawTable[[#This Row],[Country]]="Switzerland","Direct","EOR")
)</f>
        <v>Contractor</v>
      </c>
      <c r="T202" t="str">
        <f>IF(RawTable[[#This Row],[Employment_Model]]&lt;&gt;"EOR","",
IFERROR(VLOOKUP(RawTable[[#This Row],[Country]],EORMap[#All],3,FALSE),"")
)</f>
        <v/>
      </c>
    </row>
    <row r="203" spans="1:20">
      <c r="A203" s="24">
        <v>202</v>
      </c>
      <c r="B203" s="1" t="s">
        <v>35</v>
      </c>
      <c r="C203" s="3" t="s">
        <v>19</v>
      </c>
      <c r="D203" s="3" t="str">
        <f>IFERROR(VLOOKUP(RawTable[[#This Row],[Entity_Type]], EntityMap[], 2, FALSE), "")</f>
        <v>Contractor_Fee</v>
      </c>
      <c r="E203" s="3" t="s">
        <v>2</v>
      </c>
      <c r="F203" s="3" t="s">
        <v>110</v>
      </c>
      <c r="G203" s="3" t="str">
        <f>IFERROR(VLOOKUP(RawTable[[#This Row],[Name]], Name_Master!$A:$E, 4, FALSE), "")</f>
        <v>CH930000000002023760</v>
      </c>
      <c r="H20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CON-Switzerland-202601-000202</v>
      </c>
      <c r="I203" s="1">
        <f>IF(RawTable[[#This Row],[Month]]="","",DATE(YEAR(RawTable[[#This Row],[Month]]),MONTH(RawTable[[#This Row],[Month]]),1))</f>
        <v>46023</v>
      </c>
      <c r="J20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03" s="3" t="s">
        <v>3</v>
      </c>
      <c r="L203" s="4">
        <v>5281.12</v>
      </c>
      <c r="M203" s="2" t="str">
        <f>IF(RawTable[[#This Row],[Net_Amount]]="","",IF(RawTable[[#This Row],[Payment_Type]]="Vendor_Invoice","Yes","No"))</f>
        <v>No</v>
      </c>
      <c r="N203" s="6">
        <f>IF(D203="Vendor_Invoice",
     IFERROR(
         INDEX(System_Master_Data!$B$9:$B$14,
               MATCH(E203,System_Master_Data!$A$9:$A$14,0)
         ),
     0),
0)</f>
        <v>0</v>
      </c>
      <c r="O203" s="4">
        <f t="shared" si="6"/>
        <v>0</v>
      </c>
      <c r="P203" s="4">
        <f t="shared" si="7"/>
        <v>5281.12</v>
      </c>
      <c r="Q203" s="56">
        <f>IFERROR(VLOOKUP(RawTable[[#This Row],[Currency]], System_Master_Data!$A$24:$B$29, 2, FALSE), "")</f>
        <v>1</v>
      </c>
      <c r="R203">
        <f>IF(RawTable[[#This Row],[Exchange_Rate]]="","",ROUND(RawTable[[#This Row],[Gross_Amount]]*RawTable[[#This Row],[Exchange_Rate]],2))</f>
        <v>5281.12</v>
      </c>
      <c r="S203" t="str">
        <f>IF(RawTable[[#This Row],[Entity_Type]]&lt;&gt;"Employee",RawTable[[#This Row],[Entity_Type]],
IF(RawTable[[#This Row],[Country]]="Switzerland","Direct","EOR")
)</f>
        <v>Contractor</v>
      </c>
      <c r="T203" t="str">
        <f>IF(RawTable[[#This Row],[Employment_Model]]&lt;&gt;"EOR","",
IFERROR(VLOOKUP(RawTable[[#This Row],[Country]],EORMap[#All],3,FALSE),"")
)</f>
        <v/>
      </c>
    </row>
    <row r="204" spans="1:20">
      <c r="A204" s="24">
        <v>203</v>
      </c>
      <c r="B204" s="1" t="s">
        <v>30</v>
      </c>
      <c r="C204" s="3" t="s">
        <v>19</v>
      </c>
      <c r="D204" s="3" t="str">
        <f>IFERROR(VLOOKUP(RawTable[[#This Row],[Entity_Type]], EntityMap[], 2, FALSE), "")</f>
        <v>Contractor_Fee</v>
      </c>
      <c r="E204" s="3" t="s">
        <v>6</v>
      </c>
      <c r="F204" s="3" t="s">
        <v>91</v>
      </c>
      <c r="G204" s="3" t="str">
        <f>IFERROR(VLOOKUP(RawTable[[#This Row],[Name]], Name_Master!$A:$E, 4, FALSE), "")</f>
        <v>JO-IBAN-00777735</v>
      </c>
      <c r="H20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CON-USA-202603-000203</v>
      </c>
      <c r="I204" s="1">
        <f>IF(RawTable[[#This Row],[Month]]="","",DATE(YEAR(RawTable[[#This Row],[Month]]),MONTH(RawTable[[#This Row],[Month]]),1))</f>
        <v>46082</v>
      </c>
      <c r="J20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04" s="3" t="s">
        <v>7</v>
      </c>
      <c r="L204" s="4">
        <v>5892.32</v>
      </c>
      <c r="M204" s="2" t="str">
        <f>IF(RawTable[[#This Row],[Net_Amount]]="","",IF(RawTable[[#This Row],[Payment_Type]]="Vendor_Invoice","Yes","No"))</f>
        <v>No</v>
      </c>
      <c r="N204" s="6">
        <f>IF(D204="Vendor_Invoice",
     IFERROR(
         INDEX(System_Master_Data!$B$9:$B$14,
               MATCH(E204,System_Master_Data!$A$9:$A$14,0)
         ),
     0),
0)</f>
        <v>0</v>
      </c>
      <c r="O204" s="4">
        <f t="shared" si="6"/>
        <v>0</v>
      </c>
      <c r="P204" s="4">
        <f t="shared" si="7"/>
        <v>5892.32</v>
      </c>
      <c r="Q204" s="56">
        <f>IFERROR(VLOOKUP(RawTable[[#This Row],[Currency]], System_Master_Data!$A$24:$B$29, 2, FALSE), "")</f>
        <v>0.77017999999999998</v>
      </c>
      <c r="R204">
        <f>IF(RawTable[[#This Row],[Exchange_Rate]]="","",ROUND(RawTable[[#This Row],[Gross_Amount]]*RawTable[[#This Row],[Exchange_Rate]],2))</f>
        <v>4538.1499999999996</v>
      </c>
      <c r="S204" t="str">
        <f>IF(RawTable[[#This Row],[Entity_Type]]&lt;&gt;"Employee",RawTable[[#This Row],[Entity_Type]],
IF(RawTable[[#This Row],[Country]]="Switzerland","Direct","EOR")
)</f>
        <v>Contractor</v>
      </c>
      <c r="T204" t="str">
        <f>IF(RawTable[[#This Row],[Employment_Model]]&lt;&gt;"EOR","",
IFERROR(VLOOKUP(RawTable[[#This Row],[Country]],EORMap[#All],3,FALSE),"")
)</f>
        <v/>
      </c>
    </row>
    <row r="205" spans="1:20">
      <c r="A205" s="24">
        <v>204</v>
      </c>
      <c r="B205" s="1" t="s">
        <v>30</v>
      </c>
      <c r="C205" s="3" t="s">
        <v>19</v>
      </c>
      <c r="D205" s="3" t="str">
        <f>IFERROR(VLOOKUP(RawTable[[#This Row],[Entity_Type]], EntityMap[], 2, FALSE), "")</f>
        <v>Contractor_Fee</v>
      </c>
      <c r="E205" s="3" t="s">
        <v>2</v>
      </c>
      <c r="F205" s="3" t="s">
        <v>34</v>
      </c>
      <c r="G205" s="3" t="str">
        <f>IFERROR(VLOOKUP(RawTable[[#This Row],[Name]], Name_Master!$A:$E, 4, FALSE), "")</f>
        <v>DE890000000000095053</v>
      </c>
      <c r="H20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CON-Switzerland-202603-000204</v>
      </c>
      <c r="I205" s="1">
        <f>IF(RawTable[[#This Row],[Month]]="","",DATE(YEAR(RawTable[[#This Row],[Month]]),MONTH(RawTable[[#This Row],[Month]]),1))</f>
        <v>46082</v>
      </c>
      <c r="J20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05" s="3" t="s">
        <v>3</v>
      </c>
      <c r="L205" s="4">
        <v>5005</v>
      </c>
      <c r="M205" s="2" t="str">
        <f>IF(RawTable[[#This Row],[Net_Amount]]="","",IF(RawTable[[#This Row],[Payment_Type]]="Vendor_Invoice","Yes","No"))</f>
        <v>No</v>
      </c>
      <c r="N205" s="6">
        <f>IF(D205="Vendor_Invoice",
     IFERROR(
         INDEX(System_Master_Data!$B$9:$B$14,
               MATCH(E205,System_Master_Data!$A$9:$A$14,0)
         ),
     0),
0)</f>
        <v>0</v>
      </c>
      <c r="O205" s="4">
        <f t="shared" si="6"/>
        <v>0</v>
      </c>
      <c r="P205" s="4">
        <f t="shared" si="7"/>
        <v>5005</v>
      </c>
      <c r="Q205" s="56">
        <f>IFERROR(VLOOKUP(RawTable[[#This Row],[Currency]], System_Master_Data!$A$24:$B$29, 2, FALSE), "")</f>
        <v>1</v>
      </c>
      <c r="R205">
        <f>IF(RawTable[[#This Row],[Exchange_Rate]]="","",ROUND(RawTable[[#This Row],[Gross_Amount]]*RawTable[[#This Row],[Exchange_Rate]],2))</f>
        <v>5005</v>
      </c>
      <c r="S205" t="str">
        <f>IF(RawTable[[#This Row],[Entity_Type]]&lt;&gt;"Employee",RawTable[[#This Row],[Entity_Type]],
IF(RawTable[[#This Row],[Country]]="Switzerland","Direct","EOR")
)</f>
        <v>Contractor</v>
      </c>
      <c r="T205" t="str">
        <f>IF(RawTable[[#This Row],[Employment_Model]]&lt;&gt;"EOR","",
IFERROR(VLOOKUP(RawTable[[#This Row],[Country]],EORMap[#All],3,FALSE),"")
)</f>
        <v/>
      </c>
    </row>
    <row r="206" spans="1:20">
      <c r="A206" s="24">
        <v>205</v>
      </c>
      <c r="B206" s="1" t="s">
        <v>28</v>
      </c>
      <c r="C206" s="3" t="s">
        <v>19</v>
      </c>
      <c r="D206" s="3" t="str">
        <f>IFERROR(VLOOKUP(RawTable[[#This Row],[Entity_Type]], EntityMap[], 2, FALSE), "")</f>
        <v>Contractor_Fee</v>
      </c>
      <c r="E206" s="3" t="s">
        <v>10</v>
      </c>
      <c r="F206" s="3" t="s">
        <v>51</v>
      </c>
      <c r="G206" s="3" t="str">
        <f>IFERROR(VLOOKUP(RawTable[[#This Row],[Name]], Name_Master!$A:$E, 4, FALSE), "")</f>
        <v>DE890000000000312317</v>
      </c>
      <c r="H20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CON-Jordan-202602-000205</v>
      </c>
      <c r="I206" s="1">
        <f>IF(RawTable[[#This Row],[Month]]="","",DATE(YEAR(RawTable[[#This Row],[Month]]),MONTH(RawTable[[#This Row],[Month]]),1))</f>
        <v>46054</v>
      </c>
      <c r="J20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06" s="3" t="s">
        <v>11</v>
      </c>
      <c r="L206" s="4">
        <v>1382.26</v>
      </c>
      <c r="M206" s="2" t="str">
        <f>IF(RawTable[[#This Row],[Net_Amount]]="","",IF(RawTable[[#This Row],[Payment_Type]]="Vendor_Invoice","Yes","No"))</f>
        <v>No</v>
      </c>
      <c r="N206" s="6">
        <f>IF(D206="Vendor_Invoice",
     IFERROR(
         INDEX(System_Master_Data!$B$9:$B$14,
               MATCH(E206,System_Master_Data!$A$9:$A$14,0)
         ),
     0),
0)</f>
        <v>0</v>
      </c>
      <c r="O206" s="4">
        <f t="shared" si="6"/>
        <v>0</v>
      </c>
      <c r="P206" s="4">
        <f t="shared" si="7"/>
        <v>1382.26</v>
      </c>
      <c r="Q206" s="56">
        <f>IFERROR(VLOOKUP(RawTable[[#This Row],[Currency]], System_Master_Data!$A$24:$B$29, 2, FALSE), "")</f>
        <v>1.08643</v>
      </c>
      <c r="R206">
        <f>IF(RawTable[[#This Row],[Exchange_Rate]]="","",ROUND(RawTable[[#This Row],[Gross_Amount]]*RawTable[[#This Row],[Exchange_Rate]],2))</f>
        <v>1501.73</v>
      </c>
      <c r="S206" t="str">
        <f>IF(RawTable[[#This Row],[Entity_Type]]&lt;&gt;"Employee",RawTable[[#This Row],[Entity_Type]],
IF(RawTable[[#This Row],[Country]]="Switzerland","Direct","EOR")
)</f>
        <v>Contractor</v>
      </c>
      <c r="T206" t="str">
        <f>IF(RawTable[[#This Row],[Employment_Model]]&lt;&gt;"EOR","",
IFERROR(VLOOKUP(RawTable[[#This Row],[Country]],EORMap[#All],3,FALSE),"")
)</f>
        <v/>
      </c>
    </row>
    <row r="207" spans="1:20">
      <c r="A207" s="24">
        <v>206</v>
      </c>
      <c r="B207" s="1" t="s">
        <v>30</v>
      </c>
      <c r="C207" s="3" t="s">
        <v>19</v>
      </c>
      <c r="D207" s="3" t="str">
        <f>IFERROR(VLOOKUP(RawTable[[#This Row],[Entity_Type]], EntityMap[], 2, FALSE), "")</f>
        <v>Contractor_Fee</v>
      </c>
      <c r="E207" s="3" t="s">
        <v>6</v>
      </c>
      <c r="F207" s="3" t="s">
        <v>111</v>
      </c>
      <c r="G207" s="3" t="str">
        <f>IFERROR(VLOOKUP(RawTable[[#This Row],[Name]], Name_Master!$A:$E, 4, FALSE), "")</f>
        <v>US-RT-000102422-AC-0000471274</v>
      </c>
      <c r="H20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CON-USA-202603-000206</v>
      </c>
      <c r="I207" s="1">
        <f>IF(RawTable[[#This Row],[Month]]="","",DATE(YEAR(RawTable[[#This Row],[Month]]),MONTH(RawTable[[#This Row],[Month]]),1))</f>
        <v>46082</v>
      </c>
      <c r="J20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07" s="3" t="s">
        <v>7</v>
      </c>
      <c r="L207" s="4">
        <v>5708.64</v>
      </c>
      <c r="M207" s="2" t="str">
        <f>IF(RawTable[[#This Row],[Net_Amount]]="","",IF(RawTable[[#This Row],[Payment_Type]]="Vendor_Invoice","Yes","No"))</f>
        <v>No</v>
      </c>
      <c r="N207" s="6">
        <f>IF(D207="Vendor_Invoice",
     IFERROR(
         INDEX(System_Master_Data!$B$9:$B$14,
               MATCH(E207,System_Master_Data!$A$9:$A$14,0)
         ),
     0),
0)</f>
        <v>0</v>
      </c>
      <c r="O207" s="4">
        <f t="shared" si="6"/>
        <v>0</v>
      </c>
      <c r="P207" s="4">
        <f t="shared" si="7"/>
        <v>5708.64</v>
      </c>
      <c r="Q207" s="56">
        <f>IFERROR(VLOOKUP(RawTable[[#This Row],[Currency]], System_Master_Data!$A$24:$B$29, 2, FALSE), "")</f>
        <v>0.77017999999999998</v>
      </c>
      <c r="R207">
        <f>IF(RawTable[[#This Row],[Exchange_Rate]]="","",ROUND(RawTable[[#This Row],[Gross_Amount]]*RawTable[[#This Row],[Exchange_Rate]],2))</f>
        <v>4396.68</v>
      </c>
      <c r="S207" t="str">
        <f>IF(RawTable[[#This Row],[Entity_Type]]&lt;&gt;"Employee",RawTable[[#This Row],[Entity_Type]],
IF(RawTable[[#This Row],[Country]]="Switzerland","Direct","EOR")
)</f>
        <v>Contractor</v>
      </c>
      <c r="T207" t="str">
        <f>IF(RawTable[[#This Row],[Employment_Model]]&lt;&gt;"EOR","",
IFERROR(VLOOKUP(RawTable[[#This Row],[Country]],EORMap[#All],3,FALSE),"")
)</f>
        <v/>
      </c>
    </row>
    <row r="208" spans="1:20">
      <c r="A208" s="24">
        <v>207</v>
      </c>
      <c r="B208" s="1" t="s">
        <v>30</v>
      </c>
      <c r="C208" s="3" t="s">
        <v>19</v>
      </c>
      <c r="D208" s="3" t="str">
        <f>IFERROR(VLOOKUP(RawTable[[#This Row],[Entity_Type]], EntityMap[], 2, FALSE), "")</f>
        <v>Contractor_Fee</v>
      </c>
      <c r="E208" s="3" t="s">
        <v>8</v>
      </c>
      <c r="F208" s="3" t="s">
        <v>105</v>
      </c>
      <c r="G208" s="3" t="str">
        <f>IFERROR(VLOOKUP(RawTable[[#This Row],[Name]], Name_Master!$A:$E, 4, FALSE), "")</f>
        <v>US-RT-000095018-AC-0000437206</v>
      </c>
      <c r="H20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CON-UAE-202603-000207</v>
      </c>
      <c r="I208" s="1">
        <f>IF(RawTable[[#This Row],[Month]]="","",DATE(YEAR(RawTable[[#This Row],[Month]]),MONTH(RawTable[[#This Row],[Month]]),1))</f>
        <v>46082</v>
      </c>
      <c r="J20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08" s="3" t="s">
        <v>9</v>
      </c>
      <c r="L208" s="4">
        <v>17932.64</v>
      </c>
      <c r="M208" s="2" t="str">
        <f>IF(RawTable[[#This Row],[Net_Amount]]="","",IF(RawTable[[#This Row],[Payment_Type]]="Vendor_Invoice","Yes","No"))</f>
        <v>No</v>
      </c>
      <c r="N208" s="6">
        <f>IF(D208="Vendor_Invoice",
     IFERROR(
         INDEX(System_Master_Data!$B$9:$B$14,
               MATCH(E208,System_Master_Data!$A$9:$A$14,0)
         ),
     0),
0)</f>
        <v>0</v>
      </c>
      <c r="O208" s="4">
        <f t="shared" si="6"/>
        <v>0</v>
      </c>
      <c r="P208" s="4">
        <f t="shared" si="7"/>
        <v>17932.64</v>
      </c>
      <c r="Q208" s="56">
        <f>IFERROR(VLOOKUP(RawTable[[#This Row],[Currency]], System_Master_Data!$A$24:$B$29, 2, FALSE), "")</f>
        <v>0.21065</v>
      </c>
      <c r="R208">
        <f>IF(RawTable[[#This Row],[Exchange_Rate]]="","",ROUND(RawTable[[#This Row],[Gross_Amount]]*RawTable[[#This Row],[Exchange_Rate]],2))</f>
        <v>3777.51</v>
      </c>
      <c r="S208" t="str">
        <f>IF(RawTable[[#This Row],[Entity_Type]]&lt;&gt;"Employee",RawTable[[#This Row],[Entity_Type]],
IF(RawTable[[#This Row],[Country]]="Switzerland","Direct","EOR")
)</f>
        <v>Contractor</v>
      </c>
      <c r="T208" t="str">
        <f>IF(RawTable[[#This Row],[Employment_Model]]&lt;&gt;"EOR","",
IFERROR(VLOOKUP(RawTable[[#This Row],[Country]],EORMap[#All],3,FALSE),"")
)</f>
        <v/>
      </c>
    </row>
    <row r="209" spans="1:20">
      <c r="A209" s="24">
        <v>208</v>
      </c>
      <c r="B209" s="1" t="s">
        <v>30</v>
      </c>
      <c r="C209" s="3" t="s">
        <v>19</v>
      </c>
      <c r="D209" s="3" t="str">
        <f>IFERROR(VLOOKUP(RawTable[[#This Row],[Entity_Type]], EntityMap[], 2, FALSE), "")</f>
        <v>Contractor_Fee</v>
      </c>
      <c r="E209" s="3" t="s">
        <v>4</v>
      </c>
      <c r="F209" s="3" t="s">
        <v>112</v>
      </c>
      <c r="G209" s="3" t="str">
        <f>IFERROR(VLOOKUP(RawTable[[#This Row],[Name]], Name_Master!$A:$E, 4, FALSE), "")</f>
        <v>DE890000000001140636</v>
      </c>
      <c r="H20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CON-Germany-202603-000208</v>
      </c>
      <c r="I209" s="1">
        <f>IF(RawTable[[#This Row],[Month]]="","",DATE(YEAR(RawTable[[#This Row],[Month]]),MONTH(RawTable[[#This Row],[Month]]),1))</f>
        <v>46082</v>
      </c>
      <c r="J20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09" s="3" t="s">
        <v>5</v>
      </c>
      <c r="L209" s="4">
        <v>4619.04</v>
      </c>
      <c r="M209" s="2" t="str">
        <f>IF(RawTable[[#This Row],[Net_Amount]]="","",IF(RawTable[[#This Row],[Payment_Type]]="Vendor_Invoice","Yes","No"))</f>
        <v>No</v>
      </c>
      <c r="N209" s="6">
        <f>IF(D209="Vendor_Invoice",
     IFERROR(
         INDEX(System_Master_Data!$B$9:$B$14,
               MATCH(E209,System_Master_Data!$A$9:$A$14,0)
         ),
     0),
0)</f>
        <v>0</v>
      </c>
      <c r="O209" s="4">
        <f t="shared" si="6"/>
        <v>0</v>
      </c>
      <c r="P209" s="4">
        <f t="shared" si="7"/>
        <v>4619.04</v>
      </c>
      <c r="Q209" s="56">
        <f>IFERROR(VLOOKUP(RawTable[[#This Row],[Currency]], System_Master_Data!$A$24:$B$29, 2, FALSE), "")</f>
        <v>0.90888000000000002</v>
      </c>
      <c r="R209">
        <f>IF(RawTable[[#This Row],[Exchange_Rate]]="","",ROUND(RawTable[[#This Row],[Gross_Amount]]*RawTable[[#This Row],[Exchange_Rate]],2))</f>
        <v>4198.1499999999996</v>
      </c>
      <c r="S209" t="str">
        <f>IF(RawTable[[#This Row],[Entity_Type]]&lt;&gt;"Employee",RawTable[[#This Row],[Entity_Type]],
IF(RawTable[[#This Row],[Country]]="Switzerland","Direct","EOR")
)</f>
        <v>Contractor</v>
      </c>
      <c r="T209" t="str">
        <f>IF(RawTable[[#This Row],[Employment_Model]]&lt;&gt;"EOR","",
IFERROR(VLOOKUP(RawTable[[#This Row],[Country]],EORMap[#All],3,FALSE),"")
)</f>
        <v/>
      </c>
    </row>
    <row r="210" spans="1:20">
      <c r="A210" s="24">
        <v>209</v>
      </c>
      <c r="B210" s="1" t="s">
        <v>28</v>
      </c>
      <c r="C210" s="3" t="s">
        <v>19</v>
      </c>
      <c r="D210" s="3" t="str">
        <f>IFERROR(VLOOKUP(RawTable[[#This Row],[Entity_Type]], EntityMap[], 2, FALSE), "")</f>
        <v>Contractor_Fee</v>
      </c>
      <c r="E210" s="3" t="s">
        <v>6</v>
      </c>
      <c r="F210" s="3" t="s">
        <v>113</v>
      </c>
      <c r="G210" s="3" t="str">
        <f>IFERROR(VLOOKUP(RawTable[[#This Row],[Name]], Name_Master!$A:$E, 4, FALSE), "")</f>
        <v>US-RT-000104890-AC-0000482630</v>
      </c>
      <c r="H21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CON-USA-202602-000209</v>
      </c>
      <c r="I210" s="1">
        <f>IF(RawTable[[#This Row],[Month]]="","",DATE(YEAR(RawTable[[#This Row],[Month]]),MONTH(RawTable[[#This Row],[Month]]),1))</f>
        <v>46054</v>
      </c>
      <c r="J21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10" s="3" t="s">
        <v>7</v>
      </c>
      <c r="L210" s="4">
        <v>5880.56</v>
      </c>
      <c r="M210" s="2" t="str">
        <f>IF(RawTable[[#This Row],[Net_Amount]]="","",IF(RawTable[[#This Row],[Payment_Type]]="Vendor_Invoice","Yes","No"))</f>
        <v>No</v>
      </c>
      <c r="N210" s="6">
        <f>IF(D210="Vendor_Invoice",
     IFERROR(
         INDEX(System_Master_Data!$B$9:$B$14,
               MATCH(E210,System_Master_Data!$A$9:$A$14,0)
         ),
     0),
0)</f>
        <v>0</v>
      </c>
      <c r="O210" s="4">
        <f t="shared" si="6"/>
        <v>0</v>
      </c>
      <c r="P210" s="4">
        <f t="shared" si="7"/>
        <v>5880.56</v>
      </c>
      <c r="Q210" s="56">
        <f>IFERROR(VLOOKUP(RawTable[[#This Row],[Currency]], System_Master_Data!$A$24:$B$29, 2, FALSE), "")</f>
        <v>0.77017999999999998</v>
      </c>
      <c r="R210">
        <f>IF(RawTable[[#This Row],[Exchange_Rate]]="","",ROUND(RawTable[[#This Row],[Gross_Amount]]*RawTable[[#This Row],[Exchange_Rate]],2))</f>
        <v>4529.09</v>
      </c>
      <c r="S210" t="str">
        <f>IF(RawTable[[#This Row],[Entity_Type]]&lt;&gt;"Employee",RawTable[[#This Row],[Entity_Type]],
IF(RawTable[[#This Row],[Country]]="Switzerland","Direct","EOR")
)</f>
        <v>Contractor</v>
      </c>
      <c r="T210" t="str">
        <f>IF(RawTable[[#This Row],[Employment_Model]]&lt;&gt;"EOR","",
IFERROR(VLOOKUP(RawTable[[#This Row],[Country]],EORMap[#All],3,FALSE),"")
)</f>
        <v/>
      </c>
    </row>
    <row r="211" spans="1:20">
      <c r="A211" s="24">
        <v>210</v>
      </c>
      <c r="B211" s="1" t="s">
        <v>30</v>
      </c>
      <c r="C211" s="3" t="s">
        <v>19</v>
      </c>
      <c r="D211" s="3" t="str">
        <f>IFERROR(VLOOKUP(RawTable[[#This Row],[Entity_Type]], EntityMap[], 2, FALSE), "")</f>
        <v>Contractor_Fee</v>
      </c>
      <c r="E211" s="3" t="s">
        <v>6</v>
      </c>
      <c r="F211" s="3" t="s">
        <v>69</v>
      </c>
      <c r="G211" s="3" t="str">
        <f>IFERROR(VLOOKUP(RawTable[[#This Row],[Name]], Name_Master!$A:$E, 4, FALSE), "")</f>
        <v>US-RT-000050594-AC-0000232798</v>
      </c>
      <c r="H21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CON-USA-202603-000210</v>
      </c>
      <c r="I211" s="1">
        <f>IF(RawTable[[#This Row],[Month]]="","",DATE(YEAR(RawTable[[#This Row],[Month]]),MONTH(RawTable[[#This Row],[Month]]),1))</f>
        <v>46082</v>
      </c>
      <c r="J21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11" s="3" t="s">
        <v>7</v>
      </c>
      <c r="L211" s="4">
        <v>5367.04</v>
      </c>
      <c r="M211" s="2" t="str">
        <f>IF(RawTable[[#This Row],[Net_Amount]]="","",IF(RawTable[[#This Row],[Payment_Type]]="Vendor_Invoice","Yes","No"))</f>
        <v>No</v>
      </c>
      <c r="N211" s="6">
        <f>IF(D211="Vendor_Invoice",
     IFERROR(
         INDEX(System_Master_Data!$B$9:$B$14,
               MATCH(E211,System_Master_Data!$A$9:$A$14,0)
         ),
     0),
0)</f>
        <v>0</v>
      </c>
      <c r="O211" s="4">
        <f t="shared" si="6"/>
        <v>0</v>
      </c>
      <c r="P211" s="4">
        <f t="shared" si="7"/>
        <v>5367.04</v>
      </c>
      <c r="Q211" s="56">
        <f>IFERROR(VLOOKUP(RawTable[[#This Row],[Currency]], System_Master_Data!$A$24:$B$29, 2, FALSE), "")</f>
        <v>0.77017999999999998</v>
      </c>
      <c r="R211">
        <f>IF(RawTable[[#This Row],[Exchange_Rate]]="","",ROUND(RawTable[[#This Row],[Gross_Amount]]*RawTable[[#This Row],[Exchange_Rate]],2))</f>
        <v>4133.59</v>
      </c>
      <c r="S211" t="str">
        <f>IF(RawTable[[#This Row],[Entity_Type]]&lt;&gt;"Employee",RawTable[[#This Row],[Entity_Type]],
IF(RawTable[[#This Row],[Country]]="Switzerland","Direct","EOR")
)</f>
        <v>Contractor</v>
      </c>
      <c r="T211" t="str">
        <f>IF(RawTable[[#This Row],[Employment_Model]]&lt;&gt;"EOR","",
IFERROR(VLOOKUP(RawTable[[#This Row],[Country]],EORMap[#All],3,FALSE),"")
)</f>
        <v/>
      </c>
    </row>
    <row r="212" spans="1:20">
      <c r="A212" s="24">
        <v>211</v>
      </c>
      <c r="B212" s="1" t="s">
        <v>35</v>
      </c>
      <c r="C212" s="3" t="s">
        <v>19</v>
      </c>
      <c r="D212" s="3" t="str">
        <f>IFERROR(VLOOKUP(RawTable[[#This Row],[Entity_Type]], EntityMap[], 2, FALSE), "")</f>
        <v>Contractor_Fee</v>
      </c>
      <c r="E212" s="3" t="s">
        <v>4</v>
      </c>
      <c r="F212" s="3" t="s">
        <v>114</v>
      </c>
      <c r="G212" s="3" t="str">
        <f>IFERROR(VLOOKUP(RawTable[[#This Row],[Name]], Name_Master!$A:$E, 4, FALSE), "")</f>
        <v>DE890000000001167794</v>
      </c>
      <c r="H21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CON-Germany-202601-000211</v>
      </c>
      <c r="I212" s="1">
        <f>IF(RawTable[[#This Row],[Month]]="","",DATE(YEAR(RawTable[[#This Row],[Month]]),MONTH(RawTable[[#This Row],[Month]]),1))</f>
        <v>46023</v>
      </c>
      <c r="J21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12" s="3" t="s">
        <v>5</v>
      </c>
      <c r="L212" s="4">
        <v>4791.3599999999997</v>
      </c>
      <c r="M212" s="2" t="str">
        <f>IF(RawTable[[#This Row],[Net_Amount]]="","",IF(RawTable[[#This Row],[Payment_Type]]="Vendor_Invoice","Yes","No"))</f>
        <v>No</v>
      </c>
      <c r="N212" s="6">
        <f>IF(D212="Vendor_Invoice",
     IFERROR(
         INDEX(System_Master_Data!$B$9:$B$14,
               MATCH(E212,System_Master_Data!$A$9:$A$14,0)
         ),
     0),
0)</f>
        <v>0</v>
      </c>
      <c r="O212" s="4">
        <f t="shared" si="6"/>
        <v>0</v>
      </c>
      <c r="P212" s="4">
        <f t="shared" si="7"/>
        <v>4791.3599999999997</v>
      </c>
      <c r="Q212" s="56">
        <f>IFERROR(VLOOKUP(RawTable[[#This Row],[Currency]], System_Master_Data!$A$24:$B$29, 2, FALSE), "")</f>
        <v>0.90888000000000002</v>
      </c>
      <c r="R212">
        <f>IF(RawTable[[#This Row],[Exchange_Rate]]="","",ROUND(RawTable[[#This Row],[Gross_Amount]]*RawTable[[#This Row],[Exchange_Rate]],2))</f>
        <v>4354.7700000000004</v>
      </c>
      <c r="S212" t="str">
        <f>IF(RawTable[[#This Row],[Entity_Type]]&lt;&gt;"Employee",RawTable[[#This Row],[Entity_Type]],
IF(RawTable[[#This Row],[Country]]="Switzerland","Direct","EOR")
)</f>
        <v>Contractor</v>
      </c>
      <c r="T212" t="str">
        <f>IF(RawTable[[#This Row],[Employment_Model]]&lt;&gt;"EOR","",
IFERROR(VLOOKUP(RawTable[[#This Row],[Country]],EORMap[#All],3,FALSE),"")
)</f>
        <v/>
      </c>
    </row>
    <row r="213" spans="1:20">
      <c r="A213" s="24">
        <v>212</v>
      </c>
      <c r="B213" s="1" t="s">
        <v>28</v>
      </c>
      <c r="C213" s="3" t="s">
        <v>19</v>
      </c>
      <c r="D213" s="3" t="str">
        <f>IFERROR(VLOOKUP(RawTable[[#This Row],[Entity_Type]], EntityMap[], 2, FALSE), "")</f>
        <v>Contractor_Fee</v>
      </c>
      <c r="E213" s="3" t="s">
        <v>2</v>
      </c>
      <c r="F213" s="3" t="s">
        <v>51</v>
      </c>
      <c r="G213" s="3" t="str">
        <f>IFERROR(VLOOKUP(RawTable[[#This Row],[Name]], Name_Master!$A:$E, 4, FALSE), "")</f>
        <v>DE890000000000312317</v>
      </c>
      <c r="H21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CON-Switzerland-202602-000212</v>
      </c>
      <c r="I213" s="1">
        <f>IF(RawTable[[#This Row],[Month]]="","",DATE(YEAR(RawTable[[#This Row],[Month]]),MONTH(RawTable[[#This Row],[Month]]),1))</f>
        <v>46054</v>
      </c>
      <c r="J21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13" s="3" t="s">
        <v>3</v>
      </c>
      <c r="L213" s="4">
        <v>4991.4799999999996</v>
      </c>
      <c r="M213" s="2" t="str">
        <f>IF(RawTable[[#This Row],[Net_Amount]]="","",IF(RawTable[[#This Row],[Payment_Type]]="Vendor_Invoice","Yes","No"))</f>
        <v>No</v>
      </c>
      <c r="N213" s="6">
        <f>IF(D213="Vendor_Invoice",
     IFERROR(
         INDEX(System_Master_Data!$B$9:$B$14,
               MATCH(E213,System_Master_Data!$A$9:$A$14,0)
         ),
     0),
0)</f>
        <v>0</v>
      </c>
      <c r="O213" s="4">
        <f t="shared" si="6"/>
        <v>0</v>
      </c>
      <c r="P213" s="4">
        <f t="shared" si="7"/>
        <v>4991.4799999999996</v>
      </c>
      <c r="Q213" s="56">
        <f>IFERROR(VLOOKUP(RawTable[[#This Row],[Currency]], System_Master_Data!$A$24:$B$29, 2, FALSE), "")</f>
        <v>1</v>
      </c>
      <c r="R213">
        <f>IF(RawTable[[#This Row],[Exchange_Rate]]="","",ROUND(RawTable[[#This Row],[Gross_Amount]]*RawTable[[#This Row],[Exchange_Rate]],2))</f>
        <v>4991.4799999999996</v>
      </c>
      <c r="S213" t="str">
        <f>IF(RawTable[[#This Row],[Entity_Type]]&lt;&gt;"Employee",RawTable[[#This Row],[Entity_Type]],
IF(RawTable[[#This Row],[Country]]="Switzerland","Direct","EOR")
)</f>
        <v>Contractor</v>
      </c>
      <c r="T213" t="str">
        <f>IF(RawTable[[#This Row],[Employment_Model]]&lt;&gt;"EOR","",
IFERROR(VLOOKUP(RawTable[[#This Row],[Country]],EORMap[#All],3,FALSE),"")
)</f>
        <v/>
      </c>
    </row>
    <row r="214" spans="1:20">
      <c r="A214" s="24">
        <v>213</v>
      </c>
      <c r="B214" s="1" t="s">
        <v>35</v>
      </c>
      <c r="C214" s="3" t="s">
        <v>19</v>
      </c>
      <c r="D214" s="3" t="str">
        <f>IFERROR(VLOOKUP(RawTable[[#This Row],[Entity_Type]], EntityMap[], 2, FALSE), "")</f>
        <v>Contractor_Fee</v>
      </c>
      <c r="E214" s="3" t="s">
        <v>2</v>
      </c>
      <c r="F214" s="3" t="s">
        <v>82</v>
      </c>
      <c r="G214" s="3" t="str">
        <f>IFERROR(VLOOKUP(RawTable[[#This Row],[Name]], Name_Master!$A:$E, 4, FALSE), "")</f>
        <v>US-RT-000066636-AC-0000306612</v>
      </c>
      <c r="H21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CON-Switzerland-202601-000213</v>
      </c>
      <c r="I214" s="1">
        <f>IF(RawTable[[#This Row],[Month]]="","",DATE(YEAR(RawTable[[#This Row],[Month]]),MONTH(RawTable[[#This Row],[Month]]),1))</f>
        <v>46023</v>
      </c>
      <c r="J21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14" s="3" t="s">
        <v>3</v>
      </c>
      <c r="L214" s="4">
        <v>5482.88</v>
      </c>
      <c r="M214" s="2" t="str">
        <f>IF(RawTable[[#This Row],[Net_Amount]]="","",IF(RawTable[[#This Row],[Payment_Type]]="Vendor_Invoice","Yes","No"))</f>
        <v>No</v>
      </c>
      <c r="N214" s="6">
        <f>IF(D214="Vendor_Invoice",
     IFERROR(
         INDEX(System_Master_Data!$B$9:$B$14,
               MATCH(E214,System_Master_Data!$A$9:$A$14,0)
         ),
     0),
0)</f>
        <v>0</v>
      </c>
      <c r="O214" s="4">
        <f t="shared" si="6"/>
        <v>0</v>
      </c>
      <c r="P214" s="4">
        <f t="shared" si="7"/>
        <v>5482.88</v>
      </c>
      <c r="Q214" s="56">
        <f>IFERROR(VLOOKUP(RawTable[[#This Row],[Currency]], System_Master_Data!$A$24:$B$29, 2, FALSE), "")</f>
        <v>1</v>
      </c>
      <c r="R214">
        <f>IF(RawTable[[#This Row],[Exchange_Rate]]="","",ROUND(RawTable[[#This Row],[Gross_Amount]]*RawTable[[#This Row],[Exchange_Rate]],2))</f>
        <v>5482.88</v>
      </c>
      <c r="S214" t="str">
        <f>IF(RawTable[[#This Row],[Entity_Type]]&lt;&gt;"Employee",RawTable[[#This Row],[Entity_Type]],
IF(RawTable[[#This Row],[Country]]="Switzerland","Direct","EOR")
)</f>
        <v>Contractor</v>
      </c>
      <c r="T214" t="str">
        <f>IF(RawTable[[#This Row],[Employment_Model]]&lt;&gt;"EOR","",
IFERROR(VLOOKUP(RawTable[[#This Row],[Country]],EORMap[#All],3,FALSE),"")
)</f>
        <v/>
      </c>
    </row>
    <row r="215" spans="1:20">
      <c r="A215" s="24">
        <v>214</v>
      </c>
      <c r="B215" s="1" t="s">
        <v>35</v>
      </c>
      <c r="C215" s="3" t="s">
        <v>19</v>
      </c>
      <c r="D215" s="3" t="str">
        <f>IFERROR(VLOOKUP(RawTable[[#This Row],[Entity_Type]], EntityMap[], 2, FALSE), "")</f>
        <v>Contractor_Fee</v>
      </c>
      <c r="E215" s="3" t="s">
        <v>8</v>
      </c>
      <c r="F215" s="3" t="s">
        <v>64</v>
      </c>
      <c r="G215" s="3" t="str">
        <f>IFERROR(VLOOKUP(RawTable[[#This Row],[Name]], Name_Master!$A:$E, 4, FALSE), "")</f>
        <v>JO-IBAN-00444420</v>
      </c>
      <c r="H21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CON-UAE-202601-000214</v>
      </c>
      <c r="I215" s="1">
        <f>IF(RawTable[[#This Row],[Month]]="","",DATE(YEAR(RawTable[[#This Row],[Month]]),MONTH(RawTable[[#This Row],[Month]]),1))</f>
        <v>46023</v>
      </c>
      <c r="J21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15" s="3" t="s">
        <v>9</v>
      </c>
      <c r="L215" s="4">
        <v>18867.2</v>
      </c>
      <c r="M215" s="2" t="str">
        <f>IF(RawTable[[#This Row],[Net_Amount]]="","",IF(RawTable[[#This Row],[Payment_Type]]="Vendor_Invoice","Yes","No"))</f>
        <v>No</v>
      </c>
      <c r="N215" s="6">
        <f>IF(D215="Vendor_Invoice",
     IFERROR(
         INDEX(System_Master_Data!$B$9:$B$14,
               MATCH(E215,System_Master_Data!$A$9:$A$14,0)
         ),
     0),
0)</f>
        <v>0</v>
      </c>
      <c r="O215" s="4">
        <f t="shared" si="6"/>
        <v>0</v>
      </c>
      <c r="P215" s="4">
        <f t="shared" si="7"/>
        <v>18867.2</v>
      </c>
      <c r="Q215" s="56">
        <f>IFERROR(VLOOKUP(RawTable[[#This Row],[Currency]], System_Master_Data!$A$24:$B$29, 2, FALSE), "")</f>
        <v>0.21065</v>
      </c>
      <c r="R215">
        <f>IF(RawTable[[#This Row],[Exchange_Rate]]="","",ROUND(RawTable[[#This Row],[Gross_Amount]]*RawTable[[#This Row],[Exchange_Rate]],2))</f>
        <v>3974.38</v>
      </c>
      <c r="S215" t="str">
        <f>IF(RawTable[[#This Row],[Entity_Type]]&lt;&gt;"Employee",RawTable[[#This Row],[Entity_Type]],
IF(RawTable[[#This Row],[Country]]="Switzerland","Direct","EOR")
)</f>
        <v>Contractor</v>
      </c>
      <c r="T215" t="str">
        <f>IF(RawTable[[#This Row],[Employment_Model]]&lt;&gt;"EOR","",
IFERROR(VLOOKUP(RawTable[[#This Row],[Country]],EORMap[#All],3,FALSE),"")
)</f>
        <v/>
      </c>
    </row>
    <row r="216" spans="1:20">
      <c r="A216" s="24">
        <v>215</v>
      </c>
      <c r="B216" s="1" t="s">
        <v>30</v>
      </c>
      <c r="C216" s="3" t="s">
        <v>19</v>
      </c>
      <c r="D216" s="3" t="str">
        <f>IFERROR(VLOOKUP(RawTable[[#This Row],[Entity_Type]], EntityMap[], 2, FALSE), "")</f>
        <v>Contractor_Fee</v>
      </c>
      <c r="E216" s="3" t="s">
        <v>6</v>
      </c>
      <c r="F216" s="3" t="s">
        <v>84</v>
      </c>
      <c r="G216" s="3" t="str">
        <f>IFERROR(VLOOKUP(RawTable[[#This Row],[Name]], Name_Master!$A:$E, 4, FALSE), "")</f>
        <v>CH930000000001382080</v>
      </c>
      <c r="H21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CON-USA-202603-000215</v>
      </c>
      <c r="I216" s="1">
        <f>IF(RawTable[[#This Row],[Month]]="","",DATE(YEAR(RawTable[[#This Row],[Month]]),MONTH(RawTable[[#This Row],[Month]]),1))</f>
        <v>46082</v>
      </c>
      <c r="J21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16" s="3" t="s">
        <v>7</v>
      </c>
      <c r="L216" s="4">
        <v>5415.76</v>
      </c>
      <c r="M216" s="2" t="str">
        <f>IF(RawTable[[#This Row],[Net_Amount]]="","",IF(RawTable[[#This Row],[Payment_Type]]="Vendor_Invoice","Yes","No"))</f>
        <v>No</v>
      </c>
      <c r="N216" s="6">
        <f>IF(D216="Vendor_Invoice",
     IFERROR(
         INDEX(System_Master_Data!$B$9:$B$14,
               MATCH(E216,System_Master_Data!$A$9:$A$14,0)
         ),
     0),
0)</f>
        <v>0</v>
      </c>
      <c r="O216" s="4">
        <f t="shared" si="6"/>
        <v>0</v>
      </c>
      <c r="P216" s="4">
        <f t="shared" si="7"/>
        <v>5415.76</v>
      </c>
      <c r="Q216" s="56">
        <f>IFERROR(VLOOKUP(RawTable[[#This Row],[Currency]], System_Master_Data!$A$24:$B$29, 2, FALSE), "")</f>
        <v>0.77017999999999998</v>
      </c>
      <c r="R216">
        <f>IF(RawTable[[#This Row],[Exchange_Rate]]="","",ROUND(RawTable[[#This Row],[Gross_Amount]]*RawTable[[#This Row],[Exchange_Rate]],2))</f>
        <v>4171.1099999999997</v>
      </c>
      <c r="S216" t="str">
        <f>IF(RawTable[[#This Row],[Entity_Type]]&lt;&gt;"Employee",RawTable[[#This Row],[Entity_Type]],
IF(RawTable[[#This Row],[Country]]="Switzerland","Direct","EOR")
)</f>
        <v>Contractor</v>
      </c>
      <c r="T216" t="str">
        <f>IF(RawTable[[#This Row],[Employment_Model]]&lt;&gt;"EOR","",
IFERROR(VLOOKUP(RawTable[[#This Row],[Country]],EORMap[#All],3,FALSE),"")
)</f>
        <v/>
      </c>
    </row>
    <row r="217" spans="1:20">
      <c r="A217" s="24">
        <v>216</v>
      </c>
      <c r="B217" s="1" t="s">
        <v>30</v>
      </c>
      <c r="C217" s="3" t="s">
        <v>19</v>
      </c>
      <c r="D217" s="3" t="str">
        <f>IFERROR(VLOOKUP(RawTable[[#This Row],[Entity_Type]], EntityMap[], 2, FALSE), "")</f>
        <v>Contractor_Fee</v>
      </c>
      <c r="E217" s="3" t="s">
        <v>10</v>
      </c>
      <c r="F217" s="3" t="s">
        <v>104</v>
      </c>
      <c r="G217" s="3" t="str">
        <f>IFERROR(VLOOKUP(RawTable[[#This Row],[Name]], Name_Master!$A:$E, 4, FALSE), "")</f>
        <v>JO-IBAN-00938220</v>
      </c>
      <c r="H21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CON-Jordan-202603-000216</v>
      </c>
      <c r="I217" s="1">
        <f>IF(RawTable[[#This Row],[Month]]="","",DATE(YEAR(RawTable[[#This Row],[Month]]),MONTH(RawTable[[#This Row],[Month]]),1))</f>
        <v>46082</v>
      </c>
      <c r="J21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17" s="3" t="s">
        <v>11</v>
      </c>
      <c r="L217" s="4">
        <v>1312.42</v>
      </c>
      <c r="M217" s="2" t="str">
        <f>IF(RawTable[[#This Row],[Net_Amount]]="","",IF(RawTable[[#This Row],[Payment_Type]]="Vendor_Invoice","Yes","No"))</f>
        <v>No</v>
      </c>
      <c r="N217" s="6">
        <f>IF(D217="Vendor_Invoice",
     IFERROR(
         INDEX(System_Master_Data!$B$9:$B$14,
               MATCH(E217,System_Master_Data!$A$9:$A$14,0)
         ),
     0),
0)</f>
        <v>0</v>
      </c>
      <c r="O217" s="4">
        <f t="shared" si="6"/>
        <v>0</v>
      </c>
      <c r="P217" s="4">
        <f t="shared" si="7"/>
        <v>1312.42</v>
      </c>
      <c r="Q217" s="56">
        <f>IFERROR(VLOOKUP(RawTable[[#This Row],[Currency]], System_Master_Data!$A$24:$B$29, 2, FALSE), "")</f>
        <v>1.08643</v>
      </c>
      <c r="R217">
        <f>IF(RawTable[[#This Row],[Exchange_Rate]]="","",ROUND(RawTable[[#This Row],[Gross_Amount]]*RawTable[[#This Row],[Exchange_Rate]],2))</f>
        <v>1425.85</v>
      </c>
      <c r="S217" t="str">
        <f>IF(RawTable[[#This Row],[Entity_Type]]&lt;&gt;"Employee",RawTable[[#This Row],[Entity_Type]],
IF(RawTable[[#This Row],[Country]]="Switzerland","Direct","EOR")
)</f>
        <v>Contractor</v>
      </c>
      <c r="T217" t="str">
        <f>IF(RawTable[[#This Row],[Employment_Model]]&lt;&gt;"EOR","",
IFERROR(VLOOKUP(RawTable[[#This Row],[Country]],EORMap[#All],3,FALSE),"")
)</f>
        <v/>
      </c>
    </row>
    <row r="218" spans="1:20">
      <c r="A218" s="24">
        <v>217</v>
      </c>
      <c r="B218" s="1" t="s">
        <v>30</v>
      </c>
      <c r="C218" s="3" t="s">
        <v>19</v>
      </c>
      <c r="D218" s="3" t="str">
        <f>IFERROR(VLOOKUP(RawTable[[#This Row],[Entity_Type]], EntityMap[], 2, FALSE), "")</f>
        <v>Contractor_Fee</v>
      </c>
      <c r="E218" s="3" t="s">
        <v>2</v>
      </c>
      <c r="F218" s="3" t="s">
        <v>78</v>
      </c>
      <c r="G218" s="3" t="str">
        <f>IFERROR(VLOOKUP(RawTable[[#This Row],[Name]], Name_Master!$A:$E, 4, FALSE), "")</f>
        <v>JO-IBAN-00617250</v>
      </c>
      <c r="H21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CON-Switzerland-202603-000217</v>
      </c>
      <c r="I218" s="1">
        <f>IF(RawTable[[#This Row],[Month]]="","",DATE(YEAR(RawTable[[#This Row],[Month]]),MONTH(RawTable[[#This Row],[Month]]),1))</f>
        <v>46082</v>
      </c>
      <c r="J21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18" s="3" t="s">
        <v>3</v>
      </c>
      <c r="L218" s="4">
        <v>4879.68</v>
      </c>
      <c r="M218" s="2" t="str">
        <f>IF(RawTable[[#This Row],[Net_Amount]]="","",IF(RawTable[[#This Row],[Payment_Type]]="Vendor_Invoice","Yes","No"))</f>
        <v>No</v>
      </c>
      <c r="N218" s="6">
        <f>IF(D218="Vendor_Invoice",
     IFERROR(
         INDEX(System_Master_Data!$B$9:$B$14,
               MATCH(E218,System_Master_Data!$A$9:$A$14,0)
         ),
     0),
0)</f>
        <v>0</v>
      </c>
      <c r="O218" s="4">
        <f t="shared" si="6"/>
        <v>0</v>
      </c>
      <c r="P218" s="4">
        <f t="shared" si="7"/>
        <v>4879.68</v>
      </c>
      <c r="Q218" s="56">
        <f>IFERROR(VLOOKUP(RawTable[[#This Row],[Currency]], System_Master_Data!$A$24:$B$29, 2, FALSE), "")</f>
        <v>1</v>
      </c>
      <c r="R218">
        <f>IF(RawTable[[#This Row],[Exchange_Rate]]="","",ROUND(RawTable[[#This Row],[Gross_Amount]]*RawTable[[#This Row],[Exchange_Rate]],2))</f>
        <v>4879.68</v>
      </c>
      <c r="S218" t="str">
        <f>IF(RawTable[[#This Row],[Entity_Type]]&lt;&gt;"Employee",RawTable[[#This Row],[Entity_Type]],
IF(RawTable[[#This Row],[Country]]="Switzerland","Direct","EOR")
)</f>
        <v>Contractor</v>
      </c>
      <c r="T218" t="str">
        <f>IF(RawTable[[#This Row],[Employment_Model]]&lt;&gt;"EOR","",
IFERROR(VLOOKUP(RawTable[[#This Row],[Country]],EORMap[#All],3,FALSE),"")
)</f>
        <v/>
      </c>
    </row>
    <row r="219" spans="1:20">
      <c r="A219" s="24">
        <v>218</v>
      </c>
      <c r="B219" s="1" t="s">
        <v>35</v>
      </c>
      <c r="C219" s="3" t="s">
        <v>19</v>
      </c>
      <c r="D219" s="3" t="str">
        <f>IFERROR(VLOOKUP(RawTable[[#This Row],[Entity_Type]], EntityMap[], 2, FALSE), "")</f>
        <v>Contractor_Fee</v>
      </c>
      <c r="E219" s="3" t="s">
        <v>2</v>
      </c>
      <c r="F219" s="3" t="s">
        <v>91</v>
      </c>
      <c r="G219" s="3" t="str">
        <f>IFERROR(VLOOKUP(RawTable[[#This Row],[Name]], Name_Master!$A:$E, 4, FALSE), "")</f>
        <v>JO-IBAN-00777735</v>
      </c>
      <c r="H21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CON-Switzerland-202601-000218</v>
      </c>
      <c r="I219" s="1">
        <f>IF(RawTable[[#This Row],[Month]]="","",DATE(YEAR(RawTable[[#This Row],[Month]]),MONTH(RawTable[[#This Row],[Month]]),1))</f>
        <v>46023</v>
      </c>
      <c r="J21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19" s="3" t="s">
        <v>3</v>
      </c>
      <c r="L219" s="4">
        <v>5471.44</v>
      </c>
      <c r="M219" s="2" t="str">
        <f>IF(RawTable[[#This Row],[Net_Amount]]="","",IF(RawTable[[#This Row],[Payment_Type]]="Vendor_Invoice","Yes","No"))</f>
        <v>No</v>
      </c>
      <c r="N219" s="6">
        <f>IF(D219="Vendor_Invoice",
     IFERROR(
         INDEX(System_Master_Data!$B$9:$B$14,
               MATCH(E219,System_Master_Data!$A$9:$A$14,0)
         ),
     0),
0)</f>
        <v>0</v>
      </c>
      <c r="O219" s="4">
        <f t="shared" si="6"/>
        <v>0</v>
      </c>
      <c r="P219" s="4">
        <f t="shared" si="7"/>
        <v>5471.44</v>
      </c>
      <c r="Q219" s="56">
        <f>IFERROR(VLOOKUP(RawTable[[#This Row],[Currency]], System_Master_Data!$A$24:$B$29, 2, FALSE), "")</f>
        <v>1</v>
      </c>
      <c r="R219">
        <f>IF(RawTable[[#This Row],[Exchange_Rate]]="","",ROUND(RawTable[[#This Row],[Gross_Amount]]*RawTable[[#This Row],[Exchange_Rate]],2))</f>
        <v>5471.44</v>
      </c>
      <c r="S219" t="str">
        <f>IF(RawTable[[#This Row],[Entity_Type]]&lt;&gt;"Employee",RawTable[[#This Row],[Entity_Type]],
IF(RawTable[[#This Row],[Country]]="Switzerland","Direct","EOR")
)</f>
        <v>Contractor</v>
      </c>
      <c r="T219" t="str">
        <f>IF(RawTable[[#This Row],[Employment_Model]]&lt;&gt;"EOR","",
IFERROR(VLOOKUP(RawTable[[#This Row],[Country]],EORMap[#All],3,FALSE),"")
)</f>
        <v/>
      </c>
    </row>
    <row r="220" spans="1:20">
      <c r="A220" s="24">
        <v>219</v>
      </c>
      <c r="B220" s="1" t="s">
        <v>35</v>
      </c>
      <c r="C220" s="3" t="s">
        <v>19</v>
      </c>
      <c r="D220" s="3" t="str">
        <f>IFERROR(VLOOKUP(RawTable[[#This Row],[Entity_Type]], EntityMap[], 2, FALSE), "")</f>
        <v>Contractor_Fee</v>
      </c>
      <c r="E220" s="3" t="s">
        <v>8</v>
      </c>
      <c r="F220" s="3" t="s">
        <v>59</v>
      </c>
      <c r="G220" s="3" t="str">
        <f>IFERROR(VLOOKUP(RawTable[[#This Row],[Name]], Name_Master!$A:$E, 4, FALSE), "")</f>
        <v>JO-IBAN-00382695</v>
      </c>
      <c r="H22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CON-UAE-202601-000219</v>
      </c>
      <c r="I220" s="1">
        <f>IF(RawTable[[#This Row],[Month]]="","",DATE(YEAR(RawTable[[#This Row],[Month]]),MONTH(RawTable[[#This Row],[Month]]),1))</f>
        <v>46023</v>
      </c>
      <c r="J22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20" s="3" t="s">
        <v>9</v>
      </c>
      <c r="L220" s="4">
        <v>16089.92</v>
      </c>
      <c r="M220" s="2" t="str">
        <f>IF(RawTable[[#This Row],[Net_Amount]]="","",IF(RawTable[[#This Row],[Payment_Type]]="Vendor_Invoice","Yes","No"))</f>
        <v>No</v>
      </c>
      <c r="N220" s="6">
        <f>IF(D220="Vendor_Invoice",
     IFERROR(
         INDEX(System_Master_Data!$B$9:$B$14,
               MATCH(E220,System_Master_Data!$A$9:$A$14,0)
         ),
     0),
0)</f>
        <v>0</v>
      </c>
      <c r="O220" s="4">
        <f t="shared" si="6"/>
        <v>0</v>
      </c>
      <c r="P220" s="4">
        <f t="shared" si="7"/>
        <v>16089.92</v>
      </c>
      <c r="Q220" s="56">
        <f>IFERROR(VLOOKUP(RawTable[[#This Row],[Currency]], System_Master_Data!$A$24:$B$29, 2, FALSE), "")</f>
        <v>0.21065</v>
      </c>
      <c r="R220">
        <f>IF(RawTable[[#This Row],[Exchange_Rate]]="","",ROUND(RawTable[[#This Row],[Gross_Amount]]*RawTable[[#This Row],[Exchange_Rate]],2))</f>
        <v>3389.34</v>
      </c>
      <c r="S220" t="str">
        <f>IF(RawTable[[#This Row],[Entity_Type]]&lt;&gt;"Employee",RawTable[[#This Row],[Entity_Type]],
IF(RawTable[[#This Row],[Country]]="Switzerland","Direct","EOR")
)</f>
        <v>Contractor</v>
      </c>
      <c r="T220" t="str">
        <f>IF(RawTable[[#This Row],[Employment_Model]]&lt;&gt;"EOR","",
IFERROR(VLOOKUP(RawTable[[#This Row],[Country]],EORMap[#All],3,FALSE),"")
)</f>
        <v/>
      </c>
    </row>
    <row r="221" spans="1:20">
      <c r="A221" s="24">
        <v>220</v>
      </c>
      <c r="B221" s="1" t="s">
        <v>28</v>
      </c>
      <c r="C221" s="3" t="s">
        <v>19</v>
      </c>
      <c r="D221" s="3" t="str">
        <f>IFERROR(VLOOKUP(RawTable[[#This Row],[Entity_Type]], EntityMap[], 2, FALSE), "")</f>
        <v>Contractor_Fee</v>
      </c>
      <c r="E221" s="3" t="s">
        <v>8</v>
      </c>
      <c r="F221" s="3" t="s">
        <v>76</v>
      </c>
      <c r="G221" s="3" t="str">
        <f>IFERROR(VLOOKUP(RawTable[[#This Row],[Name]], Name_Master!$A:$E, 4, FALSE), "")</f>
        <v>AE-IBAN-02607408</v>
      </c>
      <c r="H22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CON-UAE-202602-000220</v>
      </c>
      <c r="I221" s="1">
        <f>IF(RawTable[[#This Row],[Month]]="","",DATE(YEAR(RawTable[[#This Row],[Month]]),MONTH(RawTable[[#This Row],[Month]]),1))</f>
        <v>46054</v>
      </c>
      <c r="J22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21" s="3" t="s">
        <v>9</v>
      </c>
      <c r="L221" s="4">
        <v>16397.919999999998</v>
      </c>
      <c r="M221" s="2" t="str">
        <f>IF(RawTable[[#This Row],[Net_Amount]]="","",IF(RawTable[[#This Row],[Payment_Type]]="Vendor_Invoice","Yes","No"))</f>
        <v>No</v>
      </c>
      <c r="N221" s="6">
        <f>IF(D221="Vendor_Invoice",
     IFERROR(
         INDEX(System_Master_Data!$B$9:$B$14,
               MATCH(E221,System_Master_Data!$A$9:$A$14,0)
         ),
     0),
0)</f>
        <v>0</v>
      </c>
      <c r="O221" s="4">
        <f t="shared" si="6"/>
        <v>0</v>
      </c>
      <c r="P221" s="4">
        <f t="shared" si="7"/>
        <v>16397.919999999998</v>
      </c>
      <c r="Q221" s="56">
        <f>IFERROR(VLOOKUP(RawTable[[#This Row],[Currency]], System_Master_Data!$A$24:$B$29, 2, FALSE), "")</f>
        <v>0.21065</v>
      </c>
      <c r="R221">
        <f>IF(RawTable[[#This Row],[Exchange_Rate]]="","",ROUND(RawTable[[#This Row],[Gross_Amount]]*RawTable[[#This Row],[Exchange_Rate]],2))</f>
        <v>3454.22</v>
      </c>
      <c r="S221" t="str">
        <f>IF(RawTable[[#This Row],[Entity_Type]]&lt;&gt;"Employee",RawTable[[#This Row],[Entity_Type]],
IF(RawTable[[#This Row],[Country]]="Switzerland","Direct","EOR")
)</f>
        <v>Contractor</v>
      </c>
      <c r="T221" t="str">
        <f>IF(RawTable[[#This Row],[Employment_Model]]&lt;&gt;"EOR","",
IFERROR(VLOOKUP(RawTable[[#This Row],[Country]],EORMap[#All],3,FALSE),"")
)</f>
        <v/>
      </c>
    </row>
    <row r="222" spans="1:20">
      <c r="A222" s="24">
        <v>221</v>
      </c>
      <c r="B222" s="1" t="s">
        <v>35</v>
      </c>
      <c r="C222" s="3" t="s">
        <v>19</v>
      </c>
      <c r="D222" s="3" t="str">
        <f>IFERROR(VLOOKUP(RawTable[[#This Row],[Entity_Type]], EntityMap[], 2, FALSE), "")</f>
        <v>Contractor_Fee</v>
      </c>
      <c r="E222" s="3" t="s">
        <v>6</v>
      </c>
      <c r="F222" s="3" t="s">
        <v>46</v>
      </c>
      <c r="G222" s="3" t="str">
        <f>IFERROR(VLOOKUP(RawTable[[#This Row],[Name]], Name_Master!$A:$E, 4, FALSE), "")</f>
        <v>CH930000000000444240</v>
      </c>
      <c r="H22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CON-USA-202601-000221</v>
      </c>
      <c r="I222" s="1">
        <f>IF(RawTable[[#This Row],[Month]]="","",DATE(YEAR(RawTable[[#This Row],[Month]]),MONTH(RawTable[[#This Row],[Month]]),1))</f>
        <v>46023</v>
      </c>
      <c r="J22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22" s="3" t="s">
        <v>7</v>
      </c>
      <c r="L222" s="4">
        <v>6018.32</v>
      </c>
      <c r="M222" s="2" t="str">
        <f>IF(RawTable[[#This Row],[Net_Amount]]="","",IF(RawTable[[#This Row],[Payment_Type]]="Vendor_Invoice","Yes","No"))</f>
        <v>No</v>
      </c>
      <c r="N222" s="6">
        <f>IF(D222="Vendor_Invoice",
     IFERROR(
         INDEX(System_Master_Data!$B$9:$B$14,
               MATCH(E222,System_Master_Data!$A$9:$A$14,0)
         ),
     0),
0)</f>
        <v>0</v>
      </c>
      <c r="O222" s="4">
        <f t="shared" si="6"/>
        <v>0</v>
      </c>
      <c r="P222" s="4">
        <f t="shared" si="7"/>
        <v>6018.32</v>
      </c>
      <c r="Q222" s="56">
        <f>IFERROR(VLOOKUP(RawTable[[#This Row],[Currency]], System_Master_Data!$A$24:$B$29, 2, FALSE), "")</f>
        <v>0.77017999999999998</v>
      </c>
      <c r="R222">
        <f>IF(RawTable[[#This Row],[Exchange_Rate]]="","",ROUND(RawTable[[#This Row],[Gross_Amount]]*RawTable[[#This Row],[Exchange_Rate]],2))</f>
        <v>4635.1899999999996</v>
      </c>
      <c r="S222" t="str">
        <f>IF(RawTable[[#This Row],[Entity_Type]]&lt;&gt;"Employee",RawTable[[#This Row],[Entity_Type]],
IF(RawTable[[#This Row],[Country]]="Switzerland","Direct","EOR")
)</f>
        <v>Contractor</v>
      </c>
      <c r="T222" t="str">
        <f>IF(RawTable[[#This Row],[Employment_Model]]&lt;&gt;"EOR","",
IFERROR(VLOOKUP(RawTable[[#This Row],[Country]],EORMap[#All],3,FALSE),"")
)</f>
        <v/>
      </c>
    </row>
    <row r="223" spans="1:20">
      <c r="A223" s="24">
        <v>222</v>
      </c>
      <c r="B223" s="1" t="s">
        <v>28</v>
      </c>
      <c r="C223" s="3" t="s">
        <v>19</v>
      </c>
      <c r="D223" s="3" t="str">
        <f>IFERROR(VLOOKUP(RawTable[[#This Row],[Entity_Type]], EntityMap[], 2, FALSE), "")</f>
        <v>Contractor_Fee</v>
      </c>
      <c r="E223" s="3" t="s">
        <v>2</v>
      </c>
      <c r="F223" s="3" t="s">
        <v>42</v>
      </c>
      <c r="G223" s="3" t="str">
        <f>IFERROR(VLOOKUP(RawTable[[#This Row],[Name]], Name_Master!$A:$E, 4, FALSE), "")</f>
        <v>DE890000000000190106</v>
      </c>
      <c r="H22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CON-Switzerland-202602-000222</v>
      </c>
      <c r="I223" s="1">
        <f>IF(RawTable[[#This Row],[Month]]="","",DATE(YEAR(RawTable[[#This Row],[Month]]),MONTH(RawTable[[#This Row],[Month]]),1))</f>
        <v>46054</v>
      </c>
      <c r="J22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23" s="3" t="s">
        <v>3</v>
      </c>
      <c r="L223" s="4">
        <v>5402.8</v>
      </c>
      <c r="M223" s="2" t="str">
        <f>IF(RawTable[[#This Row],[Net_Amount]]="","",IF(RawTable[[#This Row],[Payment_Type]]="Vendor_Invoice","Yes","No"))</f>
        <v>No</v>
      </c>
      <c r="N223" s="6">
        <f>IF(D223="Vendor_Invoice",
     IFERROR(
         INDEX(System_Master_Data!$B$9:$B$14,
               MATCH(E223,System_Master_Data!$A$9:$A$14,0)
         ),
     0),
0)</f>
        <v>0</v>
      </c>
      <c r="O223" s="4">
        <f t="shared" si="6"/>
        <v>0</v>
      </c>
      <c r="P223" s="4">
        <f t="shared" si="7"/>
        <v>5402.8</v>
      </c>
      <c r="Q223" s="56">
        <f>IFERROR(VLOOKUP(RawTable[[#This Row],[Currency]], System_Master_Data!$A$24:$B$29, 2, FALSE), "")</f>
        <v>1</v>
      </c>
      <c r="R223">
        <f>IF(RawTable[[#This Row],[Exchange_Rate]]="","",ROUND(RawTable[[#This Row],[Gross_Amount]]*RawTable[[#This Row],[Exchange_Rate]],2))</f>
        <v>5402.8</v>
      </c>
      <c r="S223" t="str">
        <f>IF(RawTable[[#This Row],[Entity_Type]]&lt;&gt;"Employee",RawTable[[#This Row],[Entity_Type]],
IF(RawTable[[#This Row],[Country]]="Switzerland","Direct","EOR")
)</f>
        <v>Contractor</v>
      </c>
      <c r="T223" t="str">
        <f>IF(RawTable[[#This Row],[Employment_Model]]&lt;&gt;"EOR","",
IFERROR(VLOOKUP(RawTable[[#This Row],[Country]],EORMap[#All],3,FALSE),"")
)</f>
        <v/>
      </c>
    </row>
    <row r="224" spans="1:20">
      <c r="A224" s="24">
        <v>223</v>
      </c>
      <c r="B224" s="1" t="s">
        <v>28</v>
      </c>
      <c r="C224" s="3" t="s">
        <v>19</v>
      </c>
      <c r="D224" s="3" t="str">
        <f>IFERROR(VLOOKUP(RawTable[[#This Row],[Entity_Type]], EntityMap[], 2, FALSE), "")</f>
        <v>Contractor_Fee</v>
      </c>
      <c r="E224" s="3" t="s">
        <v>2</v>
      </c>
      <c r="F224" s="3" t="s">
        <v>98</v>
      </c>
      <c r="G224" s="3" t="str">
        <f>IFERROR(VLOOKUP(RawTable[[#This Row],[Name]], Name_Master!$A:$E, 4, FALSE), "")</f>
        <v>DE890000000000950530</v>
      </c>
      <c r="H22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CON-Switzerland-202602-000223</v>
      </c>
      <c r="I224" s="1">
        <f>IF(RawTable[[#This Row],[Month]]="","",DATE(YEAR(RawTable[[#This Row],[Month]]),MONTH(RawTable[[#This Row],[Month]]),1))</f>
        <v>46054</v>
      </c>
      <c r="J22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24" s="3" t="s">
        <v>3</v>
      </c>
      <c r="L224" s="4">
        <v>5023.2</v>
      </c>
      <c r="M224" s="2" t="str">
        <f>IF(RawTable[[#This Row],[Net_Amount]]="","",IF(RawTable[[#This Row],[Payment_Type]]="Vendor_Invoice","Yes","No"))</f>
        <v>No</v>
      </c>
      <c r="N224" s="6">
        <f>IF(D224="Vendor_Invoice",
     IFERROR(
         INDEX(System_Master_Data!$B$9:$B$14,
               MATCH(E224,System_Master_Data!$A$9:$A$14,0)
         ),
     0),
0)</f>
        <v>0</v>
      </c>
      <c r="O224" s="4">
        <f t="shared" si="6"/>
        <v>0</v>
      </c>
      <c r="P224" s="4">
        <f t="shared" si="7"/>
        <v>5023.2</v>
      </c>
      <c r="Q224" s="56">
        <f>IFERROR(VLOOKUP(RawTable[[#This Row],[Currency]], System_Master_Data!$A$24:$B$29, 2, FALSE), "")</f>
        <v>1</v>
      </c>
      <c r="R224">
        <f>IF(RawTable[[#This Row],[Exchange_Rate]]="","",ROUND(RawTable[[#This Row],[Gross_Amount]]*RawTable[[#This Row],[Exchange_Rate]],2))</f>
        <v>5023.2</v>
      </c>
      <c r="S224" t="str">
        <f>IF(RawTable[[#This Row],[Entity_Type]]&lt;&gt;"Employee",RawTable[[#This Row],[Entity_Type]],
IF(RawTable[[#This Row],[Country]]="Switzerland","Direct","EOR")
)</f>
        <v>Contractor</v>
      </c>
      <c r="T224" t="str">
        <f>IF(RawTable[[#This Row],[Employment_Model]]&lt;&gt;"EOR","",
IFERROR(VLOOKUP(RawTable[[#This Row],[Country]],EORMap[#All],3,FALSE),"")
)</f>
        <v/>
      </c>
    </row>
    <row r="225" spans="1:20">
      <c r="A225" s="24">
        <v>224</v>
      </c>
      <c r="B225" s="1" t="s">
        <v>30</v>
      </c>
      <c r="C225" s="3" t="s">
        <v>19</v>
      </c>
      <c r="D225" s="3" t="str">
        <f>IFERROR(VLOOKUP(RawTable[[#This Row],[Entity_Type]], EntityMap[], 2, FALSE), "")</f>
        <v>Contractor_Fee</v>
      </c>
      <c r="E225" s="3" t="s">
        <v>10</v>
      </c>
      <c r="F225" s="3" t="s">
        <v>113</v>
      </c>
      <c r="G225" s="3" t="str">
        <f>IFERROR(VLOOKUP(RawTable[[#This Row],[Name]], Name_Master!$A:$E, 4, FALSE), "")</f>
        <v>US-RT-000104890-AC-0000482630</v>
      </c>
      <c r="H22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CON-Jordan-202603-000224</v>
      </c>
      <c r="I225" s="1">
        <f>IF(RawTable[[#This Row],[Month]]="","",DATE(YEAR(RawTable[[#This Row],[Month]]),MONTH(RawTable[[#This Row],[Month]]),1))</f>
        <v>46082</v>
      </c>
      <c r="J22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25" s="3" t="s">
        <v>11</v>
      </c>
      <c r="L225" s="4">
        <v>1512.14</v>
      </c>
      <c r="M225" s="2" t="str">
        <f>IF(RawTable[[#This Row],[Net_Amount]]="","",IF(RawTable[[#This Row],[Payment_Type]]="Vendor_Invoice","Yes","No"))</f>
        <v>No</v>
      </c>
      <c r="N225" s="6">
        <f>IF(D225="Vendor_Invoice",
     IFERROR(
         INDEX(System_Master_Data!$B$9:$B$14,
               MATCH(E225,System_Master_Data!$A$9:$A$14,0)
         ),
     0),
0)</f>
        <v>0</v>
      </c>
      <c r="O225" s="4">
        <f t="shared" si="6"/>
        <v>0</v>
      </c>
      <c r="P225" s="4">
        <f t="shared" si="7"/>
        <v>1512.14</v>
      </c>
      <c r="Q225" s="56">
        <f>IFERROR(VLOOKUP(RawTable[[#This Row],[Currency]], System_Master_Data!$A$24:$B$29, 2, FALSE), "")</f>
        <v>1.08643</v>
      </c>
      <c r="R225">
        <f>IF(RawTable[[#This Row],[Exchange_Rate]]="","",ROUND(RawTable[[#This Row],[Gross_Amount]]*RawTable[[#This Row],[Exchange_Rate]],2))</f>
        <v>1642.83</v>
      </c>
      <c r="S225" t="str">
        <f>IF(RawTable[[#This Row],[Entity_Type]]&lt;&gt;"Employee",RawTable[[#This Row],[Entity_Type]],
IF(RawTable[[#This Row],[Country]]="Switzerland","Direct","EOR")
)</f>
        <v>Contractor</v>
      </c>
      <c r="T225" t="str">
        <f>IF(RawTable[[#This Row],[Employment_Model]]&lt;&gt;"EOR","",
IFERROR(VLOOKUP(RawTable[[#This Row],[Country]],EORMap[#All],3,FALSE),"")
)</f>
        <v/>
      </c>
    </row>
    <row r="226" spans="1:20">
      <c r="A226" s="24">
        <v>225</v>
      </c>
      <c r="B226" s="1" t="s">
        <v>30</v>
      </c>
      <c r="C226" s="3" t="s">
        <v>19</v>
      </c>
      <c r="D226" s="3" t="str">
        <f>IFERROR(VLOOKUP(RawTable[[#This Row],[Entity_Type]], EntityMap[], 2, FALSE), "")</f>
        <v>Contractor_Fee</v>
      </c>
      <c r="E226" s="3" t="s">
        <v>4</v>
      </c>
      <c r="F226" s="3" t="s">
        <v>106</v>
      </c>
      <c r="G226" s="3" t="str">
        <f>IFERROR(VLOOKUP(RawTable[[#This Row],[Name]], Name_Master!$A:$E, 4, FALSE), "")</f>
        <v>US-RT-000096252-AC-0000442884</v>
      </c>
      <c r="H22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CON-Germany-202603-000225</v>
      </c>
      <c r="I226" s="1">
        <f>IF(RawTable[[#This Row],[Month]]="","",DATE(YEAR(RawTable[[#This Row],[Month]]),MONTH(RawTable[[#This Row],[Month]]),1))</f>
        <v>46082</v>
      </c>
      <c r="J22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26" s="3" t="s">
        <v>5</v>
      </c>
      <c r="L226" s="4">
        <v>4467.3599999999997</v>
      </c>
      <c r="M226" s="2" t="str">
        <f>IF(RawTable[[#This Row],[Net_Amount]]="","",IF(RawTable[[#This Row],[Payment_Type]]="Vendor_Invoice","Yes","No"))</f>
        <v>No</v>
      </c>
      <c r="N226" s="6">
        <f>IF(D226="Vendor_Invoice",
     IFERROR(
         INDEX(System_Master_Data!$B$9:$B$14,
               MATCH(E226,System_Master_Data!$A$9:$A$14,0)
         ),
     0),
0)</f>
        <v>0</v>
      </c>
      <c r="O226" s="4">
        <f t="shared" si="6"/>
        <v>0</v>
      </c>
      <c r="P226" s="4">
        <f t="shared" si="7"/>
        <v>4467.3599999999997</v>
      </c>
      <c r="Q226" s="56">
        <f>IFERROR(VLOOKUP(RawTable[[#This Row],[Currency]], System_Master_Data!$A$24:$B$29, 2, FALSE), "")</f>
        <v>0.90888000000000002</v>
      </c>
      <c r="R226">
        <f>IF(RawTable[[#This Row],[Exchange_Rate]]="","",ROUND(RawTable[[#This Row],[Gross_Amount]]*RawTable[[#This Row],[Exchange_Rate]],2))</f>
        <v>4060.29</v>
      </c>
      <c r="S226" t="str">
        <f>IF(RawTable[[#This Row],[Entity_Type]]&lt;&gt;"Employee",RawTable[[#This Row],[Entity_Type]],
IF(RawTable[[#This Row],[Country]]="Switzerland","Direct","EOR")
)</f>
        <v>Contractor</v>
      </c>
      <c r="T226" t="str">
        <f>IF(RawTable[[#This Row],[Employment_Model]]&lt;&gt;"EOR","",
IFERROR(VLOOKUP(RawTable[[#This Row],[Country]],EORMap[#All],3,FALSE),"")
)</f>
        <v/>
      </c>
    </row>
    <row r="227" spans="1:20">
      <c r="A227" s="24">
        <v>226</v>
      </c>
      <c r="B227" s="1" t="s">
        <v>28</v>
      </c>
      <c r="C227" s="3" t="s">
        <v>19</v>
      </c>
      <c r="D227" s="3" t="str">
        <f>IFERROR(VLOOKUP(RawTable[[#This Row],[Entity_Type]], EntityMap[], 2, FALSE), "")</f>
        <v>Contractor_Fee</v>
      </c>
      <c r="E227" s="3" t="s">
        <v>4</v>
      </c>
      <c r="F227" s="3" t="s">
        <v>29</v>
      </c>
      <c r="G227" s="3" t="str">
        <f>IFERROR(VLOOKUP(RawTable[[#This Row],[Name]], Name_Master!$A:$E, 4, FALSE), "")</f>
        <v>US-RT-000003702-AC-0000017034</v>
      </c>
      <c r="H22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CON-Germany-202602-000226</v>
      </c>
      <c r="I227" s="1">
        <f>IF(RawTable[[#This Row],[Month]]="","",DATE(YEAR(RawTable[[#This Row],[Month]]),MONTH(RawTable[[#This Row],[Month]]),1))</f>
        <v>46054</v>
      </c>
      <c r="J22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27" s="3" t="s">
        <v>5</v>
      </c>
      <c r="L227" s="4">
        <v>4815.84</v>
      </c>
      <c r="M227" s="2" t="str">
        <f>IF(RawTable[[#This Row],[Net_Amount]]="","",IF(RawTable[[#This Row],[Payment_Type]]="Vendor_Invoice","Yes","No"))</f>
        <v>No</v>
      </c>
      <c r="N227" s="6">
        <f>IF(D227="Vendor_Invoice",
     IFERROR(
         INDEX(System_Master_Data!$B$9:$B$14,
               MATCH(E227,System_Master_Data!$A$9:$A$14,0)
         ),
     0),
0)</f>
        <v>0</v>
      </c>
      <c r="O227" s="4">
        <f t="shared" si="6"/>
        <v>0</v>
      </c>
      <c r="P227" s="4">
        <f t="shared" si="7"/>
        <v>4815.84</v>
      </c>
      <c r="Q227" s="56">
        <f>IFERROR(VLOOKUP(RawTable[[#This Row],[Currency]], System_Master_Data!$A$24:$B$29, 2, FALSE), "")</f>
        <v>0.90888000000000002</v>
      </c>
      <c r="R227">
        <f>IF(RawTable[[#This Row],[Exchange_Rate]]="","",ROUND(RawTable[[#This Row],[Gross_Amount]]*RawTable[[#This Row],[Exchange_Rate]],2))</f>
        <v>4377.0200000000004</v>
      </c>
      <c r="S227" t="str">
        <f>IF(RawTable[[#This Row],[Entity_Type]]&lt;&gt;"Employee",RawTable[[#This Row],[Entity_Type]],
IF(RawTable[[#This Row],[Country]]="Switzerland","Direct","EOR")
)</f>
        <v>Contractor</v>
      </c>
      <c r="T227" t="str">
        <f>IF(RawTable[[#This Row],[Employment_Model]]&lt;&gt;"EOR","",
IFERROR(VLOOKUP(RawTable[[#This Row],[Country]],EORMap[#All],3,FALSE),"")
)</f>
        <v/>
      </c>
    </row>
    <row r="228" spans="1:20">
      <c r="A228" s="24">
        <v>227</v>
      </c>
      <c r="B228" s="1" t="s">
        <v>35</v>
      </c>
      <c r="C228" s="3" t="s">
        <v>19</v>
      </c>
      <c r="D228" s="3" t="str">
        <f>IFERROR(VLOOKUP(RawTable[[#This Row],[Entity_Type]], EntityMap[], 2, FALSE), "")</f>
        <v>Contractor_Fee</v>
      </c>
      <c r="E228" s="3" t="s">
        <v>10</v>
      </c>
      <c r="F228" s="3" t="s">
        <v>115</v>
      </c>
      <c r="G228" s="3" t="str">
        <f>IFERROR(VLOOKUP(RawTable[[#This Row],[Name]], Name_Master!$A:$E, 4, FALSE), "")</f>
        <v>JO-IBAN-01074015</v>
      </c>
      <c r="H22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CON-Jordan-202601-000227</v>
      </c>
      <c r="I228" s="1">
        <f>IF(RawTable[[#This Row],[Month]]="","",DATE(YEAR(RawTable[[#This Row],[Month]]),MONTH(RawTable[[#This Row],[Month]]),1))</f>
        <v>46023</v>
      </c>
      <c r="J22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28" s="3" t="s">
        <v>11</v>
      </c>
      <c r="L228" s="4">
        <v>1353.17</v>
      </c>
      <c r="M228" s="2" t="str">
        <f>IF(RawTable[[#This Row],[Net_Amount]]="","",IF(RawTable[[#This Row],[Payment_Type]]="Vendor_Invoice","Yes","No"))</f>
        <v>No</v>
      </c>
      <c r="N228" s="6">
        <f>IF(D228="Vendor_Invoice",
     IFERROR(
         INDEX(System_Master_Data!$B$9:$B$14,
               MATCH(E228,System_Master_Data!$A$9:$A$14,0)
         ),
     0),
0)</f>
        <v>0</v>
      </c>
      <c r="O228" s="4">
        <f t="shared" si="6"/>
        <v>0</v>
      </c>
      <c r="P228" s="4">
        <f t="shared" si="7"/>
        <v>1353.17</v>
      </c>
      <c r="Q228" s="56">
        <f>IFERROR(VLOOKUP(RawTable[[#This Row],[Currency]], System_Master_Data!$A$24:$B$29, 2, FALSE), "")</f>
        <v>1.08643</v>
      </c>
      <c r="R228">
        <f>IF(RawTable[[#This Row],[Exchange_Rate]]="","",ROUND(RawTable[[#This Row],[Gross_Amount]]*RawTable[[#This Row],[Exchange_Rate]],2))</f>
        <v>1470.12</v>
      </c>
      <c r="S228" t="str">
        <f>IF(RawTable[[#This Row],[Entity_Type]]&lt;&gt;"Employee",RawTable[[#This Row],[Entity_Type]],
IF(RawTable[[#This Row],[Country]]="Switzerland","Direct","EOR")
)</f>
        <v>Contractor</v>
      </c>
      <c r="T228" t="str">
        <f>IF(RawTable[[#This Row],[Employment_Model]]&lt;&gt;"EOR","",
IFERROR(VLOOKUP(RawTable[[#This Row],[Country]],EORMap[#All],3,FALSE),"")
)</f>
        <v/>
      </c>
    </row>
    <row r="229" spans="1:20">
      <c r="A229" s="24">
        <v>228</v>
      </c>
      <c r="B229" s="1" t="s">
        <v>35</v>
      </c>
      <c r="C229" s="3" t="s">
        <v>19</v>
      </c>
      <c r="D229" s="3" t="str">
        <f>IFERROR(VLOOKUP(RawTable[[#This Row],[Entity_Type]], EntityMap[], 2, FALSE), "")</f>
        <v>Contractor_Fee</v>
      </c>
      <c r="E229" s="3" t="s">
        <v>8</v>
      </c>
      <c r="F229" s="3" t="s">
        <v>116</v>
      </c>
      <c r="G229" s="3" t="str">
        <f>IFERROR(VLOOKUP(RawTable[[#This Row],[Name]], Name_Master!$A:$E, 4, FALSE), "")</f>
        <v>AE-IBAN-04780248</v>
      </c>
      <c r="H22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CON-UAE-202601-000228</v>
      </c>
      <c r="I229" s="1">
        <f>IF(RawTable[[#This Row],[Month]]="","",DATE(YEAR(RawTable[[#This Row],[Month]]),MONTH(RawTable[[#This Row],[Month]]),1))</f>
        <v>46023</v>
      </c>
      <c r="J22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29" s="3" t="s">
        <v>9</v>
      </c>
      <c r="L229" s="4">
        <v>16679.52</v>
      </c>
      <c r="M229" s="2" t="str">
        <f>IF(RawTable[[#This Row],[Net_Amount]]="","",IF(RawTable[[#This Row],[Payment_Type]]="Vendor_Invoice","Yes","No"))</f>
        <v>No</v>
      </c>
      <c r="N229" s="6">
        <f>IF(D229="Vendor_Invoice",
     IFERROR(
         INDEX(System_Master_Data!$B$9:$B$14,
               MATCH(E229,System_Master_Data!$A$9:$A$14,0)
         ),
     0),
0)</f>
        <v>0</v>
      </c>
      <c r="O229" s="4">
        <f t="shared" si="6"/>
        <v>0</v>
      </c>
      <c r="P229" s="4">
        <f t="shared" si="7"/>
        <v>16679.52</v>
      </c>
      <c r="Q229" s="56">
        <f>IFERROR(VLOOKUP(RawTable[[#This Row],[Currency]], System_Master_Data!$A$24:$B$29, 2, FALSE), "")</f>
        <v>0.21065</v>
      </c>
      <c r="R229">
        <f>IF(RawTable[[#This Row],[Exchange_Rate]]="","",ROUND(RawTable[[#This Row],[Gross_Amount]]*RawTable[[#This Row],[Exchange_Rate]],2))</f>
        <v>3513.54</v>
      </c>
      <c r="S229" t="str">
        <f>IF(RawTable[[#This Row],[Entity_Type]]&lt;&gt;"Employee",RawTable[[#This Row],[Entity_Type]],
IF(RawTable[[#This Row],[Country]]="Switzerland","Direct","EOR")
)</f>
        <v>Contractor</v>
      </c>
      <c r="T229" t="str">
        <f>IF(RawTable[[#This Row],[Employment_Model]]&lt;&gt;"EOR","",
IFERROR(VLOOKUP(RawTable[[#This Row],[Country]],EORMap[#All],3,FALSE),"")
)</f>
        <v/>
      </c>
    </row>
    <row r="230" spans="1:20">
      <c r="A230" s="24">
        <v>229</v>
      </c>
      <c r="B230" s="1" t="s">
        <v>35</v>
      </c>
      <c r="C230" s="3" t="s">
        <v>19</v>
      </c>
      <c r="D230" s="3" t="str">
        <f>IFERROR(VLOOKUP(RawTable[[#This Row],[Entity_Type]], EntityMap[], 2, FALSE), "")</f>
        <v>Contractor_Fee</v>
      </c>
      <c r="E230" s="3" t="s">
        <v>10</v>
      </c>
      <c r="F230" s="3" t="s">
        <v>61</v>
      </c>
      <c r="G230" s="3" t="str">
        <f>IFERROR(VLOOKUP(RawTable[[#This Row],[Name]], Name_Master!$A:$E, 4, FALSE), "")</f>
        <v>AE-IBAN-01792593</v>
      </c>
      <c r="H23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CON-Jordan-202601-000229</v>
      </c>
      <c r="I230" s="1">
        <f>IF(RawTable[[#This Row],[Month]]="","",DATE(YEAR(RawTable[[#This Row],[Month]]),MONTH(RawTable[[#This Row],[Month]]),1))</f>
        <v>46023</v>
      </c>
      <c r="J23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30" s="3" t="s">
        <v>11</v>
      </c>
      <c r="L230" s="4">
        <v>1443.6</v>
      </c>
      <c r="M230" s="2" t="str">
        <f>IF(RawTable[[#This Row],[Net_Amount]]="","",IF(RawTable[[#This Row],[Payment_Type]]="Vendor_Invoice","Yes","No"))</f>
        <v>No</v>
      </c>
      <c r="N230" s="6">
        <f>IF(D230="Vendor_Invoice",
     IFERROR(
         INDEX(System_Master_Data!$B$9:$B$14,
               MATCH(E230,System_Master_Data!$A$9:$A$14,0)
         ),
     0),
0)</f>
        <v>0</v>
      </c>
      <c r="O230" s="4">
        <f t="shared" si="6"/>
        <v>0</v>
      </c>
      <c r="P230" s="4">
        <f t="shared" si="7"/>
        <v>1443.6</v>
      </c>
      <c r="Q230" s="56">
        <f>IFERROR(VLOOKUP(RawTable[[#This Row],[Currency]], System_Master_Data!$A$24:$B$29, 2, FALSE), "")</f>
        <v>1.08643</v>
      </c>
      <c r="R230">
        <f>IF(RawTable[[#This Row],[Exchange_Rate]]="","",ROUND(RawTable[[#This Row],[Gross_Amount]]*RawTable[[#This Row],[Exchange_Rate]],2))</f>
        <v>1568.37</v>
      </c>
      <c r="S230" t="str">
        <f>IF(RawTable[[#This Row],[Entity_Type]]&lt;&gt;"Employee",RawTable[[#This Row],[Entity_Type]],
IF(RawTable[[#This Row],[Country]]="Switzerland","Direct","EOR")
)</f>
        <v>Contractor</v>
      </c>
      <c r="T230" t="str">
        <f>IF(RawTable[[#This Row],[Employment_Model]]&lt;&gt;"EOR","",
IFERROR(VLOOKUP(RawTable[[#This Row],[Country]],EORMap[#All],3,FALSE),"")
)</f>
        <v/>
      </c>
    </row>
    <row r="231" spans="1:20">
      <c r="A231" s="24">
        <v>230</v>
      </c>
      <c r="B231" s="1" t="s">
        <v>28</v>
      </c>
      <c r="C231" s="3" t="s">
        <v>19</v>
      </c>
      <c r="D231" s="3" t="str">
        <f>IFERROR(VLOOKUP(RawTable[[#This Row],[Entity_Type]], EntityMap[], 2, FALSE), "")</f>
        <v>Contractor_Fee</v>
      </c>
      <c r="E231" s="3" t="s">
        <v>2</v>
      </c>
      <c r="F231" s="3" t="s">
        <v>27</v>
      </c>
      <c r="G231" s="3" t="str">
        <f>IFERROR(VLOOKUP(RawTable[[#This Row],[Name]], Name_Master!$A:$E, 4, FALSE), "")</f>
        <v>JO-IBAN-00024690</v>
      </c>
      <c r="H23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CON-Switzerland-202602-000230</v>
      </c>
      <c r="I231" s="1">
        <f>IF(RawTable[[#This Row],[Month]]="","",DATE(YEAR(RawTable[[#This Row],[Month]]),MONTH(RawTable[[#This Row],[Month]]),1))</f>
        <v>46054</v>
      </c>
      <c r="J23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31" s="3" t="s">
        <v>3</v>
      </c>
      <c r="L231" s="4">
        <v>4873.96</v>
      </c>
      <c r="M231" s="2" t="str">
        <f>IF(RawTable[[#This Row],[Net_Amount]]="","",IF(RawTable[[#This Row],[Payment_Type]]="Vendor_Invoice","Yes","No"))</f>
        <v>No</v>
      </c>
      <c r="N231" s="6">
        <f>IF(D231="Vendor_Invoice",
     IFERROR(
         INDEX(System_Master_Data!$B$9:$B$14,
               MATCH(E231,System_Master_Data!$A$9:$A$14,0)
         ),
     0),
0)</f>
        <v>0</v>
      </c>
      <c r="O231" s="4">
        <f t="shared" si="6"/>
        <v>0</v>
      </c>
      <c r="P231" s="4">
        <f t="shared" si="7"/>
        <v>4873.96</v>
      </c>
      <c r="Q231" s="56">
        <f>IFERROR(VLOOKUP(RawTable[[#This Row],[Currency]], System_Master_Data!$A$24:$B$29, 2, FALSE), "")</f>
        <v>1</v>
      </c>
      <c r="R231">
        <f>IF(RawTable[[#This Row],[Exchange_Rate]]="","",ROUND(RawTable[[#This Row],[Gross_Amount]]*RawTable[[#This Row],[Exchange_Rate]],2))</f>
        <v>4873.96</v>
      </c>
      <c r="S231" t="str">
        <f>IF(RawTable[[#This Row],[Entity_Type]]&lt;&gt;"Employee",RawTable[[#This Row],[Entity_Type]],
IF(RawTable[[#This Row],[Country]]="Switzerland","Direct","EOR")
)</f>
        <v>Contractor</v>
      </c>
      <c r="T231" t="str">
        <f>IF(RawTable[[#This Row],[Employment_Model]]&lt;&gt;"EOR","",
IFERROR(VLOOKUP(RawTable[[#This Row],[Country]],EORMap[#All],3,FALSE),"")
)</f>
        <v/>
      </c>
    </row>
    <row r="232" spans="1:20">
      <c r="A232" s="24">
        <v>231</v>
      </c>
      <c r="B232" s="1" t="s">
        <v>35</v>
      </c>
      <c r="C232" s="3" t="s">
        <v>19</v>
      </c>
      <c r="D232" s="3" t="str">
        <f>IFERROR(VLOOKUP(RawTable[[#This Row],[Entity_Type]], EntityMap[], 2, FALSE), "")</f>
        <v>Contractor_Fee</v>
      </c>
      <c r="E232" s="3" t="s">
        <v>10</v>
      </c>
      <c r="F232" s="3" t="s">
        <v>98</v>
      </c>
      <c r="G232" s="3" t="str">
        <f>IFERROR(VLOOKUP(RawTable[[#This Row],[Name]], Name_Master!$A:$E, 4, FALSE), "")</f>
        <v>DE890000000000950530</v>
      </c>
      <c r="H23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CON-Jordan-202601-000231</v>
      </c>
      <c r="I232" s="1">
        <f>IF(RawTable[[#This Row],[Month]]="","",DATE(YEAR(RawTable[[#This Row],[Month]]),MONTH(RawTable[[#This Row],[Month]]),1))</f>
        <v>46023</v>
      </c>
      <c r="J23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32" s="3" t="s">
        <v>11</v>
      </c>
      <c r="L232" s="4">
        <v>1391.04</v>
      </c>
      <c r="M232" s="2" t="str">
        <f>IF(RawTable[[#This Row],[Net_Amount]]="","",IF(RawTable[[#This Row],[Payment_Type]]="Vendor_Invoice","Yes","No"))</f>
        <v>No</v>
      </c>
      <c r="N232" s="6">
        <f>IF(D232="Vendor_Invoice",
     IFERROR(
         INDEX(System_Master_Data!$B$9:$B$14,
               MATCH(E232,System_Master_Data!$A$9:$A$14,0)
         ),
     0),
0)</f>
        <v>0</v>
      </c>
      <c r="O232" s="4">
        <f t="shared" si="6"/>
        <v>0</v>
      </c>
      <c r="P232" s="4">
        <f t="shared" si="7"/>
        <v>1391.04</v>
      </c>
      <c r="Q232" s="56">
        <f>IFERROR(VLOOKUP(RawTable[[#This Row],[Currency]], System_Master_Data!$A$24:$B$29, 2, FALSE), "")</f>
        <v>1.08643</v>
      </c>
      <c r="R232">
        <f>IF(RawTable[[#This Row],[Exchange_Rate]]="","",ROUND(RawTable[[#This Row],[Gross_Amount]]*RawTable[[#This Row],[Exchange_Rate]],2))</f>
        <v>1511.27</v>
      </c>
      <c r="S232" t="str">
        <f>IF(RawTable[[#This Row],[Entity_Type]]&lt;&gt;"Employee",RawTable[[#This Row],[Entity_Type]],
IF(RawTable[[#This Row],[Country]]="Switzerland","Direct","EOR")
)</f>
        <v>Contractor</v>
      </c>
      <c r="T232" t="str">
        <f>IF(RawTable[[#This Row],[Employment_Model]]&lt;&gt;"EOR","",
IFERROR(VLOOKUP(RawTable[[#This Row],[Country]],EORMap[#All],3,FALSE),"")
)</f>
        <v/>
      </c>
    </row>
    <row r="233" spans="1:20">
      <c r="A233" s="24">
        <v>232</v>
      </c>
      <c r="B233" s="1" t="s">
        <v>35</v>
      </c>
      <c r="C233" s="3" t="s">
        <v>19</v>
      </c>
      <c r="D233" s="3" t="str">
        <f>IFERROR(VLOOKUP(RawTable[[#This Row],[Entity_Type]], EntityMap[], 2, FALSE), "")</f>
        <v>Contractor_Fee</v>
      </c>
      <c r="E233" s="3" t="s">
        <v>2</v>
      </c>
      <c r="F233" s="3" t="s">
        <v>75</v>
      </c>
      <c r="G233" s="3" t="str">
        <f>IFERROR(VLOOKUP(RawTable[[#This Row],[Name]], Name_Master!$A:$E, 4, FALSE), "")</f>
        <v>CH930000000001159960</v>
      </c>
      <c r="H23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CON-Switzerland-202601-000232</v>
      </c>
      <c r="I233" s="1">
        <f>IF(RawTable[[#This Row],[Month]]="","",DATE(YEAR(RawTable[[#This Row],[Month]]),MONTH(RawTable[[#This Row],[Month]]),1))</f>
        <v>46023</v>
      </c>
      <c r="J23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33" s="3" t="s">
        <v>3</v>
      </c>
      <c r="L233" s="4">
        <v>5351.84</v>
      </c>
      <c r="M233" s="2" t="str">
        <f>IF(RawTable[[#This Row],[Net_Amount]]="","",IF(RawTable[[#This Row],[Payment_Type]]="Vendor_Invoice","Yes","No"))</f>
        <v>No</v>
      </c>
      <c r="N233" s="6">
        <f>IF(D233="Vendor_Invoice",
     IFERROR(
         INDEX(System_Master_Data!$B$9:$B$14,
               MATCH(E233,System_Master_Data!$A$9:$A$14,0)
         ),
     0),
0)</f>
        <v>0</v>
      </c>
      <c r="O233" s="4">
        <f t="shared" si="6"/>
        <v>0</v>
      </c>
      <c r="P233" s="4">
        <f t="shared" si="7"/>
        <v>5351.84</v>
      </c>
      <c r="Q233" s="56">
        <f>IFERROR(VLOOKUP(RawTable[[#This Row],[Currency]], System_Master_Data!$A$24:$B$29, 2, FALSE), "")</f>
        <v>1</v>
      </c>
      <c r="R233">
        <f>IF(RawTable[[#This Row],[Exchange_Rate]]="","",ROUND(RawTable[[#This Row],[Gross_Amount]]*RawTable[[#This Row],[Exchange_Rate]],2))</f>
        <v>5351.84</v>
      </c>
      <c r="S233" t="str">
        <f>IF(RawTable[[#This Row],[Entity_Type]]&lt;&gt;"Employee",RawTable[[#This Row],[Entity_Type]],
IF(RawTable[[#This Row],[Country]]="Switzerland","Direct","EOR")
)</f>
        <v>Contractor</v>
      </c>
      <c r="T233" t="str">
        <f>IF(RawTable[[#This Row],[Employment_Model]]&lt;&gt;"EOR","",
IFERROR(VLOOKUP(RawTable[[#This Row],[Country]],EORMap[#All],3,FALSE),"")
)</f>
        <v/>
      </c>
    </row>
    <row r="234" spans="1:20">
      <c r="A234" s="24">
        <v>233</v>
      </c>
      <c r="B234" s="1" t="s">
        <v>28</v>
      </c>
      <c r="C234" s="3" t="s">
        <v>19</v>
      </c>
      <c r="D234" s="3" t="str">
        <f>IFERROR(VLOOKUP(RawTable[[#This Row],[Entity_Type]], EntityMap[], 2, FALSE), "")</f>
        <v>Contractor_Fee</v>
      </c>
      <c r="E234" s="3" t="s">
        <v>8</v>
      </c>
      <c r="F234" s="3" t="s">
        <v>71</v>
      </c>
      <c r="G234" s="3" t="str">
        <f>IFERROR(VLOOKUP(RawTable[[#This Row],[Name]], Name_Master!$A:$E, 4, FALSE), "")</f>
        <v>US-RT-000053062-AC-0000244154</v>
      </c>
      <c r="H23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CON-UAE-202602-000233</v>
      </c>
      <c r="I234" s="1">
        <f>IF(RawTable[[#This Row],[Month]]="","",DATE(YEAR(RawTable[[#This Row],[Month]]),MONTH(RawTable[[#This Row],[Month]]),1))</f>
        <v>46054</v>
      </c>
      <c r="J23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34" s="3" t="s">
        <v>9</v>
      </c>
      <c r="L234" s="4">
        <v>16656.64</v>
      </c>
      <c r="M234" s="2" t="str">
        <f>IF(RawTable[[#This Row],[Net_Amount]]="","",IF(RawTable[[#This Row],[Payment_Type]]="Vendor_Invoice","Yes","No"))</f>
        <v>No</v>
      </c>
      <c r="N234" s="6">
        <f>IF(D234="Vendor_Invoice",
     IFERROR(
         INDEX(System_Master_Data!$B$9:$B$14,
               MATCH(E234,System_Master_Data!$A$9:$A$14,0)
         ),
     0),
0)</f>
        <v>0</v>
      </c>
      <c r="O234" s="4">
        <f t="shared" si="6"/>
        <v>0</v>
      </c>
      <c r="P234" s="4">
        <f t="shared" si="7"/>
        <v>16656.64</v>
      </c>
      <c r="Q234" s="56">
        <f>IFERROR(VLOOKUP(RawTable[[#This Row],[Currency]], System_Master_Data!$A$24:$B$29, 2, FALSE), "")</f>
        <v>0.21065</v>
      </c>
      <c r="R234">
        <f>IF(RawTable[[#This Row],[Exchange_Rate]]="","",ROUND(RawTable[[#This Row],[Gross_Amount]]*RawTable[[#This Row],[Exchange_Rate]],2))</f>
        <v>3508.72</v>
      </c>
      <c r="S234" t="str">
        <f>IF(RawTable[[#This Row],[Entity_Type]]&lt;&gt;"Employee",RawTable[[#This Row],[Entity_Type]],
IF(RawTable[[#This Row],[Country]]="Switzerland","Direct","EOR")
)</f>
        <v>Contractor</v>
      </c>
      <c r="T234" t="str">
        <f>IF(RawTable[[#This Row],[Employment_Model]]&lt;&gt;"EOR","",
IFERROR(VLOOKUP(RawTable[[#This Row],[Country]],EORMap[#All],3,FALSE),"")
)</f>
        <v/>
      </c>
    </row>
    <row r="235" spans="1:20">
      <c r="A235" s="24">
        <v>234</v>
      </c>
      <c r="B235" s="1" t="s">
        <v>28</v>
      </c>
      <c r="C235" s="3" t="s">
        <v>19</v>
      </c>
      <c r="D235" s="3" t="str">
        <f>IFERROR(VLOOKUP(RawTable[[#This Row],[Entity_Type]], EntityMap[], 2, FALSE), "")</f>
        <v>Contractor_Fee</v>
      </c>
      <c r="E235" s="3" t="s">
        <v>4</v>
      </c>
      <c r="F235" s="3" t="s">
        <v>57</v>
      </c>
      <c r="G235" s="3" t="str">
        <f>IFERROR(VLOOKUP(RawTable[[#This Row],[Name]], Name_Master!$A:$E, 4, FALSE), "")</f>
        <v>CH930000000000715720</v>
      </c>
      <c r="H23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CON-Germany-202602-000234</v>
      </c>
      <c r="I235" s="1">
        <f>IF(RawTable[[#This Row],[Month]]="","",DATE(YEAR(RawTable[[#This Row],[Month]]),MONTH(RawTable[[#This Row],[Month]]),1))</f>
        <v>46054</v>
      </c>
      <c r="J23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35" s="3" t="s">
        <v>5</v>
      </c>
      <c r="L235" s="4">
        <v>5246.4</v>
      </c>
      <c r="M235" s="2" t="str">
        <f>IF(RawTable[[#This Row],[Net_Amount]]="","",IF(RawTable[[#This Row],[Payment_Type]]="Vendor_Invoice","Yes","No"))</f>
        <v>No</v>
      </c>
      <c r="N235" s="6">
        <f>IF(D235="Vendor_Invoice",
     IFERROR(
         INDEX(System_Master_Data!$B$9:$B$14,
               MATCH(E235,System_Master_Data!$A$9:$A$14,0)
         ),
     0),
0)</f>
        <v>0</v>
      </c>
      <c r="O235" s="4">
        <f t="shared" si="6"/>
        <v>0</v>
      </c>
      <c r="P235" s="4">
        <f t="shared" si="7"/>
        <v>5246.4</v>
      </c>
      <c r="Q235" s="56">
        <f>IFERROR(VLOOKUP(RawTable[[#This Row],[Currency]], System_Master_Data!$A$24:$B$29, 2, FALSE), "")</f>
        <v>0.90888000000000002</v>
      </c>
      <c r="R235">
        <f>IF(RawTable[[#This Row],[Exchange_Rate]]="","",ROUND(RawTable[[#This Row],[Gross_Amount]]*RawTable[[#This Row],[Exchange_Rate]],2))</f>
        <v>4768.3500000000004</v>
      </c>
      <c r="S235" t="str">
        <f>IF(RawTable[[#This Row],[Entity_Type]]&lt;&gt;"Employee",RawTable[[#This Row],[Entity_Type]],
IF(RawTable[[#This Row],[Country]]="Switzerland","Direct","EOR")
)</f>
        <v>Contractor</v>
      </c>
      <c r="T235" t="str">
        <f>IF(RawTable[[#This Row],[Employment_Model]]&lt;&gt;"EOR","",
IFERROR(VLOOKUP(RawTable[[#This Row],[Country]],EORMap[#All],3,FALSE),"")
)</f>
        <v/>
      </c>
    </row>
    <row r="236" spans="1:20">
      <c r="A236" s="24">
        <v>235</v>
      </c>
      <c r="B236" s="1" t="s">
        <v>28</v>
      </c>
      <c r="C236" s="3" t="s">
        <v>19</v>
      </c>
      <c r="D236" s="3" t="str">
        <f>IFERROR(VLOOKUP(RawTable[[#This Row],[Entity_Type]], EntityMap[], 2, FALSE), "")</f>
        <v>Contractor_Fee</v>
      </c>
      <c r="E236" s="3" t="s">
        <v>2</v>
      </c>
      <c r="F236" s="3" t="s">
        <v>48</v>
      </c>
      <c r="G236" s="3" t="str">
        <f>IFERROR(VLOOKUP(RawTable[[#This Row],[Name]], Name_Master!$A:$E, 4, FALSE), "")</f>
        <v>US-RT-000024680-AC-0000113560</v>
      </c>
      <c r="H23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CON-Switzerland-202602-000235</v>
      </c>
      <c r="I236" s="1">
        <f>IF(RawTable[[#This Row],[Month]]="","",DATE(YEAR(RawTable[[#This Row],[Month]]),MONTH(RawTable[[#This Row],[Month]]),1))</f>
        <v>46054</v>
      </c>
      <c r="J23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36" s="3" t="s">
        <v>3</v>
      </c>
      <c r="L236" s="4">
        <v>5544.76</v>
      </c>
      <c r="M236" s="2" t="str">
        <f>IF(RawTable[[#This Row],[Net_Amount]]="","",IF(RawTable[[#This Row],[Payment_Type]]="Vendor_Invoice","Yes","No"))</f>
        <v>No</v>
      </c>
      <c r="N236" s="6">
        <f>IF(D236="Vendor_Invoice",
     IFERROR(
         INDEX(System_Master_Data!$B$9:$B$14,
               MATCH(E236,System_Master_Data!$A$9:$A$14,0)
         ),
     0),
0)</f>
        <v>0</v>
      </c>
      <c r="O236" s="4">
        <f t="shared" si="6"/>
        <v>0</v>
      </c>
      <c r="P236" s="4">
        <f t="shared" si="7"/>
        <v>5544.76</v>
      </c>
      <c r="Q236" s="56">
        <f>IFERROR(VLOOKUP(RawTable[[#This Row],[Currency]], System_Master_Data!$A$24:$B$29, 2, FALSE), "")</f>
        <v>1</v>
      </c>
      <c r="R236">
        <f>IF(RawTable[[#This Row],[Exchange_Rate]]="","",ROUND(RawTable[[#This Row],[Gross_Amount]]*RawTable[[#This Row],[Exchange_Rate]],2))</f>
        <v>5544.76</v>
      </c>
      <c r="S236" t="str">
        <f>IF(RawTable[[#This Row],[Entity_Type]]&lt;&gt;"Employee",RawTable[[#This Row],[Entity_Type]],
IF(RawTable[[#This Row],[Country]]="Switzerland","Direct","EOR")
)</f>
        <v>Contractor</v>
      </c>
      <c r="T236" t="str">
        <f>IF(RawTable[[#This Row],[Employment_Model]]&lt;&gt;"EOR","",
IFERROR(VLOOKUP(RawTable[[#This Row],[Country]],EORMap[#All],3,FALSE),"")
)</f>
        <v/>
      </c>
    </row>
    <row r="237" spans="1:20">
      <c r="A237" s="24">
        <v>236</v>
      </c>
      <c r="B237" s="1" t="s">
        <v>35</v>
      </c>
      <c r="C237" s="3" t="s">
        <v>19</v>
      </c>
      <c r="D237" s="3" t="str">
        <f>IFERROR(VLOOKUP(RawTable[[#This Row],[Entity_Type]], EntityMap[], 2, FALSE), "")</f>
        <v>Contractor_Fee</v>
      </c>
      <c r="E237" s="3" t="s">
        <v>6</v>
      </c>
      <c r="F237" s="3" t="s">
        <v>38</v>
      </c>
      <c r="G237" s="3" t="str">
        <f>IFERROR(VLOOKUP(RawTable[[#This Row],[Name]], Name_Master!$A:$E, 4, FALSE), "")</f>
        <v>US-RT-000012340-AC-0000056780</v>
      </c>
      <c r="H23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CON-USA-202601-000236</v>
      </c>
      <c r="I237" s="1">
        <f>IF(RawTable[[#This Row],[Month]]="","",DATE(YEAR(RawTable[[#This Row],[Month]]),MONTH(RawTable[[#This Row],[Month]]),1))</f>
        <v>46023</v>
      </c>
      <c r="J23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37" s="3" t="s">
        <v>7</v>
      </c>
      <c r="L237" s="4">
        <v>5967.92</v>
      </c>
      <c r="M237" s="2" t="str">
        <f>IF(RawTable[[#This Row],[Net_Amount]]="","",IF(RawTable[[#This Row],[Payment_Type]]="Vendor_Invoice","Yes","No"))</f>
        <v>No</v>
      </c>
      <c r="N237" s="6">
        <f>IF(D237="Vendor_Invoice",
     IFERROR(
         INDEX(System_Master_Data!$B$9:$B$14,
               MATCH(E237,System_Master_Data!$A$9:$A$14,0)
         ),
     0),
0)</f>
        <v>0</v>
      </c>
      <c r="O237" s="4">
        <f t="shared" si="6"/>
        <v>0</v>
      </c>
      <c r="P237" s="4">
        <f t="shared" si="7"/>
        <v>5967.92</v>
      </c>
      <c r="Q237" s="56">
        <f>IFERROR(VLOOKUP(RawTable[[#This Row],[Currency]], System_Master_Data!$A$24:$B$29, 2, FALSE), "")</f>
        <v>0.77017999999999998</v>
      </c>
      <c r="R237">
        <f>IF(RawTable[[#This Row],[Exchange_Rate]]="","",ROUND(RawTable[[#This Row],[Gross_Amount]]*RawTable[[#This Row],[Exchange_Rate]],2))</f>
        <v>4596.37</v>
      </c>
      <c r="S237" t="str">
        <f>IF(RawTable[[#This Row],[Entity_Type]]&lt;&gt;"Employee",RawTable[[#This Row],[Entity_Type]],
IF(RawTable[[#This Row],[Country]]="Switzerland","Direct","EOR")
)</f>
        <v>Contractor</v>
      </c>
      <c r="T237" t="str">
        <f>IF(RawTable[[#This Row],[Employment_Model]]&lt;&gt;"EOR","",
IFERROR(VLOOKUP(RawTable[[#This Row],[Country]],EORMap[#All],3,FALSE),"")
)</f>
        <v/>
      </c>
    </row>
    <row r="238" spans="1:20">
      <c r="A238" s="24">
        <v>237</v>
      </c>
      <c r="B238" s="1" t="s">
        <v>28</v>
      </c>
      <c r="C238" s="3" t="s">
        <v>19</v>
      </c>
      <c r="D238" s="3" t="str">
        <f>IFERROR(VLOOKUP(RawTable[[#This Row],[Entity_Type]], EntityMap[], 2, FALSE), "")</f>
        <v>Contractor_Fee</v>
      </c>
      <c r="E238" s="3" t="s">
        <v>4</v>
      </c>
      <c r="F238" s="3" t="s">
        <v>117</v>
      </c>
      <c r="G238" s="3" t="str">
        <f>IFERROR(VLOOKUP(RawTable[[#This Row],[Name]], Name_Master!$A:$E, 4, FALSE), "")</f>
        <v>DE890000000001208531</v>
      </c>
      <c r="H23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CON-Germany-202602-000237</v>
      </c>
      <c r="I238" s="1">
        <f>IF(RawTable[[#This Row],[Month]]="","",DATE(YEAR(RawTable[[#This Row],[Month]]),MONTH(RawTable[[#This Row],[Month]]),1))</f>
        <v>46054</v>
      </c>
      <c r="J23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38" s="3" t="s">
        <v>5</v>
      </c>
      <c r="L238" s="4">
        <v>4983.84</v>
      </c>
      <c r="M238" s="2" t="str">
        <f>IF(RawTable[[#This Row],[Net_Amount]]="","",IF(RawTable[[#This Row],[Payment_Type]]="Vendor_Invoice","Yes","No"))</f>
        <v>No</v>
      </c>
      <c r="N238" s="6">
        <f>IF(D238="Vendor_Invoice",
     IFERROR(
         INDEX(System_Master_Data!$B$9:$B$14,
               MATCH(E238,System_Master_Data!$A$9:$A$14,0)
         ),
     0),
0)</f>
        <v>0</v>
      </c>
      <c r="O238" s="4">
        <f t="shared" si="6"/>
        <v>0</v>
      </c>
      <c r="P238" s="4">
        <f t="shared" si="7"/>
        <v>4983.84</v>
      </c>
      <c r="Q238" s="56">
        <f>IFERROR(VLOOKUP(RawTable[[#This Row],[Currency]], System_Master_Data!$A$24:$B$29, 2, FALSE), "")</f>
        <v>0.90888000000000002</v>
      </c>
      <c r="R238">
        <f>IF(RawTable[[#This Row],[Exchange_Rate]]="","",ROUND(RawTable[[#This Row],[Gross_Amount]]*RawTable[[#This Row],[Exchange_Rate]],2))</f>
        <v>4529.71</v>
      </c>
      <c r="S238" t="str">
        <f>IF(RawTable[[#This Row],[Entity_Type]]&lt;&gt;"Employee",RawTable[[#This Row],[Entity_Type]],
IF(RawTable[[#This Row],[Country]]="Switzerland","Direct","EOR")
)</f>
        <v>Contractor</v>
      </c>
      <c r="T238" t="str">
        <f>IF(RawTable[[#This Row],[Employment_Model]]&lt;&gt;"EOR","",
IFERROR(VLOOKUP(RawTable[[#This Row],[Country]],EORMap[#All],3,FALSE),"")
)</f>
        <v/>
      </c>
    </row>
    <row r="239" spans="1:20">
      <c r="A239" s="24">
        <v>238</v>
      </c>
      <c r="B239" s="1" t="s">
        <v>35</v>
      </c>
      <c r="C239" s="3" t="s">
        <v>19</v>
      </c>
      <c r="D239" s="3" t="str">
        <f>IFERROR(VLOOKUP(RawTable[[#This Row],[Entity_Type]], EntityMap[], 2, FALSE), "")</f>
        <v>Contractor_Fee</v>
      </c>
      <c r="E239" s="3" t="s">
        <v>8</v>
      </c>
      <c r="F239" s="3" t="s">
        <v>100</v>
      </c>
      <c r="G239" s="3" t="str">
        <f>IFERROR(VLOOKUP(RawTable[[#This Row],[Name]], Name_Master!$A:$E, 4, FALSE), "")</f>
        <v>DE890000000000977688</v>
      </c>
      <c r="H23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CON-UAE-202601-000238</v>
      </c>
      <c r="I239" s="1">
        <f>IF(RawTable[[#This Row],[Month]]="","",DATE(YEAR(RawTable[[#This Row],[Month]]),MONTH(RawTable[[#This Row],[Month]]),1))</f>
        <v>46023</v>
      </c>
      <c r="J23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39" s="3" t="s">
        <v>9</v>
      </c>
      <c r="L239" s="4">
        <v>17163.52</v>
      </c>
      <c r="M239" s="2" t="str">
        <f>IF(RawTable[[#This Row],[Net_Amount]]="","",IF(RawTable[[#This Row],[Payment_Type]]="Vendor_Invoice","Yes","No"))</f>
        <v>No</v>
      </c>
      <c r="N239" s="6">
        <f>IF(D239="Vendor_Invoice",
     IFERROR(
         INDEX(System_Master_Data!$B$9:$B$14,
               MATCH(E239,System_Master_Data!$A$9:$A$14,0)
         ),
     0),
0)</f>
        <v>0</v>
      </c>
      <c r="O239" s="4">
        <f t="shared" si="6"/>
        <v>0</v>
      </c>
      <c r="P239" s="4">
        <f t="shared" si="7"/>
        <v>17163.52</v>
      </c>
      <c r="Q239" s="56">
        <f>IFERROR(VLOOKUP(RawTable[[#This Row],[Currency]], System_Master_Data!$A$24:$B$29, 2, FALSE), "")</f>
        <v>0.21065</v>
      </c>
      <c r="R239">
        <f>IF(RawTable[[#This Row],[Exchange_Rate]]="","",ROUND(RawTable[[#This Row],[Gross_Amount]]*RawTable[[#This Row],[Exchange_Rate]],2))</f>
        <v>3615.5</v>
      </c>
      <c r="S239" t="str">
        <f>IF(RawTable[[#This Row],[Entity_Type]]&lt;&gt;"Employee",RawTable[[#This Row],[Entity_Type]],
IF(RawTable[[#This Row],[Country]]="Switzerland","Direct","EOR")
)</f>
        <v>Contractor</v>
      </c>
      <c r="T239" t="str">
        <f>IF(RawTable[[#This Row],[Employment_Model]]&lt;&gt;"EOR","",
IFERROR(VLOOKUP(RawTable[[#This Row],[Country]],EORMap[#All],3,FALSE),"")
)</f>
        <v/>
      </c>
    </row>
    <row r="240" spans="1:20">
      <c r="A240" s="24">
        <v>239</v>
      </c>
      <c r="B240" s="1" t="s">
        <v>30</v>
      </c>
      <c r="C240" s="3" t="s">
        <v>19</v>
      </c>
      <c r="D240" s="3" t="str">
        <f>IFERROR(VLOOKUP(RawTable[[#This Row],[Entity_Type]], EntityMap[], 2, FALSE), "")</f>
        <v>Contractor_Fee</v>
      </c>
      <c r="E240" s="3" t="s">
        <v>8</v>
      </c>
      <c r="F240" s="3" t="s">
        <v>111</v>
      </c>
      <c r="G240" s="3" t="str">
        <f>IFERROR(VLOOKUP(RawTable[[#This Row],[Name]], Name_Master!$A:$E, 4, FALSE), "")</f>
        <v>US-RT-000102422-AC-0000471274</v>
      </c>
      <c r="H24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CON-UAE-202603-000239</v>
      </c>
      <c r="I240" s="1">
        <f>IF(RawTable[[#This Row],[Month]]="","",DATE(YEAR(RawTable[[#This Row],[Month]]),MONTH(RawTable[[#This Row],[Month]]),1))</f>
        <v>46082</v>
      </c>
      <c r="J24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40" s="3" t="s">
        <v>9</v>
      </c>
      <c r="L240" s="4">
        <v>17941.439999999999</v>
      </c>
      <c r="M240" s="2" t="str">
        <f>IF(RawTable[[#This Row],[Net_Amount]]="","",IF(RawTable[[#This Row],[Payment_Type]]="Vendor_Invoice","Yes","No"))</f>
        <v>No</v>
      </c>
      <c r="N240" s="6">
        <f>IF(D240="Vendor_Invoice",
     IFERROR(
         INDEX(System_Master_Data!$B$9:$B$14,
               MATCH(E240,System_Master_Data!$A$9:$A$14,0)
         ),
     0),
0)</f>
        <v>0</v>
      </c>
      <c r="O240" s="4">
        <f t="shared" si="6"/>
        <v>0</v>
      </c>
      <c r="P240" s="4">
        <f t="shared" si="7"/>
        <v>17941.439999999999</v>
      </c>
      <c r="Q240" s="56">
        <f>IFERROR(VLOOKUP(RawTable[[#This Row],[Currency]], System_Master_Data!$A$24:$B$29, 2, FALSE), "")</f>
        <v>0.21065</v>
      </c>
      <c r="R240">
        <f>IF(RawTable[[#This Row],[Exchange_Rate]]="","",ROUND(RawTable[[#This Row],[Gross_Amount]]*RawTable[[#This Row],[Exchange_Rate]],2))</f>
        <v>3779.36</v>
      </c>
      <c r="S240" t="str">
        <f>IF(RawTable[[#This Row],[Entity_Type]]&lt;&gt;"Employee",RawTable[[#This Row],[Entity_Type]],
IF(RawTable[[#This Row],[Country]]="Switzerland","Direct","EOR")
)</f>
        <v>Contractor</v>
      </c>
      <c r="T240" t="str">
        <f>IF(RawTable[[#This Row],[Employment_Model]]&lt;&gt;"EOR","",
IFERROR(VLOOKUP(RawTable[[#This Row],[Country]],EORMap[#All],3,FALSE),"")
)</f>
        <v/>
      </c>
    </row>
    <row r="241" spans="1:20">
      <c r="A241" s="24">
        <v>240</v>
      </c>
      <c r="B241" s="1" t="s">
        <v>28</v>
      </c>
      <c r="C241" s="3" t="s">
        <v>19</v>
      </c>
      <c r="D241" s="3" t="str">
        <f>IFERROR(VLOOKUP(RawTable[[#This Row],[Entity_Type]], EntityMap[], 2, FALSE), "")</f>
        <v>Contractor_Fee</v>
      </c>
      <c r="E241" s="3" t="s">
        <v>8</v>
      </c>
      <c r="F241" s="3" t="s">
        <v>110</v>
      </c>
      <c r="G241" s="3" t="str">
        <f>IFERROR(VLOOKUP(RawTable[[#This Row],[Name]], Name_Master!$A:$E, 4, FALSE), "")</f>
        <v>CH930000000002023760</v>
      </c>
      <c r="H24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CON-UAE-202602-000240</v>
      </c>
      <c r="I241" s="1">
        <f>IF(RawTable[[#This Row],[Month]]="","",DATE(YEAR(RawTable[[#This Row],[Month]]),MONTH(RawTable[[#This Row],[Month]]),1))</f>
        <v>46054</v>
      </c>
      <c r="J24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41" s="3" t="s">
        <v>9</v>
      </c>
      <c r="L241" s="4">
        <v>17874.560000000001</v>
      </c>
      <c r="M241" s="2" t="str">
        <f>IF(RawTable[[#This Row],[Net_Amount]]="","",IF(RawTable[[#This Row],[Payment_Type]]="Vendor_Invoice","Yes","No"))</f>
        <v>No</v>
      </c>
      <c r="N241" s="6">
        <f>IF(D241="Vendor_Invoice",
     IFERROR(
         INDEX(System_Master_Data!$B$9:$B$14,
               MATCH(E241,System_Master_Data!$A$9:$A$14,0)
         ),
     0),
0)</f>
        <v>0</v>
      </c>
      <c r="O241" s="4">
        <f t="shared" si="6"/>
        <v>0</v>
      </c>
      <c r="P241" s="4">
        <f t="shared" si="7"/>
        <v>17874.560000000001</v>
      </c>
      <c r="Q241" s="56">
        <f>IFERROR(VLOOKUP(RawTable[[#This Row],[Currency]], System_Master_Data!$A$24:$B$29, 2, FALSE), "")</f>
        <v>0.21065</v>
      </c>
      <c r="R241">
        <f>IF(RawTable[[#This Row],[Exchange_Rate]]="","",ROUND(RawTable[[#This Row],[Gross_Amount]]*RawTable[[#This Row],[Exchange_Rate]],2))</f>
        <v>3765.28</v>
      </c>
      <c r="S241" t="str">
        <f>IF(RawTable[[#This Row],[Entity_Type]]&lt;&gt;"Employee",RawTable[[#This Row],[Entity_Type]],
IF(RawTable[[#This Row],[Country]]="Switzerland","Direct","EOR")
)</f>
        <v>Contractor</v>
      </c>
      <c r="T241" t="str">
        <f>IF(RawTable[[#This Row],[Employment_Model]]&lt;&gt;"EOR","",
IFERROR(VLOOKUP(RawTable[[#This Row],[Country]],EORMap[#All],3,FALSE),"")
)</f>
        <v/>
      </c>
    </row>
    <row r="242" spans="1:20">
      <c r="A242" s="24">
        <v>241</v>
      </c>
      <c r="B242" s="1" t="s">
        <v>35</v>
      </c>
      <c r="C242" s="3" t="s">
        <v>19</v>
      </c>
      <c r="D242" s="3" t="str">
        <f>IFERROR(VLOOKUP(RawTable[[#This Row],[Entity_Type]], EntityMap[], 2, FALSE), "")</f>
        <v>Contractor_Fee</v>
      </c>
      <c r="E242" s="3" t="s">
        <v>2</v>
      </c>
      <c r="F242" s="3" t="s">
        <v>118</v>
      </c>
      <c r="G242" s="3" t="str">
        <f>IFERROR(VLOOKUP(RawTable[[#This Row],[Name]], Name_Master!$A:$E, 4, FALSE), "")</f>
        <v>CH930000000002221200</v>
      </c>
      <c r="H24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CON-Switzerland-202601-000241</v>
      </c>
      <c r="I242" s="1">
        <f>IF(RawTable[[#This Row],[Month]]="","",DATE(YEAR(RawTable[[#This Row],[Month]]),MONTH(RawTable[[#This Row],[Month]]),1))</f>
        <v>46023</v>
      </c>
      <c r="J24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42" s="3" t="s">
        <v>3</v>
      </c>
      <c r="L242" s="4">
        <v>5534.88</v>
      </c>
      <c r="M242" s="2" t="str">
        <f>IF(RawTable[[#This Row],[Net_Amount]]="","",IF(RawTable[[#This Row],[Payment_Type]]="Vendor_Invoice","Yes","No"))</f>
        <v>No</v>
      </c>
      <c r="N242" s="6">
        <f>IF(D242="Vendor_Invoice",
     IFERROR(
         INDEX(System_Master_Data!$B$9:$B$14,
               MATCH(E242,System_Master_Data!$A$9:$A$14,0)
         ),
     0),
0)</f>
        <v>0</v>
      </c>
      <c r="O242" s="4">
        <f t="shared" si="6"/>
        <v>0</v>
      </c>
      <c r="P242" s="4">
        <f t="shared" si="7"/>
        <v>5534.88</v>
      </c>
      <c r="Q242" s="56">
        <f>IFERROR(VLOOKUP(RawTable[[#This Row],[Currency]], System_Master_Data!$A$24:$B$29, 2, FALSE), "")</f>
        <v>1</v>
      </c>
      <c r="R242">
        <f>IF(RawTable[[#This Row],[Exchange_Rate]]="","",ROUND(RawTable[[#This Row],[Gross_Amount]]*RawTable[[#This Row],[Exchange_Rate]],2))</f>
        <v>5534.88</v>
      </c>
      <c r="S242" t="str">
        <f>IF(RawTable[[#This Row],[Entity_Type]]&lt;&gt;"Employee",RawTable[[#This Row],[Entity_Type]],
IF(RawTable[[#This Row],[Country]]="Switzerland","Direct","EOR")
)</f>
        <v>Contractor</v>
      </c>
      <c r="T242" t="str">
        <f>IF(RawTable[[#This Row],[Employment_Model]]&lt;&gt;"EOR","",
IFERROR(VLOOKUP(RawTable[[#This Row],[Country]],EORMap[#All],3,FALSE),"")
)</f>
        <v/>
      </c>
    </row>
    <row r="243" spans="1:20">
      <c r="A243" s="24">
        <v>242</v>
      </c>
      <c r="B243" s="1" t="s">
        <v>28</v>
      </c>
      <c r="C243" s="3" t="s">
        <v>19</v>
      </c>
      <c r="D243" s="3" t="str">
        <f>IFERROR(VLOOKUP(RawTable[[#This Row],[Entity_Type]], EntityMap[], 2, FALSE), "")</f>
        <v>Contractor_Fee</v>
      </c>
      <c r="E243" s="3" t="s">
        <v>2</v>
      </c>
      <c r="F243" s="3" t="s">
        <v>118</v>
      </c>
      <c r="G243" s="3" t="str">
        <f>IFERROR(VLOOKUP(RawTable[[#This Row],[Name]], Name_Master!$A:$E, 4, FALSE), "")</f>
        <v>CH930000000002221200</v>
      </c>
      <c r="H24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CON-Switzerland-202602-000242</v>
      </c>
      <c r="I243" s="1">
        <f>IF(RawTable[[#This Row],[Month]]="","",DATE(YEAR(RawTable[[#This Row],[Month]]),MONTH(RawTable[[#This Row],[Month]]),1))</f>
        <v>46054</v>
      </c>
      <c r="J24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43" s="3" t="s">
        <v>3</v>
      </c>
      <c r="L243" s="4">
        <v>5645.58</v>
      </c>
      <c r="M243" s="2" t="str">
        <f>IF(RawTable[[#This Row],[Net_Amount]]="","",IF(RawTable[[#This Row],[Payment_Type]]="Vendor_Invoice","Yes","No"))</f>
        <v>No</v>
      </c>
      <c r="N243" s="6">
        <f>IF(D243="Vendor_Invoice",
     IFERROR(
         INDEX(System_Master_Data!$B$9:$B$14,
               MATCH(E243,System_Master_Data!$A$9:$A$14,0)
         ),
     0),
0)</f>
        <v>0</v>
      </c>
      <c r="O243" s="4">
        <f t="shared" si="6"/>
        <v>0</v>
      </c>
      <c r="P243" s="4">
        <f t="shared" si="7"/>
        <v>5645.58</v>
      </c>
      <c r="Q243" s="56">
        <f>IFERROR(VLOOKUP(RawTable[[#This Row],[Currency]], System_Master_Data!$A$24:$B$29, 2, FALSE), "")</f>
        <v>1</v>
      </c>
      <c r="R243">
        <f>IF(RawTable[[#This Row],[Exchange_Rate]]="","",ROUND(RawTable[[#This Row],[Gross_Amount]]*RawTable[[#This Row],[Exchange_Rate]],2))</f>
        <v>5645.58</v>
      </c>
      <c r="S243" t="str">
        <f>IF(RawTable[[#This Row],[Entity_Type]]&lt;&gt;"Employee",RawTable[[#This Row],[Entity_Type]],
IF(RawTable[[#This Row],[Country]]="Switzerland","Direct","EOR")
)</f>
        <v>Contractor</v>
      </c>
      <c r="T243" t="str">
        <f>IF(RawTable[[#This Row],[Employment_Model]]&lt;&gt;"EOR","",
IFERROR(VLOOKUP(RawTable[[#This Row],[Country]],EORMap[#All],3,FALSE),"")
)</f>
        <v/>
      </c>
    </row>
    <row r="244" spans="1:20">
      <c r="A244" s="24">
        <v>243</v>
      </c>
      <c r="B244" s="1" t="s">
        <v>35</v>
      </c>
      <c r="C244" s="3" t="s">
        <v>19</v>
      </c>
      <c r="D244" s="3" t="str">
        <f>IFERROR(VLOOKUP(RawTable[[#This Row],[Entity_Type]], EntityMap[], 2, FALSE), "")</f>
        <v>Contractor_Fee</v>
      </c>
      <c r="E244" s="3" t="s">
        <v>8</v>
      </c>
      <c r="F244" s="3" t="s">
        <v>119</v>
      </c>
      <c r="G244" s="3" t="str">
        <f>IFERROR(VLOOKUP(RawTable[[#This Row],[Name]], Name_Master!$A:$E, 4, FALSE), "")</f>
        <v>AE-IBAN-04943211</v>
      </c>
      <c r="H24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CON-UAE-202601-000243</v>
      </c>
      <c r="I244" s="1">
        <f>IF(RawTable[[#This Row],[Month]]="","",DATE(YEAR(RawTable[[#This Row],[Month]]),MONTH(RawTable[[#This Row],[Month]]),1))</f>
        <v>46023</v>
      </c>
      <c r="J24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44" s="3" t="s">
        <v>9</v>
      </c>
      <c r="L244" s="4">
        <v>15945.6</v>
      </c>
      <c r="M244" s="2" t="str">
        <f>IF(RawTable[[#This Row],[Net_Amount]]="","",IF(RawTable[[#This Row],[Payment_Type]]="Vendor_Invoice","Yes","No"))</f>
        <v>No</v>
      </c>
      <c r="N244" s="6">
        <f>IF(D244="Vendor_Invoice",
     IFERROR(
         INDEX(System_Master_Data!$B$9:$B$14,
               MATCH(E244,System_Master_Data!$A$9:$A$14,0)
         ),
     0),
0)</f>
        <v>0</v>
      </c>
      <c r="O244" s="4">
        <f t="shared" si="6"/>
        <v>0</v>
      </c>
      <c r="P244" s="4">
        <f t="shared" si="7"/>
        <v>15945.6</v>
      </c>
      <c r="Q244" s="56">
        <f>IFERROR(VLOOKUP(RawTable[[#This Row],[Currency]], System_Master_Data!$A$24:$B$29, 2, FALSE), "")</f>
        <v>0.21065</v>
      </c>
      <c r="R244">
        <f>IF(RawTable[[#This Row],[Exchange_Rate]]="","",ROUND(RawTable[[#This Row],[Gross_Amount]]*RawTable[[#This Row],[Exchange_Rate]],2))</f>
        <v>3358.94</v>
      </c>
      <c r="S244" t="str">
        <f>IF(RawTable[[#This Row],[Entity_Type]]&lt;&gt;"Employee",RawTable[[#This Row],[Entity_Type]],
IF(RawTable[[#This Row],[Country]]="Switzerland","Direct","EOR")
)</f>
        <v>Contractor</v>
      </c>
      <c r="T244" t="str">
        <f>IF(RawTable[[#This Row],[Employment_Model]]&lt;&gt;"EOR","",
IFERROR(VLOOKUP(RawTable[[#This Row],[Country]],EORMap[#All],3,FALSE),"")
)</f>
        <v/>
      </c>
    </row>
    <row r="245" spans="1:20">
      <c r="A245" s="24">
        <v>244</v>
      </c>
      <c r="B245" s="1" t="s">
        <v>35</v>
      </c>
      <c r="C245" s="3" t="s">
        <v>19</v>
      </c>
      <c r="D245" s="3" t="str">
        <f>IFERROR(VLOOKUP(RawTable[[#This Row],[Entity_Type]], EntityMap[], 2, FALSE), "")</f>
        <v>Contractor_Fee</v>
      </c>
      <c r="E245" s="3" t="s">
        <v>2</v>
      </c>
      <c r="F245" s="3" t="s">
        <v>120</v>
      </c>
      <c r="G245" s="3" t="str">
        <f>IFERROR(VLOOKUP(RawTable[[#This Row],[Name]], Name_Master!$A:$E, 4, FALSE), "")</f>
        <v>CH930000000002270560</v>
      </c>
      <c r="H24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CON-Switzerland-202601-000244</v>
      </c>
      <c r="I245" s="1">
        <f>IF(RawTable[[#This Row],[Month]]="","",DATE(YEAR(RawTable[[#This Row],[Month]]),MONTH(RawTable[[#This Row],[Month]]),1))</f>
        <v>46023</v>
      </c>
      <c r="J24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45" s="3" t="s">
        <v>3</v>
      </c>
      <c r="L245" s="4">
        <v>5347.16</v>
      </c>
      <c r="M245" s="2" t="str">
        <f>IF(RawTable[[#This Row],[Net_Amount]]="","",IF(RawTable[[#This Row],[Payment_Type]]="Vendor_Invoice","Yes","No"))</f>
        <v>No</v>
      </c>
      <c r="N245" s="6">
        <f>IF(D245="Vendor_Invoice",
     IFERROR(
         INDEX(System_Master_Data!$B$9:$B$14,
               MATCH(E245,System_Master_Data!$A$9:$A$14,0)
         ),
     0),
0)</f>
        <v>0</v>
      </c>
      <c r="O245" s="4">
        <f t="shared" si="6"/>
        <v>0</v>
      </c>
      <c r="P245" s="4">
        <f t="shared" si="7"/>
        <v>5347.16</v>
      </c>
      <c r="Q245" s="56">
        <f>IFERROR(VLOOKUP(RawTable[[#This Row],[Currency]], System_Master_Data!$A$24:$B$29, 2, FALSE), "")</f>
        <v>1</v>
      </c>
      <c r="R245">
        <f>IF(RawTable[[#This Row],[Exchange_Rate]]="","",ROUND(RawTable[[#This Row],[Gross_Amount]]*RawTable[[#This Row],[Exchange_Rate]],2))</f>
        <v>5347.16</v>
      </c>
      <c r="S245" t="str">
        <f>IF(RawTable[[#This Row],[Entity_Type]]&lt;&gt;"Employee",RawTable[[#This Row],[Entity_Type]],
IF(RawTable[[#This Row],[Country]]="Switzerland","Direct","EOR")
)</f>
        <v>Contractor</v>
      </c>
      <c r="T245" t="str">
        <f>IF(RawTable[[#This Row],[Employment_Model]]&lt;&gt;"EOR","",
IFERROR(VLOOKUP(RawTable[[#This Row],[Country]],EORMap[#All],3,FALSE),"")
)</f>
        <v/>
      </c>
    </row>
    <row r="246" spans="1:20">
      <c r="A246" s="24">
        <v>245</v>
      </c>
      <c r="B246" s="1" t="s">
        <v>30</v>
      </c>
      <c r="C246" s="3" t="s">
        <v>19</v>
      </c>
      <c r="D246" s="3" t="str">
        <f>IFERROR(VLOOKUP(RawTable[[#This Row],[Entity_Type]], EntityMap[], 2, FALSE), "")</f>
        <v>Contractor_Fee</v>
      </c>
      <c r="E246" s="3" t="s">
        <v>8</v>
      </c>
      <c r="F246" s="3" t="s">
        <v>74</v>
      </c>
      <c r="G246" s="3" t="str">
        <f>IFERROR(VLOOKUP(RawTable[[#This Row],[Name]], Name_Master!$A:$E, 4, FALSE), "")</f>
        <v>AE-IBAN-02498766</v>
      </c>
      <c r="H24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CON-UAE-202603-000245</v>
      </c>
      <c r="I246" s="1">
        <f>IF(RawTable[[#This Row],[Month]]="","",DATE(YEAR(RawTable[[#This Row],[Month]]),MONTH(RawTable[[#This Row],[Month]]),1))</f>
        <v>46082</v>
      </c>
      <c r="J24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46" s="3" t="s">
        <v>9</v>
      </c>
      <c r="L246" s="4">
        <v>19044.96</v>
      </c>
      <c r="M246" s="2" t="str">
        <f>IF(RawTable[[#This Row],[Net_Amount]]="","",IF(RawTable[[#This Row],[Payment_Type]]="Vendor_Invoice","Yes","No"))</f>
        <v>No</v>
      </c>
      <c r="N246" s="6">
        <f>IF(D246="Vendor_Invoice",
     IFERROR(
         INDEX(System_Master_Data!$B$9:$B$14,
               MATCH(E246,System_Master_Data!$A$9:$A$14,0)
         ),
     0),
0)</f>
        <v>0</v>
      </c>
      <c r="O246" s="4">
        <f t="shared" si="6"/>
        <v>0</v>
      </c>
      <c r="P246" s="4">
        <f t="shared" si="7"/>
        <v>19044.96</v>
      </c>
      <c r="Q246" s="56">
        <f>IFERROR(VLOOKUP(RawTable[[#This Row],[Currency]], System_Master_Data!$A$24:$B$29, 2, FALSE), "")</f>
        <v>0.21065</v>
      </c>
      <c r="R246">
        <f>IF(RawTable[[#This Row],[Exchange_Rate]]="","",ROUND(RawTable[[#This Row],[Gross_Amount]]*RawTable[[#This Row],[Exchange_Rate]],2))</f>
        <v>4011.82</v>
      </c>
      <c r="S246" t="str">
        <f>IF(RawTable[[#This Row],[Entity_Type]]&lt;&gt;"Employee",RawTable[[#This Row],[Entity_Type]],
IF(RawTable[[#This Row],[Country]]="Switzerland","Direct","EOR")
)</f>
        <v>Contractor</v>
      </c>
      <c r="T246" t="str">
        <f>IF(RawTable[[#This Row],[Employment_Model]]&lt;&gt;"EOR","",
IFERROR(VLOOKUP(RawTable[[#This Row],[Country]],EORMap[#All],3,FALSE),"")
)</f>
        <v/>
      </c>
    </row>
    <row r="247" spans="1:20">
      <c r="A247" s="24">
        <v>246</v>
      </c>
      <c r="B247" s="1" t="s">
        <v>28</v>
      </c>
      <c r="C247" s="3" t="s">
        <v>19</v>
      </c>
      <c r="D247" s="3" t="str">
        <f>IFERROR(VLOOKUP(RawTable[[#This Row],[Entity_Type]], EntityMap[], 2, FALSE), "")</f>
        <v>Contractor_Fee</v>
      </c>
      <c r="E247" s="3" t="s">
        <v>6</v>
      </c>
      <c r="F247" s="3" t="s">
        <v>76</v>
      </c>
      <c r="G247" s="3" t="str">
        <f>IFERROR(VLOOKUP(RawTable[[#This Row],[Name]], Name_Master!$A:$E, 4, FALSE), "")</f>
        <v>AE-IBAN-02607408</v>
      </c>
      <c r="H24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CON-USA-202602-000246</v>
      </c>
      <c r="I247" s="1">
        <f>IF(RawTable[[#This Row],[Month]]="","",DATE(YEAR(RawTable[[#This Row],[Month]]),MONTH(RawTable[[#This Row],[Month]]),1))</f>
        <v>46054</v>
      </c>
      <c r="J24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47" s="3" t="s">
        <v>7</v>
      </c>
      <c r="L247" s="4">
        <v>5217.5200000000004</v>
      </c>
      <c r="M247" s="2" t="str">
        <f>IF(RawTable[[#This Row],[Net_Amount]]="","",IF(RawTable[[#This Row],[Payment_Type]]="Vendor_Invoice","Yes","No"))</f>
        <v>No</v>
      </c>
      <c r="N247" s="6">
        <f>IF(D247="Vendor_Invoice",
     IFERROR(
         INDEX(System_Master_Data!$B$9:$B$14,
               MATCH(E247,System_Master_Data!$A$9:$A$14,0)
         ),
     0),
0)</f>
        <v>0</v>
      </c>
      <c r="O247" s="4">
        <f t="shared" si="6"/>
        <v>0</v>
      </c>
      <c r="P247" s="4">
        <f t="shared" si="7"/>
        <v>5217.5200000000004</v>
      </c>
      <c r="Q247" s="56">
        <f>IFERROR(VLOOKUP(RawTable[[#This Row],[Currency]], System_Master_Data!$A$24:$B$29, 2, FALSE), "")</f>
        <v>0.77017999999999998</v>
      </c>
      <c r="R247">
        <f>IF(RawTable[[#This Row],[Exchange_Rate]]="","",ROUND(RawTable[[#This Row],[Gross_Amount]]*RawTable[[#This Row],[Exchange_Rate]],2))</f>
        <v>4018.43</v>
      </c>
      <c r="S247" t="str">
        <f>IF(RawTable[[#This Row],[Entity_Type]]&lt;&gt;"Employee",RawTable[[#This Row],[Entity_Type]],
IF(RawTable[[#This Row],[Country]]="Switzerland","Direct","EOR")
)</f>
        <v>Contractor</v>
      </c>
      <c r="T247" t="str">
        <f>IF(RawTable[[#This Row],[Employment_Model]]&lt;&gt;"EOR","",
IFERROR(VLOOKUP(RawTable[[#This Row],[Country]],EORMap[#All],3,FALSE),"")
)</f>
        <v/>
      </c>
    </row>
    <row r="248" spans="1:20">
      <c r="A248" s="24">
        <v>247</v>
      </c>
      <c r="B248" s="1" t="s">
        <v>28</v>
      </c>
      <c r="C248" s="3" t="s">
        <v>19</v>
      </c>
      <c r="D248" s="3" t="str">
        <f>IFERROR(VLOOKUP(RawTable[[#This Row],[Entity_Type]], EntityMap[], 2, FALSE), "")</f>
        <v>Contractor_Fee</v>
      </c>
      <c r="E248" s="3" t="s">
        <v>10</v>
      </c>
      <c r="F248" s="3" t="s">
        <v>104</v>
      </c>
      <c r="G248" s="3" t="str">
        <f>IFERROR(VLOOKUP(RawTable[[#This Row],[Name]], Name_Master!$A:$E, 4, FALSE), "")</f>
        <v>JO-IBAN-00938220</v>
      </c>
      <c r="H24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CON-Jordan-202602-000247</v>
      </c>
      <c r="I248" s="1">
        <f>IF(RawTable[[#This Row],[Month]]="","",DATE(YEAR(RawTable[[#This Row],[Month]]),MONTH(RawTable[[#This Row],[Month]]),1))</f>
        <v>46054</v>
      </c>
      <c r="J24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48" s="3" t="s">
        <v>11</v>
      </c>
      <c r="L248" s="4">
        <v>1338.67</v>
      </c>
      <c r="M248" s="2" t="str">
        <f>IF(RawTable[[#This Row],[Net_Amount]]="","",IF(RawTable[[#This Row],[Payment_Type]]="Vendor_Invoice","Yes","No"))</f>
        <v>No</v>
      </c>
      <c r="N248" s="6">
        <f>IF(D248="Vendor_Invoice",
     IFERROR(
         INDEX(System_Master_Data!$B$9:$B$14,
               MATCH(E248,System_Master_Data!$A$9:$A$14,0)
         ),
     0),
0)</f>
        <v>0</v>
      </c>
      <c r="O248" s="4">
        <f t="shared" si="6"/>
        <v>0</v>
      </c>
      <c r="P248" s="4">
        <f t="shared" si="7"/>
        <v>1338.67</v>
      </c>
      <c r="Q248" s="56">
        <f>IFERROR(VLOOKUP(RawTable[[#This Row],[Currency]], System_Master_Data!$A$24:$B$29, 2, FALSE), "")</f>
        <v>1.08643</v>
      </c>
      <c r="R248">
        <f>IF(RawTable[[#This Row],[Exchange_Rate]]="","",ROUND(RawTable[[#This Row],[Gross_Amount]]*RawTable[[#This Row],[Exchange_Rate]],2))</f>
        <v>1454.37</v>
      </c>
      <c r="S248" t="str">
        <f>IF(RawTable[[#This Row],[Entity_Type]]&lt;&gt;"Employee",RawTable[[#This Row],[Entity_Type]],
IF(RawTable[[#This Row],[Country]]="Switzerland","Direct","EOR")
)</f>
        <v>Contractor</v>
      </c>
      <c r="T248" t="str">
        <f>IF(RawTable[[#This Row],[Employment_Model]]&lt;&gt;"EOR","",
IFERROR(VLOOKUP(RawTable[[#This Row],[Country]],EORMap[#All],3,FALSE),"")
)</f>
        <v/>
      </c>
    </row>
    <row r="249" spans="1:20">
      <c r="A249" s="24">
        <v>248</v>
      </c>
      <c r="B249" s="1" t="s">
        <v>28</v>
      </c>
      <c r="C249" s="3" t="s">
        <v>19</v>
      </c>
      <c r="D249" s="3" t="str">
        <f>IFERROR(VLOOKUP(RawTable[[#This Row],[Entity_Type]], EntityMap[], 2, FALSE), "")</f>
        <v>Contractor_Fee</v>
      </c>
      <c r="E249" s="3" t="s">
        <v>4</v>
      </c>
      <c r="F249" s="3" t="s">
        <v>92</v>
      </c>
      <c r="G249" s="3" t="str">
        <f>IFERROR(VLOOKUP(RawTable[[#This Row],[Name]], Name_Master!$A:$E, 4, FALSE), "")</f>
        <v>JO-IBAN-00790080</v>
      </c>
      <c r="H24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CON-Germany-202602-000248</v>
      </c>
      <c r="I249" s="1">
        <f>IF(RawTable[[#This Row],[Month]]="","",DATE(YEAR(RawTable[[#This Row],[Month]]),MONTH(RawTable[[#This Row],[Month]]),1))</f>
        <v>46054</v>
      </c>
      <c r="J24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49" s="3" t="s">
        <v>5</v>
      </c>
      <c r="L249" s="4">
        <v>4625.76</v>
      </c>
      <c r="M249" s="2" t="str">
        <f>IF(RawTable[[#This Row],[Net_Amount]]="","",IF(RawTable[[#This Row],[Payment_Type]]="Vendor_Invoice","Yes","No"))</f>
        <v>No</v>
      </c>
      <c r="N249" s="6">
        <f>IF(D249="Vendor_Invoice",
     IFERROR(
         INDEX(System_Master_Data!$B$9:$B$14,
               MATCH(E249,System_Master_Data!$A$9:$A$14,0)
         ),
     0),
0)</f>
        <v>0</v>
      </c>
      <c r="O249" s="4">
        <f t="shared" si="6"/>
        <v>0</v>
      </c>
      <c r="P249" s="4">
        <f t="shared" si="7"/>
        <v>4625.76</v>
      </c>
      <c r="Q249" s="56">
        <f>IFERROR(VLOOKUP(RawTable[[#This Row],[Currency]], System_Master_Data!$A$24:$B$29, 2, FALSE), "")</f>
        <v>0.90888000000000002</v>
      </c>
      <c r="R249">
        <f>IF(RawTable[[#This Row],[Exchange_Rate]]="","",ROUND(RawTable[[#This Row],[Gross_Amount]]*RawTable[[#This Row],[Exchange_Rate]],2))</f>
        <v>4204.26</v>
      </c>
      <c r="S249" t="str">
        <f>IF(RawTable[[#This Row],[Entity_Type]]&lt;&gt;"Employee",RawTable[[#This Row],[Entity_Type]],
IF(RawTable[[#This Row],[Country]]="Switzerland","Direct","EOR")
)</f>
        <v>Contractor</v>
      </c>
      <c r="T249" t="str">
        <f>IF(RawTable[[#This Row],[Employment_Model]]&lt;&gt;"EOR","",
IFERROR(VLOOKUP(RawTable[[#This Row],[Country]],EORMap[#All],3,FALSE),"")
)</f>
        <v/>
      </c>
    </row>
    <row r="250" spans="1:20">
      <c r="A250" s="24">
        <v>249</v>
      </c>
      <c r="B250" s="1" t="s">
        <v>28</v>
      </c>
      <c r="C250" s="3" t="s">
        <v>19</v>
      </c>
      <c r="D250" s="3" t="str">
        <f>IFERROR(VLOOKUP(RawTable[[#This Row],[Entity_Type]], EntityMap[], 2, FALSE), "")</f>
        <v>Contractor_Fee</v>
      </c>
      <c r="E250" s="3" t="s">
        <v>4</v>
      </c>
      <c r="F250" s="3" t="s">
        <v>48</v>
      </c>
      <c r="G250" s="3" t="str">
        <f>IFERROR(VLOOKUP(RawTable[[#This Row],[Name]], Name_Master!$A:$E, 4, FALSE), "")</f>
        <v>US-RT-000024680-AC-0000113560</v>
      </c>
      <c r="H25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CON-Germany-202602-000249</v>
      </c>
      <c r="I250" s="1">
        <f>IF(RawTable[[#This Row],[Month]]="","",DATE(YEAR(RawTable[[#This Row],[Month]]),MONTH(RawTable[[#This Row],[Month]]),1))</f>
        <v>46054</v>
      </c>
      <c r="J25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50" s="3" t="s">
        <v>5</v>
      </c>
      <c r="L250" s="4">
        <v>5118.24</v>
      </c>
      <c r="M250" s="2" t="str">
        <f>IF(RawTable[[#This Row],[Net_Amount]]="","",IF(RawTable[[#This Row],[Payment_Type]]="Vendor_Invoice","Yes","No"))</f>
        <v>No</v>
      </c>
      <c r="N250" s="6">
        <f>IF(D250="Vendor_Invoice",
     IFERROR(
         INDEX(System_Master_Data!$B$9:$B$14,
               MATCH(E250,System_Master_Data!$A$9:$A$14,0)
         ),
     0),
0)</f>
        <v>0</v>
      </c>
      <c r="O250" s="4">
        <f t="shared" si="6"/>
        <v>0</v>
      </c>
      <c r="P250" s="4">
        <f t="shared" si="7"/>
        <v>5118.24</v>
      </c>
      <c r="Q250" s="56">
        <f>IFERROR(VLOOKUP(RawTable[[#This Row],[Currency]], System_Master_Data!$A$24:$B$29, 2, FALSE), "")</f>
        <v>0.90888000000000002</v>
      </c>
      <c r="R250">
        <f>IF(RawTable[[#This Row],[Exchange_Rate]]="","",ROUND(RawTable[[#This Row],[Gross_Amount]]*RawTable[[#This Row],[Exchange_Rate]],2))</f>
        <v>4651.87</v>
      </c>
      <c r="S250" t="str">
        <f>IF(RawTable[[#This Row],[Entity_Type]]&lt;&gt;"Employee",RawTable[[#This Row],[Entity_Type]],
IF(RawTable[[#This Row],[Country]]="Switzerland","Direct","EOR")
)</f>
        <v>Contractor</v>
      </c>
      <c r="T250" t="str">
        <f>IF(RawTable[[#This Row],[Employment_Model]]&lt;&gt;"EOR","",
IFERROR(VLOOKUP(RawTable[[#This Row],[Country]],EORMap[#All],3,FALSE),"")
)</f>
        <v/>
      </c>
    </row>
    <row r="251" spans="1:20">
      <c r="A251" s="24">
        <v>250</v>
      </c>
      <c r="B251" s="1" t="s">
        <v>28</v>
      </c>
      <c r="C251" s="3" t="s">
        <v>19</v>
      </c>
      <c r="D251" s="3" t="str">
        <f>IFERROR(VLOOKUP(RawTable[[#This Row],[Entity_Type]], EntityMap[], 2, FALSE), "")</f>
        <v>Contractor_Fee</v>
      </c>
      <c r="E251" s="3" t="s">
        <v>6</v>
      </c>
      <c r="F251" s="3" t="s">
        <v>41</v>
      </c>
      <c r="G251" s="3" t="str">
        <f>IFERROR(VLOOKUP(RawTable[[#This Row],[Name]], Name_Master!$A:$E, 4, FALSE), "")</f>
        <v>CH930000000000320840</v>
      </c>
      <c r="H25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CON-USA-202602-000250</v>
      </c>
      <c r="I251" s="1">
        <f>IF(RawTable[[#This Row],[Month]]="","",DATE(YEAR(RawTable[[#This Row],[Month]]),MONTH(RawTable[[#This Row],[Month]]),1))</f>
        <v>46054</v>
      </c>
      <c r="J25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51" s="3" t="s">
        <v>7</v>
      </c>
      <c r="L251" s="4">
        <v>5483.52</v>
      </c>
      <c r="M251" s="2" t="str">
        <f>IF(RawTable[[#This Row],[Net_Amount]]="","",IF(RawTable[[#This Row],[Payment_Type]]="Vendor_Invoice","Yes","No"))</f>
        <v>No</v>
      </c>
      <c r="N251" s="6">
        <f>IF(D251="Vendor_Invoice",
     IFERROR(
         INDEX(System_Master_Data!$B$9:$B$14,
               MATCH(E251,System_Master_Data!$A$9:$A$14,0)
         ),
     0),
0)</f>
        <v>0</v>
      </c>
      <c r="O251" s="4">
        <f t="shared" si="6"/>
        <v>0</v>
      </c>
      <c r="P251" s="4">
        <f t="shared" si="7"/>
        <v>5483.52</v>
      </c>
      <c r="Q251" s="56">
        <f>IFERROR(VLOOKUP(RawTable[[#This Row],[Currency]], System_Master_Data!$A$24:$B$29, 2, FALSE), "")</f>
        <v>0.77017999999999998</v>
      </c>
      <c r="R251">
        <f>IF(RawTable[[#This Row],[Exchange_Rate]]="","",ROUND(RawTable[[#This Row],[Gross_Amount]]*RawTable[[#This Row],[Exchange_Rate]],2))</f>
        <v>4223.3</v>
      </c>
      <c r="S251" t="str">
        <f>IF(RawTable[[#This Row],[Entity_Type]]&lt;&gt;"Employee",RawTable[[#This Row],[Entity_Type]],
IF(RawTable[[#This Row],[Country]]="Switzerland","Direct","EOR")
)</f>
        <v>Contractor</v>
      </c>
      <c r="T251" t="str">
        <f>IF(RawTable[[#This Row],[Employment_Model]]&lt;&gt;"EOR","",
IFERROR(VLOOKUP(RawTable[[#This Row],[Country]],EORMap[#All],3,FALSE),"")
)</f>
        <v/>
      </c>
    </row>
    <row r="252" spans="1:20">
      <c r="A252" s="24">
        <v>251</v>
      </c>
      <c r="B252" s="1" t="s">
        <v>30</v>
      </c>
      <c r="C252" s="3" t="s">
        <v>19</v>
      </c>
      <c r="D252" s="3" t="str">
        <f>IFERROR(VLOOKUP(RawTable[[#This Row],[Entity_Type]], EntityMap[], 2, FALSE), "")</f>
        <v>Contractor_Fee</v>
      </c>
      <c r="E252" s="3" t="s">
        <v>2</v>
      </c>
      <c r="F252" s="3" t="s">
        <v>63</v>
      </c>
      <c r="G252" s="3" t="str">
        <f>IFERROR(VLOOKUP(RawTable[[#This Row],[Name]], Name_Master!$A:$E, 4, FALSE), "")</f>
        <v>CH930000000000863800</v>
      </c>
      <c r="H25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CON-Switzerland-202603-000251</v>
      </c>
      <c r="I252" s="1">
        <f>IF(RawTable[[#This Row],[Month]]="","",DATE(YEAR(RawTable[[#This Row],[Month]]),MONTH(RawTable[[#This Row],[Month]]),1))</f>
        <v>46082</v>
      </c>
      <c r="J25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52" s="3" t="s">
        <v>3</v>
      </c>
      <c r="L252" s="4">
        <v>5906.32</v>
      </c>
      <c r="M252" s="2" t="str">
        <f>IF(RawTable[[#This Row],[Net_Amount]]="","",IF(RawTable[[#This Row],[Payment_Type]]="Vendor_Invoice","Yes","No"))</f>
        <v>No</v>
      </c>
      <c r="N252" s="6">
        <f>IF(D252="Vendor_Invoice",
     IFERROR(
         INDEX(System_Master_Data!$B$9:$B$14,
               MATCH(E252,System_Master_Data!$A$9:$A$14,0)
         ),
     0),
0)</f>
        <v>0</v>
      </c>
      <c r="O252" s="4">
        <f t="shared" si="6"/>
        <v>0</v>
      </c>
      <c r="P252" s="4">
        <f t="shared" si="7"/>
        <v>5906.32</v>
      </c>
      <c r="Q252" s="56">
        <f>IFERROR(VLOOKUP(RawTable[[#This Row],[Currency]], System_Master_Data!$A$24:$B$29, 2, FALSE), "")</f>
        <v>1</v>
      </c>
      <c r="R252">
        <f>IF(RawTable[[#This Row],[Exchange_Rate]]="","",ROUND(RawTable[[#This Row],[Gross_Amount]]*RawTable[[#This Row],[Exchange_Rate]],2))</f>
        <v>5906.32</v>
      </c>
      <c r="S252" t="str">
        <f>IF(RawTable[[#This Row],[Entity_Type]]&lt;&gt;"Employee",RawTable[[#This Row],[Entity_Type]],
IF(RawTable[[#This Row],[Country]]="Switzerland","Direct","EOR")
)</f>
        <v>Contractor</v>
      </c>
      <c r="T252" t="str">
        <f>IF(RawTable[[#This Row],[Employment_Model]]&lt;&gt;"EOR","",
IFERROR(VLOOKUP(RawTable[[#This Row],[Country]],EORMap[#All],3,FALSE),"")
)</f>
        <v/>
      </c>
    </row>
    <row r="253" spans="1:20">
      <c r="A253" s="24">
        <v>252</v>
      </c>
      <c r="B253" s="1" t="s">
        <v>35</v>
      </c>
      <c r="C253" s="3" t="s">
        <v>19</v>
      </c>
      <c r="D253" s="3" t="str">
        <f>IFERROR(VLOOKUP(RawTable[[#This Row],[Entity_Type]], EntityMap[], 2, FALSE), "")</f>
        <v>Contractor_Fee</v>
      </c>
      <c r="E253" s="3" t="s">
        <v>10</v>
      </c>
      <c r="F253" s="3" t="s">
        <v>57</v>
      </c>
      <c r="G253" s="3" t="str">
        <f>IFERROR(VLOOKUP(RawTable[[#This Row],[Name]], Name_Master!$A:$E, 4, FALSE), "")</f>
        <v>CH930000000000715720</v>
      </c>
      <c r="H25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CON-Jordan-202601-000252</v>
      </c>
      <c r="I253" s="1">
        <f>IF(RawTable[[#This Row],[Month]]="","",DATE(YEAR(RawTable[[#This Row],[Month]]),MONTH(RawTable[[#This Row],[Month]]),1))</f>
        <v>46023</v>
      </c>
      <c r="J25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53" s="3" t="s">
        <v>11</v>
      </c>
      <c r="L253" s="4">
        <v>1573.92</v>
      </c>
      <c r="M253" s="2" t="str">
        <f>IF(RawTable[[#This Row],[Net_Amount]]="","",IF(RawTable[[#This Row],[Payment_Type]]="Vendor_Invoice","Yes","No"))</f>
        <v>No</v>
      </c>
      <c r="N253" s="6">
        <f>IF(D253="Vendor_Invoice",
     IFERROR(
         INDEX(System_Master_Data!$B$9:$B$14,
               MATCH(E253,System_Master_Data!$A$9:$A$14,0)
         ),
     0),
0)</f>
        <v>0</v>
      </c>
      <c r="O253" s="4">
        <f t="shared" si="6"/>
        <v>0</v>
      </c>
      <c r="P253" s="4">
        <f t="shared" si="7"/>
        <v>1573.92</v>
      </c>
      <c r="Q253" s="56">
        <f>IFERROR(VLOOKUP(RawTable[[#This Row],[Currency]], System_Master_Data!$A$24:$B$29, 2, FALSE), "")</f>
        <v>1.08643</v>
      </c>
      <c r="R253">
        <f>IF(RawTable[[#This Row],[Exchange_Rate]]="","",ROUND(RawTable[[#This Row],[Gross_Amount]]*RawTable[[#This Row],[Exchange_Rate]],2))</f>
        <v>1709.95</v>
      </c>
      <c r="S253" t="str">
        <f>IF(RawTable[[#This Row],[Entity_Type]]&lt;&gt;"Employee",RawTable[[#This Row],[Entity_Type]],
IF(RawTable[[#This Row],[Country]]="Switzerland","Direct","EOR")
)</f>
        <v>Contractor</v>
      </c>
      <c r="T253" t="str">
        <f>IF(RawTable[[#This Row],[Employment_Model]]&lt;&gt;"EOR","",
IFERROR(VLOOKUP(RawTable[[#This Row],[Country]],EORMap[#All],3,FALSE),"")
)</f>
        <v/>
      </c>
    </row>
    <row r="254" spans="1:20">
      <c r="A254" s="24">
        <v>253</v>
      </c>
      <c r="B254" s="1" t="s">
        <v>28</v>
      </c>
      <c r="C254" s="3" t="s">
        <v>19</v>
      </c>
      <c r="D254" s="3" t="str">
        <f>IFERROR(VLOOKUP(RawTable[[#This Row],[Entity_Type]], EntityMap[], 2, FALSE), "")</f>
        <v>Contractor_Fee</v>
      </c>
      <c r="E254" s="3" t="s">
        <v>8</v>
      </c>
      <c r="F254" s="3" t="s">
        <v>120</v>
      </c>
      <c r="G254" s="3" t="str">
        <f>IFERROR(VLOOKUP(RawTable[[#This Row],[Name]], Name_Master!$A:$E, 4, FALSE), "")</f>
        <v>CH930000000002270560</v>
      </c>
      <c r="H25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CON-UAE-202602-000253</v>
      </c>
      <c r="I254" s="1">
        <f>IF(RawTable[[#This Row],[Month]]="","",DATE(YEAR(RawTable[[#This Row],[Month]]),MONTH(RawTable[[#This Row],[Month]]),1))</f>
        <v>46054</v>
      </c>
      <c r="J25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54" s="3" t="s">
        <v>9</v>
      </c>
      <c r="L254" s="4">
        <v>18098.080000000002</v>
      </c>
      <c r="M254" s="2" t="str">
        <f>IF(RawTable[[#This Row],[Net_Amount]]="","",IF(RawTable[[#This Row],[Payment_Type]]="Vendor_Invoice","Yes","No"))</f>
        <v>No</v>
      </c>
      <c r="N254" s="6">
        <f>IF(D254="Vendor_Invoice",
     IFERROR(
         INDEX(System_Master_Data!$B$9:$B$14,
               MATCH(E254,System_Master_Data!$A$9:$A$14,0)
         ),
     0),
0)</f>
        <v>0</v>
      </c>
      <c r="O254" s="4">
        <f t="shared" si="6"/>
        <v>0</v>
      </c>
      <c r="P254" s="4">
        <f t="shared" si="7"/>
        <v>18098.080000000002</v>
      </c>
      <c r="Q254" s="56">
        <f>IFERROR(VLOOKUP(RawTable[[#This Row],[Currency]], System_Master_Data!$A$24:$B$29, 2, FALSE), "")</f>
        <v>0.21065</v>
      </c>
      <c r="R254">
        <f>IF(RawTable[[#This Row],[Exchange_Rate]]="","",ROUND(RawTable[[#This Row],[Gross_Amount]]*RawTable[[#This Row],[Exchange_Rate]],2))</f>
        <v>3812.36</v>
      </c>
      <c r="S254" t="str">
        <f>IF(RawTable[[#This Row],[Entity_Type]]&lt;&gt;"Employee",RawTable[[#This Row],[Entity_Type]],
IF(RawTable[[#This Row],[Country]]="Switzerland","Direct","EOR")
)</f>
        <v>Contractor</v>
      </c>
      <c r="T254" t="str">
        <f>IF(RawTable[[#This Row],[Employment_Model]]&lt;&gt;"EOR","",
IFERROR(VLOOKUP(RawTable[[#This Row],[Country]],EORMap[#All],3,FALSE),"")
)</f>
        <v/>
      </c>
    </row>
    <row r="255" spans="1:20">
      <c r="A255" s="24">
        <v>254</v>
      </c>
      <c r="B255" s="1" t="s">
        <v>28</v>
      </c>
      <c r="C255" s="3" t="s">
        <v>19</v>
      </c>
      <c r="D255" s="3" t="str">
        <f>IFERROR(VLOOKUP(RawTable[[#This Row],[Entity_Type]], EntityMap[], 2, FALSE), "")</f>
        <v>Contractor_Fee</v>
      </c>
      <c r="E255" s="3" t="s">
        <v>2</v>
      </c>
      <c r="F255" s="3" t="s">
        <v>100</v>
      </c>
      <c r="G255" s="3" t="str">
        <f>IFERROR(VLOOKUP(RawTable[[#This Row],[Name]], Name_Master!$A:$E, 4, FALSE), "")</f>
        <v>DE890000000000977688</v>
      </c>
      <c r="H25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CON-Switzerland-202602-000254</v>
      </c>
      <c r="I255" s="1">
        <f>IF(RawTable[[#This Row],[Month]]="","",DATE(YEAR(RawTable[[#This Row],[Month]]),MONTH(RawTable[[#This Row],[Month]]),1))</f>
        <v>46054</v>
      </c>
      <c r="J25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55" s="3" t="s">
        <v>3</v>
      </c>
      <c r="L255" s="4">
        <v>5071.04</v>
      </c>
      <c r="M255" s="2" t="str">
        <f>IF(RawTable[[#This Row],[Net_Amount]]="","",IF(RawTable[[#This Row],[Payment_Type]]="Vendor_Invoice","Yes","No"))</f>
        <v>No</v>
      </c>
      <c r="N255" s="6">
        <f>IF(D255="Vendor_Invoice",
     IFERROR(
         INDEX(System_Master_Data!$B$9:$B$14,
               MATCH(E255,System_Master_Data!$A$9:$A$14,0)
         ),
     0),
0)</f>
        <v>0</v>
      </c>
      <c r="O255" s="4">
        <f t="shared" si="6"/>
        <v>0</v>
      </c>
      <c r="P255" s="4">
        <f t="shared" si="7"/>
        <v>5071.04</v>
      </c>
      <c r="Q255" s="56">
        <f>IFERROR(VLOOKUP(RawTable[[#This Row],[Currency]], System_Master_Data!$A$24:$B$29, 2, FALSE), "")</f>
        <v>1</v>
      </c>
      <c r="R255">
        <f>IF(RawTable[[#This Row],[Exchange_Rate]]="","",ROUND(RawTable[[#This Row],[Gross_Amount]]*RawTable[[#This Row],[Exchange_Rate]],2))</f>
        <v>5071.04</v>
      </c>
      <c r="S255" t="str">
        <f>IF(RawTable[[#This Row],[Entity_Type]]&lt;&gt;"Employee",RawTable[[#This Row],[Entity_Type]],
IF(RawTable[[#This Row],[Country]]="Switzerland","Direct","EOR")
)</f>
        <v>Contractor</v>
      </c>
      <c r="T255" t="str">
        <f>IF(RawTable[[#This Row],[Employment_Model]]&lt;&gt;"EOR","",
IFERROR(VLOOKUP(RawTable[[#This Row],[Country]],EORMap[#All],3,FALSE),"")
)</f>
        <v/>
      </c>
    </row>
    <row r="256" spans="1:20">
      <c r="A256" s="24">
        <v>255</v>
      </c>
      <c r="B256" s="1" t="s">
        <v>28</v>
      </c>
      <c r="C256" s="3" t="s">
        <v>19</v>
      </c>
      <c r="D256" s="3" t="str">
        <f>IFERROR(VLOOKUP(RawTable[[#This Row],[Entity_Type]], EntityMap[], 2, FALSE), "")</f>
        <v>Contractor_Fee</v>
      </c>
      <c r="E256" s="3" t="s">
        <v>2</v>
      </c>
      <c r="F256" s="3" t="s">
        <v>59</v>
      </c>
      <c r="G256" s="3" t="str">
        <f>IFERROR(VLOOKUP(RawTable[[#This Row],[Name]], Name_Master!$A:$E, 4, FALSE), "")</f>
        <v>JO-IBAN-00382695</v>
      </c>
      <c r="H25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CON-Switzerland-202602-000255</v>
      </c>
      <c r="I256" s="1">
        <f>IF(RawTable[[#This Row],[Month]]="","",DATE(YEAR(RawTable[[#This Row],[Month]]),MONTH(RawTable[[#This Row],[Month]]),1))</f>
        <v>46054</v>
      </c>
      <c r="J25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56" s="3" t="s">
        <v>3</v>
      </c>
      <c r="L256" s="4">
        <v>4753.84</v>
      </c>
      <c r="M256" s="2" t="str">
        <f>IF(RawTable[[#This Row],[Net_Amount]]="","",IF(RawTable[[#This Row],[Payment_Type]]="Vendor_Invoice","Yes","No"))</f>
        <v>No</v>
      </c>
      <c r="N256" s="6">
        <f>IF(D256="Vendor_Invoice",
     IFERROR(
         INDEX(System_Master_Data!$B$9:$B$14,
               MATCH(E256,System_Master_Data!$A$9:$A$14,0)
         ),
     0),
0)</f>
        <v>0</v>
      </c>
      <c r="O256" s="4">
        <f t="shared" si="6"/>
        <v>0</v>
      </c>
      <c r="P256" s="4">
        <f t="shared" si="7"/>
        <v>4753.84</v>
      </c>
      <c r="Q256" s="56">
        <f>IFERROR(VLOOKUP(RawTable[[#This Row],[Currency]], System_Master_Data!$A$24:$B$29, 2, FALSE), "")</f>
        <v>1</v>
      </c>
      <c r="R256">
        <f>IF(RawTable[[#This Row],[Exchange_Rate]]="","",ROUND(RawTable[[#This Row],[Gross_Amount]]*RawTable[[#This Row],[Exchange_Rate]],2))</f>
        <v>4753.84</v>
      </c>
      <c r="S256" t="str">
        <f>IF(RawTable[[#This Row],[Entity_Type]]&lt;&gt;"Employee",RawTable[[#This Row],[Entity_Type]],
IF(RawTable[[#This Row],[Country]]="Switzerland","Direct","EOR")
)</f>
        <v>Contractor</v>
      </c>
      <c r="T256" t="str">
        <f>IF(RawTable[[#This Row],[Employment_Model]]&lt;&gt;"EOR","",
IFERROR(VLOOKUP(RawTable[[#This Row],[Country]],EORMap[#All],3,FALSE),"")
)</f>
        <v/>
      </c>
    </row>
    <row r="257" spans="1:20">
      <c r="A257" s="24">
        <v>256</v>
      </c>
      <c r="B257" s="1" t="s">
        <v>28</v>
      </c>
      <c r="C257" s="3" t="s">
        <v>19</v>
      </c>
      <c r="D257" s="3" t="str">
        <f>IFERROR(VLOOKUP(RawTable[[#This Row],[Entity_Type]], EntityMap[], 2, FALSE), "")</f>
        <v>Contractor_Fee</v>
      </c>
      <c r="E257" s="3" t="s">
        <v>2</v>
      </c>
      <c r="F257" s="3" t="s">
        <v>70</v>
      </c>
      <c r="G257" s="3" t="str">
        <f>IFERROR(VLOOKUP(RawTable[[#This Row],[Name]], Name_Master!$A:$E, 4, FALSE), "")</f>
        <v>US-RT-000051828-AC-0000238476</v>
      </c>
      <c r="H25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CON-Switzerland-202602-000256</v>
      </c>
      <c r="I257" s="1">
        <f>IF(RawTable[[#This Row],[Month]]="","",DATE(YEAR(RawTable[[#This Row],[Month]]),MONTH(RawTable[[#This Row],[Month]]),1))</f>
        <v>46054</v>
      </c>
      <c r="J25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57" s="3" t="s">
        <v>3</v>
      </c>
      <c r="L257" s="4">
        <v>5621.2</v>
      </c>
      <c r="M257" s="2" t="str">
        <f>IF(RawTable[[#This Row],[Net_Amount]]="","",IF(RawTable[[#This Row],[Payment_Type]]="Vendor_Invoice","Yes","No"))</f>
        <v>No</v>
      </c>
      <c r="N257" s="6">
        <f>IF(D257="Vendor_Invoice",
     IFERROR(
         INDEX(System_Master_Data!$B$9:$B$14,
               MATCH(E257,System_Master_Data!$A$9:$A$14,0)
         ),
     0),
0)</f>
        <v>0</v>
      </c>
      <c r="O257" s="4">
        <f t="shared" si="6"/>
        <v>0</v>
      </c>
      <c r="P257" s="4">
        <f t="shared" si="7"/>
        <v>5621.2</v>
      </c>
      <c r="Q257" s="56">
        <f>IFERROR(VLOOKUP(RawTable[[#This Row],[Currency]], System_Master_Data!$A$24:$B$29, 2, FALSE), "")</f>
        <v>1</v>
      </c>
      <c r="R257">
        <f>IF(RawTable[[#This Row],[Exchange_Rate]]="","",ROUND(RawTable[[#This Row],[Gross_Amount]]*RawTable[[#This Row],[Exchange_Rate]],2))</f>
        <v>5621.2</v>
      </c>
      <c r="S257" t="str">
        <f>IF(RawTable[[#This Row],[Entity_Type]]&lt;&gt;"Employee",RawTable[[#This Row],[Entity_Type]],
IF(RawTable[[#This Row],[Country]]="Switzerland","Direct","EOR")
)</f>
        <v>Contractor</v>
      </c>
      <c r="T257" t="str">
        <f>IF(RawTable[[#This Row],[Employment_Model]]&lt;&gt;"EOR","",
IFERROR(VLOOKUP(RawTable[[#This Row],[Country]],EORMap[#All],3,FALSE),"")
)</f>
        <v/>
      </c>
    </row>
    <row r="258" spans="1:20">
      <c r="A258" s="24">
        <v>257</v>
      </c>
      <c r="B258" s="1" t="s">
        <v>28</v>
      </c>
      <c r="C258" s="3" t="s">
        <v>19</v>
      </c>
      <c r="D258" s="3" t="str">
        <f>IFERROR(VLOOKUP(RawTable[[#This Row],[Entity_Type]], EntityMap[], 2, FALSE), "")</f>
        <v>Contractor_Fee</v>
      </c>
      <c r="E258" s="3" t="s">
        <v>10</v>
      </c>
      <c r="F258" s="3" t="s">
        <v>75</v>
      </c>
      <c r="G258" s="3" t="str">
        <f>IFERROR(VLOOKUP(RawTable[[#This Row],[Name]], Name_Master!$A:$E, 4, FALSE), "")</f>
        <v>CH930000000001159960</v>
      </c>
      <c r="H25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CON-Jordan-202602-000257</v>
      </c>
      <c r="I258" s="1">
        <f>IF(RawTable[[#This Row],[Month]]="","",DATE(YEAR(RawTable[[#This Row],[Month]]),MONTH(RawTable[[#This Row],[Month]]),1))</f>
        <v>46054</v>
      </c>
      <c r="J25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58" s="3" t="s">
        <v>11</v>
      </c>
      <c r="L258" s="4">
        <v>1482.05</v>
      </c>
      <c r="M258" s="2" t="str">
        <f>IF(RawTable[[#This Row],[Net_Amount]]="","",IF(RawTable[[#This Row],[Payment_Type]]="Vendor_Invoice","Yes","No"))</f>
        <v>No</v>
      </c>
      <c r="N258" s="6">
        <f>IF(D258="Vendor_Invoice",
     IFERROR(
         INDEX(System_Master_Data!$B$9:$B$14,
               MATCH(E258,System_Master_Data!$A$9:$A$14,0)
         ),
     0),
0)</f>
        <v>0</v>
      </c>
      <c r="O258" s="4">
        <f t="shared" ref="O258:O321" si="8">N258*L258</f>
        <v>0</v>
      </c>
      <c r="P258" s="4">
        <v>1490</v>
      </c>
      <c r="Q258" s="56">
        <f>IFERROR(VLOOKUP(RawTable[[#This Row],[Currency]], System_Master_Data!$A$24:$B$29, 2, FALSE), "")</f>
        <v>1.08643</v>
      </c>
      <c r="R258">
        <f>IF(RawTable[[#This Row],[Exchange_Rate]]="","",ROUND(RawTable[[#This Row],[Gross_Amount]]*RawTable[[#This Row],[Exchange_Rate]],2))</f>
        <v>1618.78</v>
      </c>
      <c r="S258" t="str">
        <f>IF(RawTable[[#This Row],[Entity_Type]]&lt;&gt;"Employee",RawTable[[#This Row],[Entity_Type]],
IF(RawTable[[#This Row],[Country]]="Switzerland","Direct","EOR")
)</f>
        <v>Contractor</v>
      </c>
      <c r="T258" t="str">
        <f>IF(RawTable[[#This Row],[Employment_Model]]&lt;&gt;"EOR","",
IFERROR(VLOOKUP(RawTable[[#This Row],[Country]],EORMap[#All],3,FALSE),"")
)</f>
        <v/>
      </c>
    </row>
    <row r="259" spans="1:20">
      <c r="A259" s="24">
        <v>258</v>
      </c>
      <c r="B259" s="1" t="s">
        <v>35</v>
      </c>
      <c r="C259" s="3" t="s">
        <v>19</v>
      </c>
      <c r="D259" s="3" t="str">
        <f>IFERROR(VLOOKUP(RawTable[[#This Row],[Entity_Type]], EntityMap[], 2, FALSE), "")</f>
        <v>Contractor_Fee</v>
      </c>
      <c r="E259" s="3" t="s">
        <v>4</v>
      </c>
      <c r="F259" s="3" t="s">
        <v>113</v>
      </c>
      <c r="G259" s="3" t="str">
        <f>IFERROR(VLOOKUP(RawTable[[#This Row],[Name]], Name_Master!$A:$E, 4, FALSE), "")</f>
        <v>US-RT-000104890-AC-0000482630</v>
      </c>
      <c r="H25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CON-Germany-202601-000258</v>
      </c>
      <c r="I259" s="1">
        <f>IF(RawTable[[#This Row],[Month]]="","",DATE(YEAR(RawTable[[#This Row],[Month]]),MONTH(RawTable[[#This Row],[Month]]),1))</f>
        <v>46023</v>
      </c>
      <c r="J25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59" s="3" t="s">
        <v>5</v>
      </c>
      <c r="L259" s="4">
        <v>5040.4799999999996</v>
      </c>
      <c r="M259" s="2" t="str">
        <f>IF(RawTable[[#This Row],[Net_Amount]]="","",IF(RawTable[[#This Row],[Payment_Type]]="Vendor_Invoice","Yes","No"))</f>
        <v>No</v>
      </c>
      <c r="N259" s="6">
        <f>IF(D259="Vendor_Invoice",
     IFERROR(
         INDEX(System_Master_Data!$B$9:$B$14,
               MATCH(E259,System_Master_Data!$A$9:$A$14,0)
         ),
     0),
0)</f>
        <v>0</v>
      </c>
      <c r="O259" s="4">
        <f t="shared" si="8"/>
        <v>0</v>
      </c>
      <c r="P259" s="4">
        <f t="shared" ref="P259:P290" si="9">O259+L259</f>
        <v>5040.4799999999996</v>
      </c>
      <c r="Q259" s="56">
        <f>IFERROR(VLOOKUP(RawTable[[#This Row],[Currency]], System_Master_Data!$A$24:$B$29, 2, FALSE), "")</f>
        <v>0.90888000000000002</v>
      </c>
      <c r="R259">
        <f>IF(RawTable[[#This Row],[Exchange_Rate]]="","",ROUND(RawTable[[#This Row],[Gross_Amount]]*RawTable[[#This Row],[Exchange_Rate]],2))</f>
        <v>4581.1899999999996</v>
      </c>
      <c r="S259" t="str">
        <f>IF(RawTable[[#This Row],[Entity_Type]]&lt;&gt;"Employee",RawTable[[#This Row],[Entity_Type]],
IF(RawTable[[#This Row],[Country]]="Switzerland","Direct","EOR")
)</f>
        <v>Contractor</v>
      </c>
      <c r="T259" t="str">
        <f>IF(RawTable[[#This Row],[Employment_Model]]&lt;&gt;"EOR","",
IFERROR(VLOOKUP(RawTable[[#This Row],[Country]],EORMap[#All],3,FALSE),"")
)</f>
        <v/>
      </c>
    </row>
    <row r="260" spans="1:20">
      <c r="A260" s="24">
        <v>259</v>
      </c>
      <c r="B260" s="1" t="s">
        <v>28</v>
      </c>
      <c r="C260" s="3" t="s">
        <v>19</v>
      </c>
      <c r="D260" s="3" t="str">
        <f>IFERROR(VLOOKUP(RawTable[[#This Row],[Entity_Type]], EntityMap[], 2, FALSE), "")</f>
        <v>Contractor_Fee</v>
      </c>
      <c r="E260" s="3" t="s">
        <v>8</v>
      </c>
      <c r="F260" s="3" t="s">
        <v>93</v>
      </c>
      <c r="G260" s="3" t="str">
        <f>IFERROR(VLOOKUP(RawTable[[#This Row],[Name]], Name_Master!$A:$E, 4, FALSE), "")</f>
        <v>AE-IBAN-03530865</v>
      </c>
      <c r="H26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CON-UAE-202602-000259</v>
      </c>
      <c r="I260" s="1">
        <f>IF(RawTable[[#This Row],[Month]]="","",DATE(YEAR(RawTable[[#This Row],[Month]]),MONTH(RawTable[[#This Row],[Month]]),1))</f>
        <v>46054</v>
      </c>
      <c r="J26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60" s="3" t="s">
        <v>9</v>
      </c>
      <c r="L260" s="4">
        <v>19263.2</v>
      </c>
      <c r="M260" s="2" t="str">
        <f>IF(RawTable[[#This Row],[Net_Amount]]="","",IF(RawTable[[#This Row],[Payment_Type]]="Vendor_Invoice","Yes","No"))</f>
        <v>No</v>
      </c>
      <c r="N260" s="6">
        <f>IF(D260="Vendor_Invoice",
     IFERROR(
         INDEX(System_Master_Data!$B$9:$B$14,
               MATCH(E260,System_Master_Data!$A$9:$A$14,0)
         ),
     0),
0)</f>
        <v>0</v>
      </c>
      <c r="O260" s="4">
        <f t="shared" si="8"/>
        <v>0</v>
      </c>
      <c r="P260" s="4">
        <f t="shared" si="9"/>
        <v>19263.2</v>
      </c>
      <c r="Q260" s="56">
        <f>IFERROR(VLOOKUP(RawTable[[#This Row],[Currency]], System_Master_Data!$A$24:$B$29, 2, FALSE), "")</f>
        <v>0.21065</v>
      </c>
      <c r="R260">
        <f>IF(RawTable[[#This Row],[Exchange_Rate]]="","",ROUND(RawTable[[#This Row],[Gross_Amount]]*RawTable[[#This Row],[Exchange_Rate]],2))</f>
        <v>4057.79</v>
      </c>
      <c r="S260" t="str">
        <f>IF(RawTable[[#This Row],[Entity_Type]]&lt;&gt;"Employee",RawTable[[#This Row],[Entity_Type]],
IF(RawTable[[#This Row],[Country]]="Switzerland","Direct","EOR")
)</f>
        <v>Contractor</v>
      </c>
      <c r="T260" t="str">
        <f>IF(RawTable[[#This Row],[Employment_Model]]&lt;&gt;"EOR","",
IFERROR(VLOOKUP(RawTable[[#This Row],[Country]],EORMap[#All],3,FALSE),"")
)</f>
        <v/>
      </c>
    </row>
    <row r="261" spans="1:20">
      <c r="A261" s="24">
        <v>260</v>
      </c>
      <c r="B261" s="1" t="s">
        <v>35</v>
      </c>
      <c r="C261" s="3" t="s">
        <v>19</v>
      </c>
      <c r="D261" s="3" t="str">
        <f>IFERROR(VLOOKUP(RawTable[[#This Row],[Entity_Type]], EntityMap[], 2, FALSE), "")</f>
        <v>Contractor_Fee</v>
      </c>
      <c r="E261" s="3" t="s">
        <v>6</v>
      </c>
      <c r="F261" s="3" t="s">
        <v>92</v>
      </c>
      <c r="G261" s="3" t="str">
        <f>IFERROR(VLOOKUP(RawTable[[#This Row],[Name]], Name_Master!$A:$E, 4, FALSE), "")</f>
        <v>JO-IBAN-00790080</v>
      </c>
      <c r="H26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CON-USA-202601-000260</v>
      </c>
      <c r="I261" s="1">
        <f>IF(RawTable[[#This Row],[Month]]="","",DATE(YEAR(RawTable[[#This Row],[Month]]),MONTH(RawTable[[#This Row],[Month]]),1))</f>
        <v>46023</v>
      </c>
      <c r="J26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61" s="3" t="s">
        <v>7</v>
      </c>
      <c r="L261" s="4">
        <v>5396.72</v>
      </c>
      <c r="M261" s="2" t="str">
        <f>IF(RawTable[[#This Row],[Net_Amount]]="","",IF(RawTable[[#This Row],[Payment_Type]]="Vendor_Invoice","Yes","No"))</f>
        <v>No</v>
      </c>
      <c r="N261" s="6">
        <f>IF(D261="Vendor_Invoice",
     IFERROR(
         INDEX(System_Master_Data!$B$9:$B$14,
               MATCH(E261,System_Master_Data!$A$9:$A$14,0)
         ),
     0),
0)</f>
        <v>0</v>
      </c>
      <c r="O261" s="4">
        <f t="shared" si="8"/>
        <v>0</v>
      </c>
      <c r="P261" s="4">
        <f t="shared" si="9"/>
        <v>5396.72</v>
      </c>
      <c r="Q261" s="56">
        <f>IFERROR(VLOOKUP(RawTable[[#This Row],[Currency]], System_Master_Data!$A$24:$B$29, 2, FALSE), "")</f>
        <v>0.77017999999999998</v>
      </c>
      <c r="R261">
        <f>IF(RawTable[[#This Row],[Exchange_Rate]]="","",ROUND(RawTable[[#This Row],[Gross_Amount]]*RawTable[[#This Row],[Exchange_Rate]],2))</f>
        <v>4156.45</v>
      </c>
      <c r="S261" t="str">
        <f>IF(RawTable[[#This Row],[Entity_Type]]&lt;&gt;"Employee",RawTable[[#This Row],[Entity_Type]],
IF(RawTable[[#This Row],[Country]]="Switzerland","Direct","EOR")
)</f>
        <v>Contractor</v>
      </c>
      <c r="T261" t="str">
        <f>IF(RawTable[[#This Row],[Employment_Model]]&lt;&gt;"EOR","",
IFERROR(VLOOKUP(RawTable[[#This Row],[Country]],EORMap[#All],3,FALSE),"")
)</f>
        <v/>
      </c>
    </row>
    <row r="262" spans="1:20">
      <c r="A262" s="24">
        <v>261</v>
      </c>
      <c r="B262" s="1" t="s">
        <v>28</v>
      </c>
      <c r="C262" s="3" t="s">
        <v>19</v>
      </c>
      <c r="D262" s="3" t="str">
        <f>IFERROR(VLOOKUP(RawTable[[#This Row],[Entity_Type]], EntityMap[], 2, FALSE), "")</f>
        <v>Contractor_Fee</v>
      </c>
      <c r="E262" s="3" t="s">
        <v>2</v>
      </c>
      <c r="F262" s="3" t="s">
        <v>84</v>
      </c>
      <c r="G262" s="3" t="str">
        <f>IFERROR(VLOOKUP(RawTable[[#This Row],[Name]], Name_Master!$A:$E, 4, FALSE), "")</f>
        <v>CH930000000001382080</v>
      </c>
      <c r="H26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CON-Switzerland-202602-000261</v>
      </c>
      <c r="I262" s="1">
        <f>IF(RawTable[[#This Row],[Month]]="","",DATE(YEAR(RawTable[[#This Row],[Month]]),MONTH(RawTable[[#This Row],[Month]]),1))</f>
        <v>46054</v>
      </c>
      <c r="J26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62" s="3" t="s">
        <v>3</v>
      </c>
      <c r="L262" s="4">
        <v>5028.92</v>
      </c>
      <c r="M262" s="2" t="str">
        <f>IF(RawTable[[#This Row],[Net_Amount]]="","",IF(RawTable[[#This Row],[Payment_Type]]="Vendor_Invoice","Yes","No"))</f>
        <v>No</v>
      </c>
      <c r="N262" s="6">
        <f>IF(D262="Vendor_Invoice",
     IFERROR(
         INDEX(System_Master_Data!$B$9:$B$14,
               MATCH(E262,System_Master_Data!$A$9:$A$14,0)
         ),
     0),
0)</f>
        <v>0</v>
      </c>
      <c r="O262" s="4">
        <f t="shared" si="8"/>
        <v>0</v>
      </c>
      <c r="P262" s="4">
        <f t="shared" si="9"/>
        <v>5028.92</v>
      </c>
      <c r="Q262" s="56">
        <f>IFERROR(VLOOKUP(RawTable[[#This Row],[Currency]], System_Master_Data!$A$24:$B$29, 2, FALSE), "")</f>
        <v>1</v>
      </c>
      <c r="R262">
        <f>IF(RawTable[[#This Row],[Exchange_Rate]]="","",ROUND(RawTable[[#This Row],[Gross_Amount]]*RawTable[[#This Row],[Exchange_Rate]],2))</f>
        <v>5028.92</v>
      </c>
      <c r="S262" t="str">
        <f>IF(RawTable[[#This Row],[Entity_Type]]&lt;&gt;"Employee",RawTable[[#This Row],[Entity_Type]],
IF(RawTable[[#This Row],[Country]]="Switzerland","Direct","EOR")
)</f>
        <v>Contractor</v>
      </c>
      <c r="T262" t="str">
        <f>IF(RawTable[[#This Row],[Employment_Model]]&lt;&gt;"EOR","",
IFERROR(VLOOKUP(RawTable[[#This Row],[Country]],EORMap[#All],3,FALSE),"")
)</f>
        <v/>
      </c>
    </row>
    <row r="263" spans="1:20">
      <c r="A263" s="24">
        <v>262</v>
      </c>
      <c r="B263" s="1" t="s">
        <v>30</v>
      </c>
      <c r="C263" s="3" t="s">
        <v>19</v>
      </c>
      <c r="D263" s="3" t="str">
        <f>IFERROR(VLOOKUP(RawTable[[#This Row],[Entity_Type]], EntityMap[], 2, FALSE), "")</f>
        <v>Contractor_Fee</v>
      </c>
      <c r="E263" s="3" t="s">
        <v>2</v>
      </c>
      <c r="F263" s="3" t="s">
        <v>100</v>
      </c>
      <c r="G263" s="3" t="str">
        <f>IFERROR(VLOOKUP(RawTable[[#This Row],[Name]], Name_Master!$A:$E, 4, FALSE), "")</f>
        <v>DE890000000000977688</v>
      </c>
      <c r="H26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CON-Switzerland-202603-000262</v>
      </c>
      <c r="I263" s="1">
        <f>IF(RawTable[[#This Row],[Month]]="","",DATE(YEAR(RawTable[[#This Row],[Month]]),MONTH(RawTable[[#This Row],[Month]]),1))</f>
        <v>46082</v>
      </c>
      <c r="J26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63" s="3" t="s">
        <v>3</v>
      </c>
      <c r="L263" s="4">
        <v>5172.46</v>
      </c>
      <c r="M263" s="2" t="str">
        <f>IF(RawTable[[#This Row],[Net_Amount]]="","",IF(RawTable[[#This Row],[Payment_Type]]="Vendor_Invoice","Yes","No"))</f>
        <v>No</v>
      </c>
      <c r="N263" s="6">
        <f>IF(D263="Vendor_Invoice",
     IFERROR(
         INDEX(System_Master_Data!$B$9:$B$14,
               MATCH(E263,System_Master_Data!$A$9:$A$14,0)
         ),
     0),
0)</f>
        <v>0</v>
      </c>
      <c r="O263" s="4">
        <f t="shared" si="8"/>
        <v>0</v>
      </c>
      <c r="P263" s="4">
        <f t="shared" si="9"/>
        <v>5172.46</v>
      </c>
      <c r="Q263" s="56">
        <f>IFERROR(VLOOKUP(RawTable[[#This Row],[Currency]], System_Master_Data!$A$24:$B$29, 2, FALSE), "")</f>
        <v>1</v>
      </c>
      <c r="R263">
        <f>IF(RawTable[[#This Row],[Exchange_Rate]]="","",ROUND(RawTable[[#This Row],[Gross_Amount]]*RawTable[[#This Row],[Exchange_Rate]],2))</f>
        <v>5172.46</v>
      </c>
      <c r="S263" t="str">
        <f>IF(RawTable[[#This Row],[Entity_Type]]&lt;&gt;"Employee",RawTable[[#This Row],[Entity_Type]],
IF(RawTable[[#This Row],[Country]]="Switzerland","Direct","EOR")
)</f>
        <v>Contractor</v>
      </c>
      <c r="T263" t="str">
        <f>IF(RawTable[[#This Row],[Employment_Model]]&lt;&gt;"EOR","",
IFERROR(VLOOKUP(RawTable[[#This Row],[Country]],EORMap[#All],3,FALSE),"")
)</f>
        <v/>
      </c>
    </row>
    <row r="264" spans="1:20">
      <c r="A264" s="24">
        <v>263</v>
      </c>
      <c r="B264" s="1" t="s">
        <v>35</v>
      </c>
      <c r="C264" s="3" t="s">
        <v>19</v>
      </c>
      <c r="D264" s="3" t="str">
        <f>IFERROR(VLOOKUP(RawTable[[#This Row],[Entity_Type]], EntityMap[], 2, FALSE), "")</f>
        <v>Contractor_Fee</v>
      </c>
      <c r="E264" s="3" t="s">
        <v>4</v>
      </c>
      <c r="F264" s="3" t="s">
        <v>55</v>
      </c>
      <c r="G264" s="3" t="str">
        <f>IFERROR(VLOOKUP(RawTable[[#This Row],[Name]], Name_Master!$A:$E, 4, FALSE), "")</f>
        <v>DE890000000000366633</v>
      </c>
      <c r="H26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CON-Germany-202601-000263</v>
      </c>
      <c r="I264" s="1">
        <f>IF(RawTable[[#This Row],[Month]]="","",DATE(YEAR(RawTable[[#This Row],[Month]]),MONTH(RawTable[[#This Row],[Month]]),1))</f>
        <v>46023</v>
      </c>
      <c r="J26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64" s="3" t="s">
        <v>5</v>
      </c>
      <c r="L264" s="4">
        <v>4832.6400000000003</v>
      </c>
      <c r="M264" s="2" t="str">
        <f>IF(RawTable[[#This Row],[Net_Amount]]="","",IF(RawTable[[#This Row],[Payment_Type]]="Vendor_Invoice","Yes","No"))</f>
        <v>No</v>
      </c>
      <c r="N264" s="6">
        <f>IF(D264="Vendor_Invoice",
     IFERROR(
         INDEX(System_Master_Data!$B$9:$B$14,
               MATCH(E264,System_Master_Data!$A$9:$A$14,0)
         ),
     0),
0)</f>
        <v>0</v>
      </c>
      <c r="O264" s="4">
        <f t="shared" si="8"/>
        <v>0</v>
      </c>
      <c r="P264" s="4">
        <f t="shared" si="9"/>
        <v>4832.6400000000003</v>
      </c>
      <c r="Q264" s="56">
        <f>IFERROR(VLOOKUP(RawTable[[#This Row],[Currency]], System_Master_Data!$A$24:$B$29, 2, FALSE), "")</f>
        <v>0.90888000000000002</v>
      </c>
      <c r="R264">
        <f>IF(RawTable[[#This Row],[Exchange_Rate]]="","",ROUND(RawTable[[#This Row],[Gross_Amount]]*RawTable[[#This Row],[Exchange_Rate]],2))</f>
        <v>4392.29</v>
      </c>
      <c r="S264" t="str">
        <f>IF(RawTable[[#This Row],[Entity_Type]]&lt;&gt;"Employee",RawTable[[#This Row],[Entity_Type]],
IF(RawTable[[#This Row],[Country]]="Switzerland","Direct","EOR")
)</f>
        <v>Contractor</v>
      </c>
      <c r="T264" t="str">
        <f>IF(RawTable[[#This Row],[Employment_Model]]&lt;&gt;"EOR","",
IFERROR(VLOOKUP(RawTable[[#This Row],[Country]],EORMap[#All],3,FALSE),"")
)</f>
        <v/>
      </c>
    </row>
    <row r="265" spans="1:20">
      <c r="A265" s="24">
        <v>264</v>
      </c>
      <c r="B265" s="1" t="s">
        <v>35</v>
      </c>
      <c r="C265" s="3" t="s">
        <v>19</v>
      </c>
      <c r="D265" s="3" t="str">
        <f>IFERROR(VLOOKUP(RawTable[[#This Row],[Entity_Type]], EntityMap[], 2, FALSE), "")</f>
        <v>Contractor_Fee</v>
      </c>
      <c r="E265" s="3" t="s">
        <v>6</v>
      </c>
      <c r="F265" s="3" t="s">
        <v>38</v>
      </c>
      <c r="G265" s="3" t="str">
        <f>IFERROR(VLOOKUP(RawTable[[#This Row],[Name]], Name_Master!$A:$E, 4, FALSE), "")</f>
        <v>US-RT-000012340-AC-0000056780</v>
      </c>
      <c r="H26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CON-USA-202601-000264</v>
      </c>
      <c r="I265" s="1">
        <f>IF(RawTable[[#This Row],[Month]]="","",DATE(YEAR(RawTable[[#This Row],[Month]]),MONTH(RawTable[[#This Row],[Month]]),1))</f>
        <v>46023</v>
      </c>
      <c r="J26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65" s="3" t="s">
        <v>7</v>
      </c>
      <c r="L265" s="4">
        <v>6087.28</v>
      </c>
      <c r="M265" s="2" t="str">
        <f>IF(RawTable[[#This Row],[Net_Amount]]="","",IF(RawTable[[#This Row],[Payment_Type]]="Vendor_Invoice","Yes","No"))</f>
        <v>No</v>
      </c>
      <c r="N265" s="6">
        <f>IF(D265="Vendor_Invoice",
     IFERROR(
         INDEX(System_Master_Data!$B$9:$B$14,
               MATCH(E265,System_Master_Data!$A$9:$A$14,0)
         ),
     0),
0)</f>
        <v>0</v>
      </c>
      <c r="O265" s="4">
        <f t="shared" si="8"/>
        <v>0</v>
      </c>
      <c r="P265" s="4">
        <f t="shared" si="9"/>
        <v>6087.28</v>
      </c>
      <c r="Q265" s="56">
        <f>IFERROR(VLOOKUP(RawTable[[#This Row],[Currency]], System_Master_Data!$A$24:$B$29, 2, FALSE), "")</f>
        <v>0.77017999999999998</v>
      </c>
      <c r="R265">
        <f>IF(RawTable[[#This Row],[Exchange_Rate]]="","",ROUND(RawTable[[#This Row],[Gross_Amount]]*RawTable[[#This Row],[Exchange_Rate]],2))</f>
        <v>4688.3</v>
      </c>
      <c r="S265" t="str">
        <f>IF(RawTable[[#This Row],[Entity_Type]]&lt;&gt;"Employee",RawTable[[#This Row],[Entity_Type]],
IF(RawTable[[#This Row],[Country]]="Switzerland","Direct","EOR")
)</f>
        <v>Contractor</v>
      </c>
      <c r="T265" t="str">
        <f>IF(RawTable[[#This Row],[Employment_Model]]&lt;&gt;"EOR","",
IFERROR(VLOOKUP(RawTable[[#This Row],[Country]],EORMap[#All],3,FALSE),"")
)</f>
        <v/>
      </c>
    </row>
    <row r="266" spans="1:20">
      <c r="A266" s="24">
        <v>265</v>
      </c>
      <c r="B266" s="1" t="s">
        <v>28</v>
      </c>
      <c r="C266" s="3" t="s">
        <v>19</v>
      </c>
      <c r="D266" s="3" t="str">
        <f>IFERROR(VLOOKUP(RawTable[[#This Row],[Entity_Type]], EntityMap[], 2, FALSE), "")</f>
        <v>Contractor_Fee</v>
      </c>
      <c r="E266" s="3" t="s">
        <v>2</v>
      </c>
      <c r="F266" s="3" t="s">
        <v>109</v>
      </c>
      <c r="G266" s="3" t="str">
        <f>IFERROR(VLOOKUP(RawTable[[#This Row],[Name]], Name_Master!$A:$E, 4, FALSE), "")</f>
        <v>AE-IBAN-04400001</v>
      </c>
      <c r="H26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CON-Switzerland-202602-000265</v>
      </c>
      <c r="I266" s="1">
        <f>IF(RawTable[[#This Row],[Month]]="","",DATE(YEAR(RawTable[[#This Row],[Month]]),MONTH(RawTable[[#This Row],[Month]]),1))</f>
        <v>46054</v>
      </c>
      <c r="J26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66" s="3" t="s">
        <v>3</v>
      </c>
      <c r="L266" s="4">
        <v>5380.44</v>
      </c>
      <c r="M266" s="2" t="str">
        <f>IF(RawTable[[#This Row],[Net_Amount]]="","",IF(RawTable[[#This Row],[Payment_Type]]="Vendor_Invoice","Yes","No"))</f>
        <v>No</v>
      </c>
      <c r="N266" s="6">
        <f>IF(D266="Vendor_Invoice",
     IFERROR(
         INDEX(System_Master_Data!$B$9:$B$14,
               MATCH(E266,System_Master_Data!$A$9:$A$14,0)
         ),
     0),
0)</f>
        <v>0</v>
      </c>
      <c r="O266" s="4">
        <f t="shared" si="8"/>
        <v>0</v>
      </c>
      <c r="P266" s="4">
        <f t="shared" si="9"/>
        <v>5380.44</v>
      </c>
      <c r="Q266" s="56">
        <f>IFERROR(VLOOKUP(RawTable[[#This Row],[Currency]], System_Master_Data!$A$24:$B$29, 2, FALSE), "")</f>
        <v>1</v>
      </c>
      <c r="R266">
        <f>IF(RawTable[[#This Row],[Exchange_Rate]]="","",ROUND(RawTable[[#This Row],[Gross_Amount]]*RawTable[[#This Row],[Exchange_Rate]],2))</f>
        <v>5380.44</v>
      </c>
      <c r="S266" t="str">
        <f>IF(RawTable[[#This Row],[Entity_Type]]&lt;&gt;"Employee",RawTable[[#This Row],[Entity_Type]],
IF(RawTable[[#This Row],[Country]]="Switzerland","Direct","EOR")
)</f>
        <v>Contractor</v>
      </c>
      <c r="T266" t="str">
        <f>IF(RawTable[[#This Row],[Employment_Model]]&lt;&gt;"EOR","",
IFERROR(VLOOKUP(RawTable[[#This Row],[Country]],EORMap[#All],3,FALSE),"")
)</f>
        <v/>
      </c>
    </row>
    <row r="267" spans="1:20">
      <c r="A267" s="24">
        <v>266</v>
      </c>
      <c r="B267" s="1" t="s">
        <v>28</v>
      </c>
      <c r="C267" s="3" t="s">
        <v>19</v>
      </c>
      <c r="D267" s="3" t="str">
        <f>IFERROR(VLOOKUP(RawTable[[#This Row],[Entity_Type]], EntityMap[], 2, FALSE), "")</f>
        <v>Contractor_Fee</v>
      </c>
      <c r="E267" s="3" t="s">
        <v>6</v>
      </c>
      <c r="F267" s="3" t="s">
        <v>99</v>
      </c>
      <c r="G267" s="3" t="str">
        <f>IFERROR(VLOOKUP(RawTable[[#This Row],[Name]], Name_Master!$A:$E, 4, FALSE), "")</f>
        <v>CH930000000001752280</v>
      </c>
      <c r="H26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CON-USA-202602-000266</v>
      </c>
      <c r="I267" s="1">
        <f>IF(RawTable[[#This Row],[Month]]="","",DATE(YEAR(RawTable[[#This Row],[Month]]),MONTH(RawTable[[#This Row],[Month]]),1))</f>
        <v>46054</v>
      </c>
      <c r="J26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67" s="3" t="s">
        <v>7</v>
      </c>
      <c r="L267" s="4">
        <v>5584.32</v>
      </c>
      <c r="M267" s="2" t="str">
        <f>IF(RawTable[[#This Row],[Net_Amount]]="","",IF(RawTable[[#This Row],[Payment_Type]]="Vendor_Invoice","Yes","No"))</f>
        <v>No</v>
      </c>
      <c r="N267" s="6">
        <f>IF(D267="Vendor_Invoice",
     IFERROR(
         INDEX(System_Master_Data!$B$9:$B$14,
               MATCH(E267,System_Master_Data!$A$9:$A$14,0)
         ),
     0),
0)</f>
        <v>0</v>
      </c>
      <c r="O267" s="4">
        <f t="shared" si="8"/>
        <v>0</v>
      </c>
      <c r="P267" s="4">
        <f t="shared" si="9"/>
        <v>5584.32</v>
      </c>
      <c r="Q267" s="56">
        <f>IFERROR(VLOOKUP(RawTable[[#This Row],[Currency]], System_Master_Data!$A$24:$B$29, 2, FALSE), "")</f>
        <v>0.77017999999999998</v>
      </c>
      <c r="R267">
        <f>IF(RawTable[[#This Row],[Exchange_Rate]]="","",ROUND(RawTable[[#This Row],[Gross_Amount]]*RawTable[[#This Row],[Exchange_Rate]],2))</f>
        <v>4300.93</v>
      </c>
      <c r="S267" t="str">
        <f>IF(RawTable[[#This Row],[Entity_Type]]&lt;&gt;"Employee",RawTable[[#This Row],[Entity_Type]],
IF(RawTable[[#This Row],[Country]]="Switzerland","Direct","EOR")
)</f>
        <v>Contractor</v>
      </c>
      <c r="T267" t="str">
        <f>IF(RawTable[[#This Row],[Employment_Model]]&lt;&gt;"EOR","",
IFERROR(VLOOKUP(RawTable[[#This Row],[Country]],EORMap[#All],3,FALSE),"")
)</f>
        <v/>
      </c>
    </row>
    <row r="268" spans="1:20">
      <c r="A268" s="24">
        <v>267</v>
      </c>
      <c r="B268" s="1" t="s">
        <v>28</v>
      </c>
      <c r="C268" s="3" t="s">
        <v>19</v>
      </c>
      <c r="D268" s="3" t="str">
        <f>IFERROR(VLOOKUP(RawTable[[#This Row],[Entity_Type]], EntityMap[], 2, FALSE), "")</f>
        <v>Contractor_Fee</v>
      </c>
      <c r="E268" s="3" t="s">
        <v>6</v>
      </c>
      <c r="F268" s="3" t="s">
        <v>29</v>
      </c>
      <c r="G268" s="3" t="str">
        <f>IFERROR(VLOOKUP(RawTable[[#This Row],[Name]], Name_Master!$A:$E, 4, FALSE), "")</f>
        <v>US-RT-000003702-AC-0000017034</v>
      </c>
      <c r="H26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CON-USA-202602-000267</v>
      </c>
      <c r="I268" s="1">
        <f>IF(RawTable[[#This Row],[Month]]="","",DATE(YEAR(RawTable[[#This Row],[Month]]),MONTH(RawTable[[#This Row],[Month]]),1))</f>
        <v>46054</v>
      </c>
      <c r="J26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68" s="3" t="s">
        <v>7</v>
      </c>
      <c r="L268" s="4">
        <v>5618.48</v>
      </c>
      <c r="M268" s="2" t="str">
        <f>IF(RawTable[[#This Row],[Net_Amount]]="","",IF(RawTable[[#This Row],[Payment_Type]]="Vendor_Invoice","Yes","No"))</f>
        <v>No</v>
      </c>
      <c r="N268" s="6">
        <f>IF(D268="Vendor_Invoice",
     IFERROR(
         INDEX(System_Master_Data!$B$9:$B$14,
               MATCH(E268,System_Master_Data!$A$9:$A$14,0)
         ),
     0),
0)</f>
        <v>0</v>
      </c>
      <c r="O268" s="4">
        <f t="shared" si="8"/>
        <v>0</v>
      </c>
      <c r="P268" s="4">
        <f t="shared" si="9"/>
        <v>5618.48</v>
      </c>
      <c r="Q268" s="56">
        <f>IFERROR(VLOOKUP(RawTable[[#This Row],[Currency]], System_Master_Data!$A$24:$B$29, 2, FALSE), "")</f>
        <v>0.77017999999999998</v>
      </c>
      <c r="R268">
        <f>IF(RawTable[[#This Row],[Exchange_Rate]]="","",ROUND(RawTable[[#This Row],[Gross_Amount]]*RawTable[[#This Row],[Exchange_Rate]],2))</f>
        <v>4327.24</v>
      </c>
      <c r="S268" t="str">
        <f>IF(RawTable[[#This Row],[Entity_Type]]&lt;&gt;"Employee",RawTable[[#This Row],[Entity_Type]],
IF(RawTable[[#This Row],[Country]]="Switzerland","Direct","EOR")
)</f>
        <v>Contractor</v>
      </c>
      <c r="T268" t="str">
        <f>IF(RawTable[[#This Row],[Employment_Model]]&lt;&gt;"EOR","",
IFERROR(VLOOKUP(RawTable[[#This Row],[Country]],EORMap[#All],3,FALSE),"")
)</f>
        <v/>
      </c>
    </row>
    <row r="269" spans="1:20">
      <c r="A269" s="24">
        <v>268</v>
      </c>
      <c r="B269" s="1" t="s">
        <v>28</v>
      </c>
      <c r="C269" s="3" t="s">
        <v>19</v>
      </c>
      <c r="D269" s="3" t="str">
        <f>IFERROR(VLOOKUP(RawTable[[#This Row],[Entity_Type]], EntityMap[], 2, FALSE), "")</f>
        <v>Contractor_Fee</v>
      </c>
      <c r="E269" s="3" t="s">
        <v>2</v>
      </c>
      <c r="F269" s="3" t="s">
        <v>47</v>
      </c>
      <c r="G269" s="3" t="str">
        <f>IFERROR(VLOOKUP(RawTable[[#This Row],[Name]], Name_Master!$A:$E, 4, FALSE), "")</f>
        <v>JO-IBAN-00234555</v>
      </c>
      <c r="H26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CON-Switzerland-202602-000268</v>
      </c>
      <c r="I269" s="1">
        <f>IF(RawTable[[#This Row],[Month]]="","",DATE(YEAR(RawTable[[#This Row],[Month]]),MONTH(RawTable[[#This Row],[Month]]),1))</f>
        <v>46054</v>
      </c>
      <c r="J26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69" s="3" t="s">
        <v>3</v>
      </c>
      <c r="L269" s="4">
        <v>5659.16</v>
      </c>
      <c r="M269" s="2" t="str">
        <f>IF(RawTable[[#This Row],[Net_Amount]]="","",IF(RawTable[[#This Row],[Payment_Type]]="Vendor_Invoice","Yes","No"))</f>
        <v>No</v>
      </c>
      <c r="N269" s="6">
        <f>IF(D269="Vendor_Invoice",
     IFERROR(
         INDEX(System_Master_Data!$B$9:$B$14,
               MATCH(E269,System_Master_Data!$A$9:$A$14,0)
         ),
     0),
0)</f>
        <v>0</v>
      </c>
      <c r="O269" s="4">
        <f t="shared" si="8"/>
        <v>0</v>
      </c>
      <c r="P269" s="4">
        <f t="shared" si="9"/>
        <v>5659.16</v>
      </c>
      <c r="Q269" s="56">
        <f>IFERROR(VLOOKUP(RawTable[[#This Row],[Currency]], System_Master_Data!$A$24:$B$29, 2, FALSE), "")</f>
        <v>1</v>
      </c>
      <c r="R269">
        <f>IF(RawTable[[#This Row],[Exchange_Rate]]="","",ROUND(RawTable[[#This Row],[Gross_Amount]]*RawTable[[#This Row],[Exchange_Rate]],2))</f>
        <v>5659.16</v>
      </c>
      <c r="S269" t="str">
        <f>IF(RawTable[[#This Row],[Entity_Type]]&lt;&gt;"Employee",RawTable[[#This Row],[Entity_Type]],
IF(RawTable[[#This Row],[Country]]="Switzerland","Direct","EOR")
)</f>
        <v>Contractor</v>
      </c>
      <c r="T269" t="str">
        <f>IF(RawTable[[#This Row],[Employment_Model]]&lt;&gt;"EOR","",
IFERROR(VLOOKUP(RawTable[[#This Row],[Country]],EORMap[#All],3,FALSE),"")
)</f>
        <v/>
      </c>
    </row>
    <row r="270" spans="1:20">
      <c r="A270" s="24">
        <v>269</v>
      </c>
      <c r="B270" s="1" t="s">
        <v>30</v>
      </c>
      <c r="C270" s="3" t="s">
        <v>19</v>
      </c>
      <c r="D270" s="3" t="str">
        <f>IFERROR(VLOOKUP(RawTable[[#This Row],[Entity_Type]], EntityMap[], 2, FALSE), "")</f>
        <v>Contractor_Fee</v>
      </c>
      <c r="E270" s="3" t="s">
        <v>10</v>
      </c>
      <c r="F270" s="3" t="s">
        <v>112</v>
      </c>
      <c r="G270" s="3" t="str">
        <f>IFERROR(VLOOKUP(RawTable[[#This Row],[Name]], Name_Master!$A:$E, 4, FALSE), "")</f>
        <v>DE890000000001140636</v>
      </c>
      <c r="H27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CON-Jordan-202603-000269</v>
      </c>
      <c r="I270" s="1">
        <f>IF(RawTable[[#This Row],[Month]]="","",DATE(YEAR(RawTable[[#This Row],[Month]]),MONTH(RawTable[[#This Row],[Month]]),1))</f>
        <v>46082</v>
      </c>
      <c r="J27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70" s="3" t="s">
        <v>11</v>
      </c>
      <c r="L270" s="4">
        <v>1385.71</v>
      </c>
      <c r="M270" s="2" t="str">
        <f>IF(RawTable[[#This Row],[Net_Amount]]="","",IF(RawTable[[#This Row],[Payment_Type]]="Vendor_Invoice","Yes","No"))</f>
        <v>No</v>
      </c>
      <c r="N270" s="6">
        <f>IF(D270="Vendor_Invoice",
     IFERROR(
         INDEX(System_Master_Data!$B$9:$B$14,
               MATCH(E270,System_Master_Data!$A$9:$A$14,0)
         ),
     0),
0)</f>
        <v>0</v>
      </c>
      <c r="O270" s="4">
        <f t="shared" si="8"/>
        <v>0</v>
      </c>
      <c r="P270" s="4">
        <f t="shared" si="9"/>
        <v>1385.71</v>
      </c>
      <c r="Q270" s="56">
        <f>IFERROR(VLOOKUP(RawTable[[#This Row],[Currency]], System_Master_Data!$A$24:$B$29, 2, FALSE), "")</f>
        <v>1.08643</v>
      </c>
      <c r="R270">
        <f>IF(RawTable[[#This Row],[Exchange_Rate]]="","",ROUND(RawTable[[#This Row],[Gross_Amount]]*RawTable[[#This Row],[Exchange_Rate]],2))</f>
        <v>1505.48</v>
      </c>
      <c r="S270" t="str">
        <f>IF(RawTable[[#This Row],[Entity_Type]]&lt;&gt;"Employee",RawTable[[#This Row],[Entity_Type]],
IF(RawTable[[#This Row],[Country]]="Switzerland","Direct","EOR")
)</f>
        <v>Contractor</v>
      </c>
      <c r="T270" t="str">
        <f>IF(RawTable[[#This Row],[Employment_Model]]&lt;&gt;"EOR","",
IFERROR(VLOOKUP(RawTable[[#This Row],[Country]],EORMap[#All],3,FALSE),"")
)</f>
        <v/>
      </c>
    </row>
    <row r="271" spans="1:20">
      <c r="A271" s="24">
        <v>270</v>
      </c>
      <c r="B271" s="1" t="s">
        <v>35</v>
      </c>
      <c r="C271" s="3" t="s">
        <v>19</v>
      </c>
      <c r="D271" s="3" t="str">
        <f>IFERROR(VLOOKUP(RawTable[[#This Row],[Entity_Type]], EntityMap[], 2, FALSE), "")</f>
        <v>Contractor_Fee</v>
      </c>
      <c r="E271" s="3" t="s">
        <v>4</v>
      </c>
      <c r="F271" s="3" t="s">
        <v>101</v>
      </c>
      <c r="G271" s="3" t="str">
        <f>IFERROR(VLOOKUP(RawTable[[#This Row],[Name]], Name_Master!$A:$E, 4, FALSE), "")</f>
        <v>US-RT-000090082-AC-0000414494</v>
      </c>
      <c r="H27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CON-Germany-202601-000270</v>
      </c>
      <c r="I271" s="1">
        <f>IF(RawTable[[#This Row],[Month]]="","",DATE(YEAR(RawTable[[#This Row],[Month]]),MONTH(RawTable[[#This Row],[Month]]),1))</f>
        <v>46023</v>
      </c>
      <c r="J27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71" s="3" t="s">
        <v>5</v>
      </c>
      <c r="L271" s="4">
        <v>4607.5200000000004</v>
      </c>
      <c r="M271" s="2" t="str">
        <f>IF(RawTable[[#This Row],[Net_Amount]]="","",IF(RawTable[[#This Row],[Payment_Type]]="Vendor_Invoice","Yes","No"))</f>
        <v>No</v>
      </c>
      <c r="N271" s="6">
        <f>IF(D271="Vendor_Invoice",
     IFERROR(
         INDEX(System_Master_Data!$B$9:$B$14,
               MATCH(E271,System_Master_Data!$A$9:$A$14,0)
         ),
     0),
0)</f>
        <v>0</v>
      </c>
      <c r="O271" s="4">
        <f t="shared" si="8"/>
        <v>0</v>
      </c>
      <c r="P271" s="4">
        <f t="shared" si="9"/>
        <v>4607.5200000000004</v>
      </c>
      <c r="Q271" s="56">
        <f>IFERROR(VLOOKUP(RawTable[[#This Row],[Currency]], System_Master_Data!$A$24:$B$29, 2, FALSE), "")</f>
        <v>0.90888000000000002</v>
      </c>
      <c r="R271">
        <f>IF(RawTable[[#This Row],[Exchange_Rate]]="","",ROUND(RawTable[[#This Row],[Gross_Amount]]*RawTable[[#This Row],[Exchange_Rate]],2))</f>
        <v>4187.68</v>
      </c>
      <c r="S271" t="str">
        <f>IF(RawTable[[#This Row],[Entity_Type]]&lt;&gt;"Employee",RawTable[[#This Row],[Entity_Type]],
IF(RawTable[[#This Row],[Country]]="Switzerland","Direct","EOR")
)</f>
        <v>Contractor</v>
      </c>
      <c r="T271" t="str">
        <f>IF(RawTable[[#This Row],[Employment_Model]]&lt;&gt;"EOR","",
IFERROR(VLOOKUP(RawTable[[#This Row],[Country]],EORMap[#All],3,FALSE),"")
)</f>
        <v/>
      </c>
    </row>
    <row r="272" spans="1:20">
      <c r="A272" s="24">
        <v>271</v>
      </c>
      <c r="B272" s="1" t="s">
        <v>35</v>
      </c>
      <c r="C272" s="3" t="s">
        <v>19</v>
      </c>
      <c r="D272" s="3" t="str">
        <f>IFERROR(VLOOKUP(RawTable[[#This Row],[Entity_Type]], EntityMap[], 2, FALSE), "")</f>
        <v>Contractor_Fee</v>
      </c>
      <c r="E272" s="3" t="s">
        <v>4</v>
      </c>
      <c r="F272" s="3" t="s">
        <v>81</v>
      </c>
      <c r="G272" s="3" t="str">
        <f>IFERROR(VLOOKUP(RawTable[[#This Row],[Name]], Name_Master!$A:$E, 4, FALSE), "")</f>
        <v>US-RT-000065402-AC-0000300934</v>
      </c>
      <c r="H27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CON-Germany-202601-000271</v>
      </c>
      <c r="I272" s="1">
        <f>IF(RawTable[[#This Row],[Month]]="","",DATE(YEAR(RawTable[[#This Row],[Month]]),MONTH(RawTable[[#This Row],[Month]]),1))</f>
        <v>46023</v>
      </c>
      <c r="J27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72" s="3" t="s">
        <v>5</v>
      </c>
      <c r="L272" s="4">
        <v>4997.28</v>
      </c>
      <c r="M272" s="2" t="str">
        <f>IF(RawTable[[#This Row],[Net_Amount]]="","",IF(RawTable[[#This Row],[Payment_Type]]="Vendor_Invoice","Yes","No"))</f>
        <v>No</v>
      </c>
      <c r="N272" s="6">
        <f>IF(D272="Vendor_Invoice",
     IFERROR(
         INDEX(System_Master_Data!$B$9:$B$14,
               MATCH(E272,System_Master_Data!$A$9:$A$14,0)
         ),
     0),
0)</f>
        <v>0</v>
      </c>
      <c r="O272" s="4">
        <f t="shared" si="8"/>
        <v>0</v>
      </c>
      <c r="P272" s="4">
        <f t="shared" si="9"/>
        <v>4997.28</v>
      </c>
      <c r="Q272" s="56">
        <f>IFERROR(VLOOKUP(RawTable[[#This Row],[Currency]], System_Master_Data!$A$24:$B$29, 2, FALSE), "")</f>
        <v>0.90888000000000002</v>
      </c>
      <c r="R272">
        <f>IF(RawTable[[#This Row],[Exchange_Rate]]="","",ROUND(RawTable[[#This Row],[Gross_Amount]]*RawTable[[#This Row],[Exchange_Rate]],2))</f>
        <v>4541.93</v>
      </c>
      <c r="S272" t="str">
        <f>IF(RawTable[[#This Row],[Entity_Type]]&lt;&gt;"Employee",RawTable[[#This Row],[Entity_Type]],
IF(RawTable[[#This Row],[Country]]="Switzerland","Direct","EOR")
)</f>
        <v>Contractor</v>
      </c>
      <c r="T272" t="str">
        <f>IF(RawTable[[#This Row],[Employment_Model]]&lt;&gt;"EOR","",
IFERROR(VLOOKUP(RawTable[[#This Row],[Country]],EORMap[#All],3,FALSE),"")
)</f>
        <v/>
      </c>
    </row>
    <row r="273" spans="1:20">
      <c r="A273" s="24">
        <v>272</v>
      </c>
      <c r="B273" s="1" t="s">
        <v>35</v>
      </c>
      <c r="C273" s="3" t="s">
        <v>19</v>
      </c>
      <c r="D273" s="3" t="str">
        <f>IFERROR(VLOOKUP(RawTable[[#This Row],[Entity_Type]], EntityMap[], 2, FALSE), "")</f>
        <v>Contractor_Fee</v>
      </c>
      <c r="E273" s="3" t="s">
        <v>6</v>
      </c>
      <c r="F273" s="3" t="s">
        <v>60</v>
      </c>
      <c r="G273" s="3" t="str">
        <f>IFERROR(VLOOKUP(RawTable[[#This Row],[Name]], Name_Master!$A:$E, 4, FALSE), "")</f>
        <v>AE-IBAN-01738272</v>
      </c>
      <c r="H27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CON-USA-202601-000272</v>
      </c>
      <c r="I273" s="1">
        <f>IF(RawTable[[#This Row],[Month]]="","",DATE(YEAR(RawTable[[#This Row],[Month]]),MONTH(RawTable[[#This Row],[Month]]),1))</f>
        <v>46023</v>
      </c>
      <c r="J27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73" s="3" t="s">
        <v>7</v>
      </c>
      <c r="L273" s="4">
        <v>5281.36</v>
      </c>
      <c r="M273" s="2" t="str">
        <f>IF(RawTable[[#This Row],[Net_Amount]]="","",IF(RawTable[[#This Row],[Payment_Type]]="Vendor_Invoice","Yes","No"))</f>
        <v>No</v>
      </c>
      <c r="N273" s="6">
        <f>IF(D273="Vendor_Invoice",
     IFERROR(
         INDEX(System_Master_Data!$B$9:$B$14,
               MATCH(E273,System_Master_Data!$A$9:$A$14,0)
         ),
     0),
0)</f>
        <v>0</v>
      </c>
      <c r="O273" s="4">
        <f t="shared" si="8"/>
        <v>0</v>
      </c>
      <c r="P273" s="4">
        <f t="shared" si="9"/>
        <v>5281.36</v>
      </c>
      <c r="Q273" s="56">
        <f>IFERROR(VLOOKUP(RawTable[[#This Row],[Currency]], System_Master_Data!$A$24:$B$29, 2, FALSE), "")</f>
        <v>0.77017999999999998</v>
      </c>
      <c r="R273">
        <f>IF(RawTable[[#This Row],[Exchange_Rate]]="","",ROUND(RawTable[[#This Row],[Gross_Amount]]*RawTable[[#This Row],[Exchange_Rate]],2))</f>
        <v>4067.6</v>
      </c>
      <c r="S273" t="str">
        <f>IF(RawTable[[#This Row],[Entity_Type]]&lt;&gt;"Employee",RawTable[[#This Row],[Entity_Type]],
IF(RawTable[[#This Row],[Country]]="Switzerland","Direct","EOR")
)</f>
        <v>Contractor</v>
      </c>
      <c r="T273" t="str">
        <f>IF(RawTable[[#This Row],[Employment_Model]]&lt;&gt;"EOR","",
IFERROR(VLOOKUP(RawTable[[#This Row],[Country]],EORMap[#All],3,FALSE),"")
)</f>
        <v/>
      </c>
    </row>
    <row r="274" spans="1:20">
      <c r="A274" s="24">
        <v>273</v>
      </c>
      <c r="B274" s="1" t="s">
        <v>28</v>
      </c>
      <c r="C274" s="3" t="s">
        <v>19</v>
      </c>
      <c r="D274" s="3" t="str">
        <f>IFERROR(VLOOKUP(RawTable[[#This Row],[Entity_Type]], EntityMap[], 2, FALSE), "")</f>
        <v>Contractor_Fee</v>
      </c>
      <c r="E274" s="3" t="s">
        <v>8</v>
      </c>
      <c r="F274" s="3" t="s">
        <v>29</v>
      </c>
      <c r="G274" s="3" t="str">
        <f>IFERROR(VLOOKUP(RawTable[[#This Row],[Name]], Name_Master!$A:$E, 4, FALSE), "")</f>
        <v>US-RT-000003702-AC-0000017034</v>
      </c>
      <c r="H27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CON-UAE-202602-000273</v>
      </c>
      <c r="I274" s="1">
        <f>IF(RawTable[[#This Row],[Month]]="","",DATE(YEAR(RawTable[[#This Row],[Month]]),MONTH(RawTable[[#This Row],[Month]]),1))</f>
        <v>46054</v>
      </c>
      <c r="J27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74" s="3" t="s">
        <v>9</v>
      </c>
      <c r="L274" s="4">
        <v>17658.080000000002</v>
      </c>
      <c r="M274" s="2" t="str">
        <f>IF(RawTable[[#This Row],[Net_Amount]]="","",IF(RawTable[[#This Row],[Payment_Type]]="Vendor_Invoice","Yes","No"))</f>
        <v>No</v>
      </c>
      <c r="N274" s="6">
        <f>IF(D274="Vendor_Invoice",
     IFERROR(
         INDEX(System_Master_Data!$B$9:$B$14,
               MATCH(E274,System_Master_Data!$A$9:$A$14,0)
         ),
     0),
0)</f>
        <v>0</v>
      </c>
      <c r="O274" s="4">
        <f t="shared" si="8"/>
        <v>0</v>
      </c>
      <c r="P274" s="4">
        <f t="shared" si="9"/>
        <v>17658.080000000002</v>
      </c>
      <c r="Q274" s="56">
        <f>IFERROR(VLOOKUP(RawTable[[#This Row],[Currency]], System_Master_Data!$A$24:$B$29, 2, FALSE), "")</f>
        <v>0.21065</v>
      </c>
      <c r="R274">
        <f>IF(RawTable[[#This Row],[Exchange_Rate]]="","",ROUND(RawTable[[#This Row],[Gross_Amount]]*RawTable[[#This Row],[Exchange_Rate]],2))</f>
        <v>3719.67</v>
      </c>
      <c r="S274" t="str">
        <f>IF(RawTable[[#This Row],[Entity_Type]]&lt;&gt;"Employee",RawTable[[#This Row],[Entity_Type]],
IF(RawTable[[#This Row],[Country]]="Switzerland","Direct","EOR")
)</f>
        <v>Contractor</v>
      </c>
      <c r="T274" t="str">
        <f>IF(RawTable[[#This Row],[Employment_Model]]&lt;&gt;"EOR","",
IFERROR(VLOOKUP(RawTable[[#This Row],[Country]],EORMap[#All],3,FALSE),"")
)</f>
        <v/>
      </c>
    </row>
    <row r="275" spans="1:20">
      <c r="A275" s="24">
        <v>274</v>
      </c>
      <c r="B275" s="1" t="s">
        <v>35</v>
      </c>
      <c r="C275" s="3" t="s">
        <v>19</v>
      </c>
      <c r="D275" s="3" t="str">
        <f>IFERROR(VLOOKUP(RawTable[[#This Row],[Entity_Type]], EntityMap[], 2, FALSE), "")</f>
        <v>Contractor_Fee</v>
      </c>
      <c r="E275" s="3" t="s">
        <v>8</v>
      </c>
      <c r="F275" s="3" t="s">
        <v>75</v>
      </c>
      <c r="G275" s="3" t="str">
        <f>IFERROR(VLOOKUP(RawTable[[#This Row],[Name]], Name_Master!$A:$E, 4, FALSE), "")</f>
        <v>CH930000000001159960</v>
      </c>
      <c r="H27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CON-UAE-202601-000274</v>
      </c>
      <c r="I275" s="1">
        <f>IF(RawTable[[#This Row],[Month]]="","",DATE(YEAR(RawTable[[#This Row],[Month]]),MONTH(RawTable[[#This Row],[Month]]),1))</f>
        <v>46023</v>
      </c>
      <c r="J27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75" s="3" t="s">
        <v>9</v>
      </c>
      <c r="L275" s="4">
        <v>18113.919999999998</v>
      </c>
      <c r="M275" s="2" t="str">
        <f>IF(RawTable[[#This Row],[Net_Amount]]="","",IF(RawTable[[#This Row],[Payment_Type]]="Vendor_Invoice","Yes","No"))</f>
        <v>No</v>
      </c>
      <c r="N275" s="6">
        <f>IF(D275="Vendor_Invoice",
     IFERROR(
         INDEX(System_Master_Data!$B$9:$B$14,
               MATCH(E275,System_Master_Data!$A$9:$A$14,0)
         ),
     0),
0)</f>
        <v>0</v>
      </c>
      <c r="O275" s="4">
        <f t="shared" si="8"/>
        <v>0</v>
      </c>
      <c r="P275" s="4">
        <f t="shared" si="9"/>
        <v>18113.919999999998</v>
      </c>
      <c r="Q275" s="56">
        <f>IFERROR(VLOOKUP(RawTable[[#This Row],[Currency]], System_Master_Data!$A$24:$B$29, 2, FALSE), "")</f>
        <v>0.21065</v>
      </c>
      <c r="R275">
        <f>IF(RawTable[[#This Row],[Exchange_Rate]]="","",ROUND(RawTable[[#This Row],[Gross_Amount]]*RawTable[[#This Row],[Exchange_Rate]],2))</f>
        <v>3815.7</v>
      </c>
      <c r="S275" t="str">
        <f>IF(RawTable[[#This Row],[Entity_Type]]&lt;&gt;"Employee",RawTable[[#This Row],[Entity_Type]],
IF(RawTable[[#This Row],[Country]]="Switzerland","Direct","EOR")
)</f>
        <v>Contractor</v>
      </c>
      <c r="T275" t="str">
        <f>IF(RawTable[[#This Row],[Employment_Model]]&lt;&gt;"EOR","",
IFERROR(VLOOKUP(RawTable[[#This Row],[Country]],EORMap[#All],3,FALSE),"")
)</f>
        <v/>
      </c>
    </row>
    <row r="276" spans="1:20">
      <c r="A276" s="24">
        <v>275</v>
      </c>
      <c r="B276" s="1" t="s">
        <v>30</v>
      </c>
      <c r="C276" s="3" t="s">
        <v>19</v>
      </c>
      <c r="D276" s="3" t="str">
        <f>IFERROR(VLOOKUP(RawTable[[#This Row],[Entity_Type]], EntityMap[], 2, FALSE), "")</f>
        <v>Contractor_Fee</v>
      </c>
      <c r="E276" s="3" t="s">
        <v>6</v>
      </c>
      <c r="F276" s="3" t="s">
        <v>62</v>
      </c>
      <c r="G276" s="3" t="str">
        <f>IFERROR(VLOOKUP(RawTable[[#This Row],[Name]], Name_Master!$A:$E, 4, FALSE), "")</f>
        <v>US-RT-000041956-AC-0000193052</v>
      </c>
      <c r="H27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CON-USA-202603-000275</v>
      </c>
      <c r="I276" s="1">
        <f>IF(RawTable[[#This Row],[Month]]="","",DATE(YEAR(RawTable[[#This Row],[Month]]),MONTH(RawTable[[#This Row],[Month]]),1))</f>
        <v>46082</v>
      </c>
      <c r="J27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76" s="3" t="s">
        <v>7</v>
      </c>
      <c r="L276" s="4">
        <v>5892.88</v>
      </c>
      <c r="M276" s="2" t="str">
        <f>IF(RawTable[[#This Row],[Net_Amount]]="","",IF(RawTable[[#This Row],[Payment_Type]]="Vendor_Invoice","Yes","No"))</f>
        <v>No</v>
      </c>
      <c r="N276" s="6">
        <f>IF(D276="Vendor_Invoice",
     IFERROR(
         INDEX(System_Master_Data!$B$9:$B$14,
               MATCH(E276,System_Master_Data!$A$9:$A$14,0)
         ),
     0),
0)</f>
        <v>0</v>
      </c>
      <c r="O276" s="4">
        <f t="shared" si="8"/>
        <v>0</v>
      </c>
      <c r="P276" s="4">
        <f t="shared" si="9"/>
        <v>5892.88</v>
      </c>
      <c r="Q276" s="56">
        <f>IFERROR(VLOOKUP(RawTable[[#This Row],[Currency]], System_Master_Data!$A$24:$B$29, 2, FALSE), "")</f>
        <v>0.77017999999999998</v>
      </c>
      <c r="R276">
        <f>IF(RawTable[[#This Row],[Exchange_Rate]]="","",ROUND(RawTable[[#This Row],[Gross_Amount]]*RawTable[[#This Row],[Exchange_Rate]],2))</f>
        <v>4538.58</v>
      </c>
      <c r="S276" t="str">
        <f>IF(RawTable[[#This Row],[Entity_Type]]&lt;&gt;"Employee",RawTable[[#This Row],[Entity_Type]],
IF(RawTable[[#This Row],[Country]]="Switzerland","Direct","EOR")
)</f>
        <v>Contractor</v>
      </c>
      <c r="T276" t="str">
        <f>IF(RawTable[[#This Row],[Employment_Model]]&lt;&gt;"EOR","",
IFERROR(VLOOKUP(RawTable[[#This Row],[Country]],EORMap[#All],3,FALSE),"")
)</f>
        <v/>
      </c>
    </row>
    <row r="277" spans="1:20">
      <c r="A277" s="24">
        <v>276</v>
      </c>
      <c r="B277" s="1" t="s">
        <v>28</v>
      </c>
      <c r="C277" s="3" t="s">
        <v>19</v>
      </c>
      <c r="D277" s="3" t="str">
        <f>IFERROR(VLOOKUP(RawTable[[#This Row],[Entity_Type]], EntityMap[], 2, FALSE), "")</f>
        <v>Contractor_Fee</v>
      </c>
      <c r="E277" s="3" t="s">
        <v>8</v>
      </c>
      <c r="F277" s="3" t="s">
        <v>100</v>
      </c>
      <c r="G277" s="3" t="str">
        <f>IFERROR(VLOOKUP(RawTable[[#This Row],[Name]], Name_Master!$A:$E, 4, FALSE), "")</f>
        <v>DE890000000000977688</v>
      </c>
      <c r="H27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CON-UAE-202602-000276</v>
      </c>
      <c r="I277" s="1">
        <f>IF(RawTable[[#This Row],[Month]]="","",DATE(YEAR(RawTable[[#This Row],[Month]]),MONTH(RawTable[[#This Row],[Month]]),1))</f>
        <v>46054</v>
      </c>
      <c r="J27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77" s="3" t="s">
        <v>9</v>
      </c>
      <c r="L277" s="4">
        <v>17506.79</v>
      </c>
      <c r="M277" s="2" t="str">
        <f>IF(RawTable[[#This Row],[Net_Amount]]="","",IF(RawTable[[#This Row],[Payment_Type]]="Vendor_Invoice","Yes","No"))</f>
        <v>No</v>
      </c>
      <c r="N277" s="6">
        <f>IF(D277="Vendor_Invoice",
     IFERROR(
         INDEX(System_Master_Data!$B$9:$B$14,
               MATCH(E277,System_Master_Data!$A$9:$A$14,0)
         ),
     0),
0)</f>
        <v>0</v>
      </c>
      <c r="O277" s="4">
        <f t="shared" si="8"/>
        <v>0</v>
      </c>
      <c r="P277" s="4">
        <f t="shared" si="9"/>
        <v>17506.79</v>
      </c>
      <c r="Q277" s="56">
        <f>IFERROR(VLOOKUP(RawTable[[#This Row],[Currency]], System_Master_Data!$A$24:$B$29, 2, FALSE), "")</f>
        <v>0.21065</v>
      </c>
      <c r="R277">
        <f>IF(RawTable[[#This Row],[Exchange_Rate]]="","",ROUND(RawTable[[#This Row],[Gross_Amount]]*RawTable[[#This Row],[Exchange_Rate]],2))</f>
        <v>3687.81</v>
      </c>
      <c r="S277" t="str">
        <f>IF(RawTable[[#This Row],[Entity_Type]]&lt;&gt;"Employee",RawTable[[#This Row],[Entity_Type]],
IF(RawTable[[#This Row],[Country]]="Switzerland","Direct","EOR")
)</f>
        <v>Contractor</v>
      </c>
      <c r="T277" t="str">
        <f>IF(RawTable[[#This Row],[Employment_Model]]&lt;&gt;"EOR","",
IFERROR(VLOOKUP(RawTable[[#This Row],[Country]],EORMap[#All],3,FALSE),"")
)</f>
        <v/>
      </c>
    </row>
    <row r="278" spans="1:20">
      <c r="A278" s="24">
        <v>277</v>
      </c>
      <c r="B278" s="1" t="s">
        <v>35</v>
      </c>
      <c r="C278" s="3" t="s">
        <v>19</v>
      </c>
      <c r="D278" s="3" t="str">
        <f>IFERROR(VLOOKUP(RawTable[[#This Row],[Entity_Type]], EntityMap[], 2, FALSE), "")</f>
        <v>Contractor_Fee</v>
      </c>
      <c r="E278" s="3" t="s">
        <v>6</v>
      </c>
      <c r="F278" s="3" t="s">
        <v>91</v>
      </c>
      <c r="G278" s="3" t="str">
        <f>IFERROR(VLOOKUP(RawTable[[#This Row],[Name]], Name_Master!$A:$E, 4, FALSE), "")</f>
        <v>JO-IBAN-00777735</v>
      </c>
      <c r="H27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CON-USA-202601-000277</v>
      </c>
      <c r="I278" s="1">
        <f>IF(RawTable[[#This Row],[Month]]="","",DATE(YEAR(RawTable[[#This Row],[Month]]),MONTH(RawTable[[#This Row],[Month]]),1))</f>
        <v>46023</v>
      </c>
      <c r="J27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78" s="3" t="s">
        <v>7</v>
      </c>
      <c r="L278" s="4">
        <v>6010.17</v>
      </c>
      <c r="M278" s="2" t="str">
        <f>IF(RawTable[[#This Row],[Net_Amount]]="","",IF(RawTable[[#This Row],[Payment_Type]]="Vendor_Invoice","Yes","No"))</f>
        <v>No</v>
      </c>
      <c r="N278" s="6">
        <f>IF(D278="Vendor_Invoice",
     IFERROR(
         INDEX(System_Master_Data!$B$9:$B$14,
               MATCH(E278,System_Master_Data!$A$9:$A$14,0)
         ),
     0),
0)</f>
        <v>0</v>
      </c>
      <c r="O278" s="4">
        <f t="shared" si="8"/>
        <v>0</v>
      </c>
      <c r="P278" s="4">
        <f t="shared" si="9"/>
        <v>6010.17</v>
      </c>
      <c r="Q278" s="56">
        <f>IFERROR(VLOOKUP(RawTable[[#This Row],[Currency]], System_Master_Data!$A$24:$B$29, 2, FALSE), "")</f>
        <v>0.77017999999999998</v>
      </c>
      <c r="R278">
        <f>IF(RawTable[[#This Row],[Exchange_Rate]]="","",ROUND(RawTable[[#This Row],[Gross_Amount]]*RawTable[[#This Row],[Exchange_Rate]],2))</f>
        <v>4628.91</v>
      </c>
      <c r="S278" t="str">
        <f>IF(RawTable[[#This Row],[Entity_Type]]&lt;&gt;"Employee",RawTable[[#This Row],[Entity_Type]],
IF(RawTable[[#This Row],[Country]]="Switzerland","Direct","EOR")
)</f>
        <v>Contractor</v>
      </c>
      <c r="T278" t="str">
        <f>IF(RawTable[[#This Row],[Employment_Model]]&lt;&gt;"EOR","",
IFERROR(VLOOKUP(RawTable[[#This Row],[Country]],EORMap[#All],3,FALSE),"")
)</f>
        <v/>
      </c>
    </row>
    <row r="279" spans="1:20">
      <c r="A279" s="24">
        <v>277</v>
      </c>
      <c r="B279" s="1" t="s">
        <v>35</v>
      </c>
      <c r="C279" s="3" t="s">
        <v>19</v>
      </c>
      <c r="D279" s="3" t="str">
        <f>IFERROR(VLOOKUP(RawTable[[#This Row],[Entity_Type]], EntityMap[], 2, FALSE), "")</f>
        <v>Contractor_Fee</v>
      </c>
      <c r="E279" s="3" t="s">
        <v>6</v>
      </c>
      <c r="F279" s="3" t="s">
        <v>67</v>
      </c>
      <c r="G279" s="3" t="str">
        <f>IFERROR(VLOOKUP(RawTable[[#This Row],[Name]], Name_Master!$A:$E, 4, FALSE), "")</f>
        <v>CH930000000000962520</v>
      </c>
      <c r="H27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CON-USA-202601-000277</v>
      </c>
      <c r="I279" s="1">
        <f>IF(RawTable[[#This Row],[Month]]="","",DATE(YEAR(RawTable[[#This Row],[Month]]),MONTH(RawTable[[#This Row],[Month]]),1))</f>
        <v>46023</v>
      </c>
      <c r="J27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79" s="3" t="s">
        <v>7</v>
      </c>
      <c r="L279" s="4">
        <v>6114.64</v>
      </c>
      <c r="M279" s="2" t="str">
        <f>IF(RawTable[[#This Row],[Net_Amount]]="","",IF(RawTable[[#This Row],[Payment_Type]]="Vendor_Invoice","Yes","No"))</f>
        <v>No</v>
      </c>
      <c r="N279" s="6">
        <f>IF(D279="Vendor_Invoice",
     IFERROR(
         INDEX(System_Master_Data!$B$9:$B$14,
               MATCH(E279,System_Master_Data!$A$9:$A$14,0)
         ),
     0),
0)</f>
        <v>0</v>
      </c>
      <c r="O279" s="4">
        <f t="shared" si="8"/>
        <v>0</v>
      </c>
      <c r="P279" s="4">
        <f t="shared" si="9"/>
        <v>6114.64</v>
      </c>
      <c r="Q279" s="56">
        <f>IFERROR(VLOOKUP(RawTable[[#This Row],[Currency]], System_Master_Data!$A$24:$B$29, 2, FALSE), "")</f>
        <v>0.77017999999999998</v>
      </c>
      <c r="R279">
        <f>IF(RawTable[[#This Row],[Exchange_Rate]]="","",ROUND(RawTable[[#This Row],[Gross_Amount]]*RawTable[[#This Row],[Exchange_Rate]],2))</f>
        <v>4709.37</v>
      </c>
      <c r="S279" t="str">
        <f>IF(RawTable[[#This Row],[Entity_Type]]&lt;&gt;"Employee",RawTable[[#This Row],[Entity_Type]],
IF(RawTable[[#This Row],[Country]]="Switzerland","Direct","EOR")
)</f>
        <v>Contractor</v>
      </c>
      <c r="T279" t="str">
        <f>IF(RawTable[[#This Row],[Employment_Model]]&lt;&gt;"EOR","",
IFERROR(VLOOKUP(RawTable[[#This Row],[Country]],EORMap[#All],3,FALSE),"")
)</f>
        <v/>
      </c>
    </row>
    <row r="280" spans="1:20">
      <c r="A280" s="24">
        <v>279</v>
      </c>
      <c r="B280" s="1" t="s">
        <v>28</v>
      </c>
      <c r="C280" s="3" t="s">
        <v>19</v>
      </c>
      <c r="D280" s="3" t="str">
        <f>IFERROR(VLOOKUP(RawTable[[#This Row],[Entity_Type]], EntityMap[], 2, FALSE), "")</f>
        <v>Contractor_Fee</v>
      </c>
      <c r="E280" s="3" t="s">
        <v>6</v>
      </c>
      <c r="F280" s="3" t="s">
        <v>116</v>
      </c>
      <c r="G280" s="3" t="str">
        <f>IFERROR(VLOOKUP(RawTable[[#This Row],[Name]], Name_Master!$A:$E, 4, FALSE), "")</f>
        <v>AE-IBAN-04780248</v>
      </c>
      <c r="H28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CON-USA-202602-000279</v>
      </c>
      <c r="I280" s="1">
        <f>IF(RawTable[[#This Row],[Month]]="","",DATE(YEAR(RawTable[[#This Row],[Month]]),MONTH(RawTable[[#This Row],[Month]]),1))</f>
        <v>46054</v>
      </c>
      <c r="J28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80" s="3" t="s">
        <v>7</v>
      </c>
      <c r="L280" s="4">
        <v>5307.12</v>
      </c>
      <c r="M280" s="2" t="str">
        <f>IF(RawTable[[#This Row],[Net_Amount]]="","",IF(RawTable[[#This Row],[Payment_Type]]="Vendor_Invoice","Yes","No"))</f>
        <v>No</v>
      </c>
      <c r="N280" s="6">
        <f>IF(D280="Vendor_Invoice",
     IFERROR(
         INDEX(System_Master_Data!$B$9:$B$14,
               MATCH(E280,System_Master_Data!$A$9:$A$14,0)
         ),
     0),
0)</f>
        <v>0</v>
      </c>
      <c r="O280" s="4">
        <f t="shared" si="8"/>
        <v>0</v>
      </c>
      <c r="P280" s="4">
        <f t="shared" si="9"/>
        <v>5307.12</v>
      </c>
      <c r="Q280" s="56">
        <f>IFERROR(VLOOKUP(RawTable[[#This Row],[Currency]], System_Master_Data!$A$24:$B$29, 2, FALSE), "")</f>
        <v>0.77017999999999998</v>
      </c>
      <c r="R280">
        <f>IF(RawTable[[#This Row],[Exchange_Rate]]="","",ROUND(RawTable[[#This Row],[Gross_Amount]]*RawTable[[#This Row],[Exchange_Rate]],2))</f>
        <v>4087.44</v>
      </c>
      <c r="S280" t="str">
        <f>IF(RawTable[[#This Row],[Entity_Type]]&lt;&gt;"Employee",RawTable[[#This Row],[Entity_Type]],
IF(RawTable[[#This Row],[Country]]="Switzerland","Direct","EOR")
)</f>
        <v>Contractor</v>
      </c>
      <c r="T280" t="str">
        <f>IF(RawTable[[#This Row],[Employment_Model]]&lt;&gt;"EOR","",
IFERROR(VLOOKUP(RawTable[[#This Row],[Country]],EORMap[#All],3,FALSE),"")
)</f>
        <v/>
      </c>
    </row>
    <row r="281" spans="1:20">
      <c r="A281" s="24">
        <v>280</v>
      </c>
      <c r="B281" s="1" t="s">
        <v>28</v>
      </c>
      <c r="C281" s="3" t="s">
        <v>19</v>
      </c>
      <c r="D281" s="3" t="str">
        <f>IFERROR(VLOOKUP(RawTable[[#This Row],[Entity_Type]], EntityMap[], 2, FALSE), "")</f>
        <v>Contractor_Fee</v>
      </c>
      <c r="E281" s="3" t="s">
        <v>6</v>
      </c>
      <c r="F281" s="3" t="s">
        <v>99</v>
      </c>
      <c r="G281" s="3" t="str">
        <f>IFERROR(VLOOKUP(RawTable[[#This Row],[Name]], Name_Master!$A:$E, 4, FALSE), "")</f>
        <v>CH930000000001752280</v>
      </c>
      <c r="H28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CON-USA-202602-000280</v>
      </c>
      <c r="I281" s="1">
        <f>IF(RawTable[[#This Row],[Month]]="","",DATE(YEAR(RawTable[[#This Row],[Month]]),MONTH(RawTable[[#This Row],[Month]]),1))</f>
        <v>46054</v>
      </c>
      <c r="J28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81" s="3" t="s">
        <v>7</v>
      </c>
      <c r="L281" s="4">
        <v>5696.01</v>
      </c>
      <c r="M281" s="2" t="str">
        <f>IF(RawTable[[#This Row],[Net_Amount]]="","",IF(RawTable[[#This Row],[Payment_Type]]="Vendor_Invoice","Yes","No"))</f>
        <v>No</v>
      </c>
      <c r="N281" s="6">
        <f>IF(D281="Vendor_Invoice",
     IFERROR(
         INDEX(System_Master_Data!$B$9:$B$14,
               MATCH(E281,System_Master_Data!$A$9:$A$14,0)
         ),
     0),
0)</f>
        <v>0</v>
      </c>
      <c r="O281" s="4">
        <f t="shared" si="8"/>
        <v>0</v>
      </c>
      <c r="P281" s="4">
        <f t="shared" si="9"/>
        <v>5696.01</v>
      </c>
      <c r="Q281" s="56">
        <f>IFERROR(VLOOKUP(RawTable[[#This Row],[Currency]], System_Master_Data!$A$24:$B$29, 2, FALSE), "")</f>
        <v>0.77017999999999998</v>
      </c>
      <c r="R281">
        <f>IF(RawTable[[#This Row],[Exchange_Rate]]="","",ROUND(RawTable[[#This Row],[Gross_Amount]]*RawTable[[#This Row],[Exchange_Rate]],2))</f>
        <v>4386.95</v>
      </c>
      <c r="S281" t="str">
        <f>IF(RawTable[[#This Row],[Entity_Type]]&lt;&gt;"Employee",RawTable[[#This Row],[Entity_Type]],
IF(RawTable[[#This Row],[Country]]="Switzerland","Direct","EOR")
)</f>
        <v>Contractor</v>
      </c>
      <c r="T281" t="str">
        <f>IF(RawTable[[#This Row],[Employment_Model]]&lt;&gt;"EOR","",
IFERROR(VLOOKUP(RawTable[[#This Row],[Country]],EORMap[#All],3,FALSE),"")
)</f>
        <v/>
      </c>
    </row>
    <row r="282" spans="1:20">
      <c r="A282" s="24">
        <v>281</v>
      </c>
      <c r="B282" s="1" t="s">
        <v>28</v>
      </c>
      <c r="C282" s="3" t="s">
        <v>20</v>
      </c>
      <c r="D282" s="3" t="str">
        <f>IFERROR(VLOOKUP(RawTable[[#This Row],[Entity_Type]], EntityMap[], 2, FALSE), "")</f>
        <v>Vendor_Invoice</v>
      </c>
      <c r="E282" s="3" t="s">
        <v>2</v>
      </c>
      <c r="F282" s="3" t="s">
        <v>121</v>
      </c>
      <c r="G282" s="3" t="str">
        <f>IFERROR(VLOOKUP(RawTable[[#This Row],[Name]], Name_Master!$A:$E, 4, FALSE), "")</f>
        <v>CH930000000002295240</v>
      </c>
      <c r="H28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VEN-Switzerland-202602-000281</v>
      </c>
      <c r="I282" s="1">
        <f>IF(RawTable[[#This Row],[Month]]="","",DATE(YEAR(RawTable[[#This Row],[Month]]),MONTH(RawTable[[#This Row],[Month]]),1))</f>
        <v>46054</v>
      </c>
      <c r="J28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46084</v>
      </c>
      <c r="K282" s="3" t="s">
        <v>3</v>
      </c>
      <c r="L282" s="4">
        <v>5820.75</v>
      </c>
      <c r="M282" s="2" t="str">
        <f>IF(RawTable[[#This Row],[Net_Amount]]="","",IF(RawTable[[#This Row],[Payment_Type]]="Vendor_Invoice","Yes","No"))</f>
        <v>Yes</v>
      </c>
      <c r="N282" s="6">
        <f>IF(D282="Vendor_Invoice",
     IFERROR(
         INDEX(System_Master_Data!$B$9:$B$14,
               MATCH(E282,System_Master_Data!$A$9:$A$14,0)
         ),
     0),
0)</f>
        <v>8.1000000000000003E-2</v>
      </c>
      <c r="O282" s="4">
        <v>450</v>
      </c>
      <c r="P282" s="4">
        <f t="shared" si="9"/>
        <v>6270.75</v>
      </c>
      <c r="Q282" s="56">
        <f>IFERROR(VLOOKUP(RawTable[[#This Row],[Currency]], System_Master_Data!$A$24:$B$29, 2, FALSE), "")</f>
        <v>1</v>
      </c>
      <c r="R282">
        <f>IF(RawTable[[#This Row],[Exchange_Rate]]="","",ROUND(RawTable[[#This Row],[Gross_Amount]]*RawTable[[#This Row],[Exchange_Rate]],2))</f>
        <v>6270.75</v>
      </c>
      <c r="S282" t="str">
        <f>IF(RawTable[[#This Row],[Entity_Type]]&lt;&gt;"Employee",RawTable[[#This Row],[Entity_Type]],
IF(RawTable[[#This Row],[Country]]="Switzerland","Direct","EOR")
)</f>
        <v>Vendor</v>
      </c>
      <c r="T282" t="str">
        <f>IF(RawTable[[#This Row],[Employment_Model]]&lt;&gt;"EOR","",
IFERROR(VLOOKUP(RawTable[[#This Row],[Country]],EORMap[#All],3,FALSE),"")
)</f>
        <v/>
      </c>
    </row>
    <row r="283" spans="1:20">
      <c r="A283" s="24">
        <v>282</v>
      </c>
      <c r="B283" s="1" t="s">
        <v>35</v>
      </c>
      <c r="C283" s="3" t="s">
        <v>20</v>
      </c>
      <c r="D283" s="3" t="str">
        <f>IFERROR(VLOOKUP(RawTable[[#This Row],[Entity_Type]], EntityMap[], 2, FALSE), "")</f>
        <v>Vendor_Invoice</v>
      </c>
      <c r="E283" s="3" t="s">
        <v>10</v>
      </c>
      <c r="F283" s="3" t="s">
        <v>121</v>
      </c>
      <c r="G283" s="3" t="str">
        <f>IFERROR(VLOOKUP(RawTable[[#This Row],[Name]], Name_Master!$A:$E, 4, FALSE), "")</f>
        <v>CH930000000002295240</v>
      </c>
      <c r="H28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VEN-Jordan-202601-000282</v>
      </c>
      <c r="I283" s="1">
        <f>IF(RawTable[[#This Row],[Month]]="","",DATE(YEAR(RawTable[[#This Row],[Month]]),MONTH(RawTable[[#This Row],[Month]]),1))</f>
        <v>46023</v>
      </c>
      <c r="J28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283" s="3" t="s">
        <v>11</v>
      </c>
      <c r="L283" s="4">
        <v>6268.5</v>
      </c>
      <c r="M283" s="2" t="str">
        <f>IF(RawTable[[#This Row],[Net_Amount]]="","",IF(RawTable[[#This Row],[Payment_Type]]="Vendor_Invoice","Yes","No"))</f>
        <v>Yes</v>
      </c>
      <c r="N283" s="6">
        <f>IF(D283="Vendor_Invoice",
     IFERROR(
         INDEX(System_Master_Data!$B$9:$B$14,
               MATCH(E283,System_Master_Data!$A$9:$A$14,0)
         ),
     0),
0)</f>
        <v>0.16</v>
      </c>
      <c r="O283" s="4">
        <f t="shared" si="8"/>
        <v>1002.96</v>
      </c>
      <c r="P283" s="4">
        <f t="shared" si="9"/>
        <v>7271.46</v>
      </c>
      <c r="Q283" s="56">
        <f>IFERROR(VLOOKUP(RawTable[[#This Row],[Currency]], System_Master_Data!$A$24:$B$29, 2, FALSE), "")</f>
        <v>1.08643</v>
      </c>
      <c r="R283">
        <f>IF(RawTable[[#This Row],[Exchange_Rate]]="","",ROUND(RawTable[[#This Row],[Gross_Amount]]*RawTable[[#This Row],[Exchange_Rate]],2))</f>
        <v>7899.93</v>
      </c>
      <c r="S283" t="str">
        <f>IF(RawTable[[#This Row],[Entity_Type]]&lt;&gt;"Employee",RawTable[[#This Row],[Entity_Type]],
IF(RawTable[[#This Row],[Country]]="Switzerland","Direct","EOR")
)</f>
        <v>Vendor</v>
      </c>
      <c r="T283" t="str">
        <f>IF(RawTable[[#This Row],[Employment_Model]]&lt;&gt;"EOR","",
IFERROR(VLOOKUP(RawTable[[#This Row],[Country]],EORMap[#All],3,FALSE),"")
)</f>
        <v/>
      </c>
    </row>
    <row r="284" spans="1:20">
      <c r="A284" s="24">
        <v>283</v>
      </c>
      <c r="B284" s="1" t="s">
        <v>30</v>
      </c>
      <c r="C284" s="3" t="s">
        <v>20</v>
      </c>
      <c r="D284" s="3" t="str">
        <f>IFERROR(VLOOKUP(RawTable[[#This Row],[Entity_Type]], EntityMap[], 2, FALSE), "")</f>
        <v>Vendor_Invoice</v>
      </c>
      <c r="E284" s="3" t="s">
        <v>10</v>
      </c>
      <c r="F284" s="3" t="s">
        <v>122</v>
      </c>
      <c r="G284" s="3" t="str">
        <f>IFERROR(VLOOKUP(RawTable[[#This Row],[Name]], Name_Master!$A:$E, 4, FALSE), "")</f>
        <v>JO-IBAN-01160430</v>
      </c>
      <c r="H28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VEN-Jordan-202603-000283</v>
      </c>
      <c r="I284" s="1">
        <f>IF(RawTable[[#This Row],[Month]]="","",DATE(YEAR(RawTable[[#This Row],[Month]]),MONTH(RawTable[[#This Row],[Month]]),1))</f>
        <v>46082</v>
      </c>
      <c r="J28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284" s="3" t="s">
        <v>11</v>
      </c>
      <c r="L284" s="4">
        <v>1606.72</v>
      </c>
      <c r="M284" s="2" t="str">
        <f>IF(RawTable[[#This Row],[Net_Amount]]="","",IF(RawTable[[#This Row],[Payment_Type]]="Vendor_Invoice","Yes","No"))</f>
        <v>Yes</v>
      </c>
      <c r="N284" s="6">
        <f>IF(D284="Vendor_Invoice",
     IFERROR(
         INDEX(System_Master_Data!$B$9:$B$14,
               MATCH(E284,System_Master_Data!$A$9:$A$14,0)
         ),
     0),
0)</f>
        <v>0.16</v>
      </c>
      <c r="O284" s="4">
        <f t="shared" si="8"/>
        <v>257.0752</v>
      </c>
      <c r="P284" s="4">
        <f t="shared" si="9"/>
        <v>1863.7952</v>
      </c>
      <c r="Q284" s="56">
        <f>IFERROR(VLOOKUP(RawTable[[#This Row],[Currency]], System_Master_Data!$A$24:$B$29, 2, FALSE), "")</f>
        <v>1.08643</v>
      </c>
      <c r="R284">
        <f>IF(RawTable[[#This Row],[Exchange_Rate]]="","",ROUND(RawTable[[#This Row],[Gross_Amount]]*RawTable[[#This Row],[Exchange_Rate]],2))</f>
        <v>2024.88</v>
      </c>
      <c r="S284" t="str">
        <f>IF(RawTable[[#This Row],[Entity_Type]]&lt;&gt;"Employee",RawTable[[#This Row],[Entity_Type]],
IF(RawTable[[#This Row],[Country]]="Switzerland","Direct","EOR")
)</f>
        <v>Vendor</v>
      </c>
      <c r="T284" t="str">
        <f>IF(RawTable[[#This Row],[Employment_Model]]&lt;&gt;"EOR","",
IFERROR(VLOOKUP(RawTable[[#This Row],[Country]],EORMap[#All],3,FALSE),"")
)</f>
        <v/>
      </c>
    </row>
    <row r="285" spans="1:20">
      <c r="A285" s="24">
        <v>284</v>
      </c>
      <c r="B285" s="1" t="s">
        <v>30</v>
      </c>
      <c r="C285" s="3" t="s">
        <v>20</v>
      </c>
      <c r="D285" s="3" t="str">
        <f>IFERROR(VLOOKUP(RawTable[[#This Row],[Entity_Type]], EntityMap[], 2, FALSE), "")</f>
        <v>Vendor_Invoice</v>
      </c>
      <c r="E285" s="3" t="s">
        <v>2</v>
      </c>
      <c r="F285" s="3" t="s">
        <v>123</v>
      </c>
      <c r="G285" s="3" t="str">
        <f>IFERROR(VLOOKUP(RawTable[[#This Row],[Name]], Name_Master!$A:$E, 4, FALSE), "")</f>
        <v>CH930000000002344600</v>
      </c>
      <c r="H28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VEN-Switzerland-202603-000284</v>
      </c>
      <c r="I285" s="1">
        <f>IF(RawTable[[#This Row],[Month]]="","",DATE(YEAR(RawTable[[#This Row],[Month]]),MONTH(RawTable[[#This Row],[Month]]),1))</f>
        <v>46082</v>
      </c>
      <c r="J28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285" s="3" t="s">
        <v>3</v>
      </c>
      <c r="L285" s="4">
        <v>5281.38</v>
      </c>
      <c r="M285" s="2" t="str">
        <f>IF(RawTable[[#This Row],[Net_Amount]]="","",IF(RawTable[[#This Row],[Payment_Type]]="Vendor_Invoice","Yes","No"))</f>
        <v>Yes</v>
      </c>
      <c r="N285" s="6">
        <f>IF(D285="Vendor_Invoice",
     IFERROR(
         INDEX(System_Master_Data!$B$9:$B$14,
               MATCH(E285,System_Master_Data!$A$9:$A$14,0)
         ),
     0),
0)</f>
        <v>8.1000000000000003E-2</v>
      </c>
      <c r="O285" s="4">
        <f t="shared" si="8"/>
        <v>427.79178000000002</v>
      </c>
      <c r="P285" s="4">
        <f t="shared" si="9"/>
        <v>5709.1717800000006</v>
      </c>
      <c r="Q285" s="56">
        <f>IFERROR(VLOOKUP(RawTable[[#This Row],[Currency]], System_Master_Data!$A$24:$B$29, 2, FALSE), "")</f>
        <v>1</v>
      </c>
      <c r="R285">
        <f>IF(RawTable[[#This Row],[Exchange_Rate]]="","",ROUND(RawTable[[#This Row],[Gross_Amount]]*RawTable[[#This Row],[Exchange_Rate]],2))</f>
        <v>5709.17</v>
      </c>
      <c r="S285" t="str">
        <f>IF(RawTable[[#This Row],[Entity_Type]]&lt;&gt;"Employee",RawTable[[#This Row],[Entity_Type]],
IF(RawTable[[#This Row],[Country]]="Switzerland","Direct","EOR")
)</f>
        <v>Vendor</v>
      </c>
      <c r="T285" t="str">
        <f>IF(RawTable[[#This Row],[Employment_Model]]&lt;&gt;"EOR","",
IFERROR(VLOOKUP(RawTable[[#This Row],[Country]],EORMap[#All],3,FALSE),"")
)</f>
        <v/>
      </c>
    </row>
    <row r="286" spans="1:20">
      <c r="A286" s="24">
        <v>285</v>
      </c>
      <c r="B286" s="1" t="s">
        <v>35</v>
      </c>
      <c r="C286" s="3" t="s">
        <v>20</v>
      </c>
      <c r="D286" s="3" t="str">
        <f>IFERROR(VLOOKUP(RawTable[[#This Row],[Entity_Type]], EntityMap[], 2, FALSE), "")</f>
        <v>Vendor_Invoice</v>
      </c>
      <c r="E286" s="3" t="s">
        <v>6</v>
      </c>
      <c r="F286" s="3" t="s">
        <v>123</v>
      </c>
      <c r="G286" s="3" t="str">
        <f>IFERROR(VLOOKUP(RawTable[[#This Row],[Name]], Name_Master!$A:$E, 4, FALSE), "")</f>
        <v>CH930000000002344600</v>
      </c>
      <c r="H28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VEN-USA-202601-000285</v>
      </c>
      <c r="I286" s="1">
        <f>IF(RawTable[[#This Row],[Month]]="","",DATE(YEAR(RawTable[[#This Row],[Month]]),MONTH(RawTable[[#This Row],[Month]]),1))</f>
        <v>46023</v>
      </c>
      <c r="J28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286" s="3" t="s">
        <v>7</v>
      </c>
      <c r="L286" s="4">
        <v>5687.64</v>
      </c>
      <c r="M286" s="2" t="str">
        <f>IF(RawTable[[#This Row],[Net_Amount]]="","",IF(RawTable[[#This Row],[Payment_Type]]="Vendor_Invoice","Yes","No"))</f>
        <v>Yes</v>
      </c>
      <c r="N286" s="6">
        <f>IF(D286="Vendor_Invoice",
     IFERROR(
         INDEX(System_Master_Data!$B$9:$B$14,
               MATCH(E286,System_Master_Data!$A$9:$A$14,0)
         ),
     0),
0)</f>
        <v>0.05</v>
      </c>
      <c r="O286" s="4">
        <f t="shared" si="8"/>
        <v>284.38200000000001</v>
      </c>
      <c r="P286" s="4">
        <f t="shared" si="9"/>
        <v>5972.0219999999999</v>
      </c>
      <c r="Q286" s="56">
        <f>IFERROR(VLOOKUP(RawTable[[#This Row],[Currency]], System_Master_Data!$A$24:$B$29, 2, FALSE), "")</f>
        <v>0.77017999999999998</v>
      </c>
      <c r="R286">
        <f>IF(RawTable[[#This Row],[Exchange_Rate]]="","",ROUND(RawTable[[#This Row],[Gross_Amount]]*RawTable[[#This Row],[Exchange_Rate]],2))</f>
        <v>4599.53</v>
      </c>
      <c r="S286" t="str">
        <f>IF(RawTable[[#This Row],[Entity_Type]]&lt;&gt;"Employee",RawTable[[#This Row],[Entity_Type]],
IF(RawTable[[#This Row],[Country]]="Switzerland","Direct","EOR")
)</f>
        <v>Vendor</v>
      </c>
      <c r="T286" t="str">
        <f>IF(RawTable[[#This Row],[Employment_Model]]&lt;&gt;"EOR","",
IFERROR(VLOOKUP(RawTable[[#This Row],[Country]],EORMap[#All],3,FALSE),"")
)</f>
        <v/>
      </c>
    </row>
    <row r="287" spans="1:20">
      <c r="A287" s="24">
        <v>286</v>
      </c>
      <c r="B287" s="1" t="s">
        <v>35</v>
      </c>
      <c r="C287" s="3" t="s">
        <v>20</v>
      </c>
      <c r="D287" s="3" t="str">
        <f>IFERROR(VLOOKUP(RawTable[[#This Row],[Entity_Type]], EntityMap[], 2, FALSE), "")</f>
        <v>Vendor_Invoice</v>
      </c>
      <c r="E287" s="3" t="s">
        <v>8</v>
      </c>
      <c r="F287" s="3" t="s">
        <v>122</v>
      </c>
      <c r="G287" s="3" t="str">
        <f>IFERROR(VLOOKUP(RawTable[[#This Row],[Name]], Name_Master!$A:$E, 4, FALSE), "")</f>
        <v>JO-IBAN-01160430</v>
      </c>
      <c r="H28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VEN-UAE-202601-000286</v>
      </c>
      <c r="I287" s="1">
        <f>IF(RawTable[[#This Row],[Month]]="","",DATE(YEAR(RawTable[[#This Row],[Month]]),MONTH(RawTable[[#This Row],[Month]]),1))</f>
        <v>46023</v>
      </c>
      <c r="J28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287" s="3" t="s">
        <v>9</v>
      </c>
      <c r="L287" s="4">
        <v>19637.64</v>
      </c>
      <c r="M287" s="2" t="str">
        <f>IF(RawTable[[#This Row],[Net_Amount]]="","",IF(RawTable[[#This Row],[Payment_Type]]="Vendor_Invoice","Yes","No"))</f>
        <v>Yes</v>
      </c>
      <c r="N287" s="6">
        <f>IF(D287="Vendor_Invoice",
     IFERROR(
         INDEX(System_Master_Data!$B$9:$B$14,
               MATCH(E287,System_Master_Data!$A$9:$A$14,0)
         ),
     0),
0)</f>
        <v>0</v>
      </c>
      <c r="O287" s="4">
        <f t="shared" si="8"/>
        <v>0</v>
      </c>
      <c r="P287" s="4">
        <f t="shared" si="9"/>
        <v>19637.64</v>
      </c>
      <c r="Q287" s="56">
        <f>IFERROR(VLOOKUP(RawTable[[#This Row],[Currency]], System_Master_Data!$A$24:$B$29, 2, FALSE), "")</f>
        <v>0.21065</v>
      </c>
      <c r="R287">
        <f>IF(RawTable[[#This Row],[Exchange_Rate]]="","",ROUND(RawTable[[#This Row],[Gross_Amount]]*RawTable[[#This Row],[Exchange_Rate]],2))</f>
        <v>4136.67</v>
      </c>
      <c r="S287" t="str">
        <f>IF(RawTable[[#This Row],[Entity_Type]]&lt;&gt;"Employee",RawTable[[#This Row],[Entity_Type]],
IF(RawTable[[#This Row],[Country]]="Switzerland","Direct","EOR")
)</f>
        <v>Vendor</v>
      </c>
      <c r="T287" t="str">
        <f>IF(RawTable[[#This Row],[Employment_Model]]&lt;&gt;"EOR","",
IFERROR(VLOOKUP(RawTable[[#This Row],[Country]],EORMap[#All],3,FALSE),"")
)</f>
        <v/>
      </c>
    </row>
    <row r="288" spans="1:20">
      <c r="A288" s="24">
        <v>287</v>
      </c>
      <c r="B288" s="1" t="s">
        <v>28</v>
      </c>
      <c r="C288" s="3" t="s">
        <v>20</v>
      </c>
      <c r="D288" s="3" t="str">
        <f>IFERROR(VLOOKUP(RawTable[[#This Row],[Entity_Type]], EntityMap[], 2, FALSE), "")</f>
        <v>Vendor_Invoice</v>
      </c>
      <c r="E288" s="3" t="s">
        <v>6</v>
      </c>
      <c r="F288" s="3" t="s">
        <v>124</v>
      </c>
      <c r="G288" s="3" t="str">
        <f>IFERROR(VLOOKUP(RawTable[[#This Row],[Name]], Name_Master!$A:$E, 4, FALSE), "")</f>
        <v>US-RT-000118464-AC-0000545088</v>
      </c>
      <c r="H28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VEN-USA-202602-000287</v>
      </c>
      <c r="I288" s="1">
        <f>IF(RawTable[[#This Row],[Month]]="","",DATE(YEAR(RawTable[[#This Row],[Month]]),MONTH(RawTable[[#This Row],[Month]]),1))</f>
        <v>46054</v>
      </c>
      <c r="J28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46084</v>
      </c>
      <c r="K288" s="3" t="s">
        <v>7</v>
      </c>
      <c r="L288" s="4">
        <v>6615.63</v>
      </c>
      <c r="M288" s="2" t="str">
        <f>IF(RawTable[[#This Row],[Net_Amount]]="","",IF(RawTable[[#This Row],[Payment_Type]]="Vendor_Invoice","Yes","No"))</f>
        <v>Yes</v>
      </c>
      <c r="N288" s="6">
        <f>IF(D288="Vendor_Invoice",
     IFERROR(
         INDEX(System_Master_Data!$B$9:$B$14,
               MATCH(E288,System_Master_Data!$A$9:$A$14,0)
         ),
     0),
0)</f>
        <v>0.05</v>
      </c>
      <c r="O288" s="4">
        <f t="shared" si="8"/>
        <v>330.78150000000005</v>
      </c>
      <c r="P288" s="4">
        <f t="shared" si="9"/>
        <v>6946.4115000000002</v>
      </c>
      <c r="Q288" s="56">
        <f>IFERROR(VLOOKUP(RawTable[[#This Row],[Currency]], System_Master_Data!$A$24:$B$29, 2, FALSE), "")</f>
        <v>0.77017999999999998</v>
      </c>
      <c r="R288">
        <f>IF(RawTable[[#This Row],[Exchange_Rate]]="","",ROUND(RawTable[[#This Row],[Gross_Amount]]*RawTable[[#This Row],[Exchange_Rate]],2))</f>
        <v>5349.99</v>
      </c>
      <c r="S288" t="str">
        <f>IF(RawTable[[#This Row],[Entity_Type]]&lt;&gt;"Employee",RawTable[[#This Row],[Entity_Type]],
IF(RawTable[[#This Row],[Country]]="Switzerland","Direct","EOR")
)</f>
        <v>Vendor</v>
      </c>
      <c r="T288" t="str">
        <f>IF(RawTable[[#This Row],[Employment_Model]]&lt;&gt;"EOR","",
IFERROR(VLOOKUP(RawTable[[#This Row],[Country]],EORMap[#All],3,FALSE),"")
)</f>
        <v/>
      </c>
    </row>
    <row r="289" spans="1:20">
      <c r="A289" s="24">
        <v>288</v>
      </c>
      <c r="B289" s="1" t="s">
        <v>35</v>
      </c>
      <c r="C289" s="3" t="s">
        <v>20</v>
      </c>
      <c r="D289" s="3" t="str">
        <f>IFERROR(VLOOKUP(RawTable[[#This Row],[Entity_Type]], EntityMap[], 2, FALSE), "")</f>
        <v>Vendor_Invoice</v>
      </c>
      <c r="E289" s="3" t="s">
        <v>10</v>
      </c>
      <c r="F289" s="3" t="s">
        <v>125</v>
      </c>
      <c r="G289" s="3" t="str">
        <f>IFERROR(VLOOKUP(RawTable[[#This Row],[Name]], Name_Master!$A:$E, 4, FALSE), "")</f>
        <v>JO-IBAN-01197465</v>
      </c>
      <c r="H28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VEN-Jordan-202601-000288</v>
      </c>
      <c r="I289" s="1">
        <f>IF(RawTable[[#This Row],[Month]]="","",DATE(YEAR(RawTable[[#This Row],[Month]]),MONTH(RawTable[[#This Row],[Month]]),1))</f>
        <v>46023</v>
      </c>
      <c r="J28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289" s="3" t="s">
        <v>11</v>
      </c>
      <c r="L289" s="4">
        <v>1771.15</v>
      </c>
      <c r="M289" s="2" t="str">
        <f>IF(RawTable[[#This Row],[Net_Amount]]="","",IF(RawTable[[#This Row],[Payment_Type]]="Vendor_Invoice","Yes","No"))</f>
        <v>Yes</v>
      </c>
      <c r="N289" s="6">
        <f>IF(D289="Vendor_Invoice",
     IFERROR(
         INDEX(System_Master_Data!$B$9:$B$14,
               MATCH(E289,System_Master_Data!$A$9:$A$14,0)
         ),
     0),
0)</f>
        <v>0.16</v>
      </c>
      <c r="O289" s="4">
        <f t="shared" si="8"/>
        <v>283.38400000000001</v>
      </c>
      <c r="P289" s="4">
        <f t="shared" si="9"/>
        <v>2054.5340000000001</v>
      </c>
      <c r="Q289" s="56">
        <f>IFERROR(VLOOKUP(RawTable[[#This Row],[Currency]], System_Master_Data!$A$24:$B$29, 2, FALSE), "")</f>
        <v>1.08643</v>
      </c>
      <c r="R289">
        <f>IF(RawTable[[#This Row],[Exchange_Rate]]="","",ROUND(RawTable[[#This Row],[Gross_Amount]]*RawTable[[#This Row],[Exchange_Rate]],2))</f>
        <v>2232.11</v>
      </c>
      <c r="S289" t="str">
        <f>IF(RawTable[[#This Row],[Entity_Type]]&lt;&gt;"Employee",RawTable[[#This Row],[Entity_Type]],
IF(RawTable[[#This Row],[Country]]="Switzerland","Direct","EOR")
)</f>
        <v>Vendor</v>
      </c>
      <c r="T289" t="str">
        <f>IF(RawTable[[#This Row],[Employment_Model]]&lt;&gt;"EOR","",
IFERROR(VLOOKUP(RawTable[[#This Row],[Country]],EORMap[#All],3,FALSE),"")
)</f>
        <v/>
      </c>
    </row>
    <row r="290" spans="1:20">
      <c r="A290" s="24">
        <v>289</v>
      </c>
      <c r="B290" s="1" t="s">
        <v>30</v>
      </c>
      <c r="C290" s="3" t="s">
        <v>20</v>
      </c>
      <c r="D290" s="3" t="str">
        <f>IFERROR(VLOOKUP(RawTable[[#This Row],[Entity_Type]], EntityMap[], 2, FALSE), "")</f>
        <v>Vendor_Invoice</v>
      </c>
      <c r="E290" s="3" t="s">
        <v>2</v>
      </c>
      <c r="F290" s="3" t="s">
        <v>125</v>
      </c>
      <c r="G290" s="3" t="str">
        <f>IFERROR(VLOOKUP(RawTable[[#This Row],[Name]], Name_Master!$A:$E, 4, FALSE), "")</f>
        <v>JO-IBAN-01197465</v>
      </c>
      <c r="H29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VEN-Switzerland-202603-000289</v>
      </c>
      <c r="I290" s="1">
        <f>IF(RawTable[[#This Row],[Month]]="","",DATE(YEAR(RawTable[[#This Row],[Month]]),MONTH(RawTable[[#This Row],[Month]]),1))</f>
        <v>46082</v>
      </c>
      <c r="J29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290" s="3" t="s">
        <v>3</v>
      </c>
      <c r="L290" s="4">
        <v>6395.81</v>
      </c>
      <c r="M290" s="2" t="str">
        <f>IF(RawTable[[#This Row],[Net_Amount]]="","",IF(RawTable[[#This Row],[Payment_Type]]="Vendor_Invoice","Yes","No"))</f>
        <v>Yes</v>
      </c>
      <c r="N290" s="6">
        <f>IF(D290="Vendor_Invoice",
     IFERROR(
         INDEX(System_Master_Data!$B$9:$B$14,
               MATCH(E290,System_Master_Data!$A$9:$A$14,0)
         ),
     0),
0)</f>
        <v>8.1000000000000003E-2</v>
      </c>
      <c r="O290" s="4">
        <f t="shared" si="8"/>
        <v>518.06061</v>
      </c>
      <c r="P290" s="4">
        <f t="shared" si="9"/>
        <v>6913.8706099999999</v>
      </c>
      <c r="Q290" s="56">
        <f>IFERROR(VLOOKUP(RawTable[[#This Row],[Currency]], System_Master_Data!$A$24:$B$29, 2, FALSE), "")</f>
        <v>1</v>
      </c>
      <c r="R290">
        <f>IF(RawTable[[#This Row],[Exchange_Rate]]="","",ROUND(RawTable[[#This Row],[Gross_Amount]]*RawTable[[#This Row],[Exchange_Rate]],2))</f>
        <v>6913.87</v>
      </c>
      <c r="S290" t="str">
        <f>IF(RawTable[[#This Row],[Entity_Type]]&lt;&gt;"Employee",RawTable[[#This Row],[Entity_Type]],
IF(RawTable[[#This Row],[Country]]="Switzerland","Direct","EOR")
)</f>
        <v>Vendor</v>
      </c>
      <c r="T290" t="str">
        <f>IF(RawTable[[#This Row],[Employment_Model]]&lt;&gt;"EOR","",
IFERROR(VLOOKUP(RawTable[[#This Row],[Country]],EORMap[#All],3,FALSE),"")
)</f>
        <v/>
      </c>
    </row>
    <row r="291" spans="1:20">
      <c r="A291" s="24">
        <v>290</v>
      </c>
      <c r="B291" s="1" t="s">
        <v>35</v>
      </c>
      <c r="C291" s="3" t="s">
        <v>20</v>
      </c>
      <c r="D291" s="3" t="str">
        <f>IFERROR(VLOOKUP(RawTable[[#This Row],[Entity_Type]], EntityMap[], 2, FALSE), "")</f>
        <v>Vendor_Invoice</v>
      </c>
      <c r="E291" s="3" t="s">
        <v>4</v>
      </c>
      <c r="F291" s="3" t="s">
        <v>121</v>
      </c>
      <c r="G291" s="3" t="str">
        <f>IFERROR(VLOOKUP(RawTable[[#This Row],[Name]], Name_Master!$A:$E, 4, FALSE), "")</f>
        <v>CH930000000002295240</v>
      </c>
      <c r="H29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VEN-Germany-202601-000290</v>
      </c>
      <c r="I291" s="1">
        <f>IF(RawTable[[#This Row],[Month]]="","",DATE(YEAR(RawTable[[#This Row],[Month]]),MONTH(RawTable[[#This Row],[Month]]),1))</f>
        <v>46023</v>
      </c>
      <c r="J29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291" s="3" t="s">
        <v>5</v>
      </c>
      <c r="L291" s="4">
        <v>5373</v>
      </c>
      <c r="M291" s="2" t="str">
        <f>IF(RawTable[[#This Row],[Net_Amount]]="","",IF(RawTable[[#This Row],[Payment_Type]]="Vendor_Invoice","Yes","No"))</f>
        <v>Yes</v>
      </c>
      <c r="N291" s="6">
        <f>IF(D291="Vendor_Invoice",
     IFERROR(
         INDEX(System_Master_Data!$B$9:$B$14,
               MATCH(E291,System_Master_Data!$A$9:$A$14,0)
         ),
     0),
0)</f>
        <v>0.19</v>
      </c>
      <c r="O291" s="4">
        <f t="shared" si="8"/>
        <v>1020.87</v>
      </c>
      <c r="P291" s="4">
        <f t="shared" ref="P291:P322" si="10">O291+L291</f>
        <v>6393.87</v>
      </c>
      <c r="Q291" s="56">
        <f>IFERROR(VLOOKUP(RawTable[[#This Row],[Currency]], System_Master_Data!$A$24:$B$29, 2, FALSE), "")</f>
        <v>0.90888000000000002</v>
      </c>
      <c r="R291">
        <f>IF(RawTable[[#This Row],[Exchange_Rate]]="","",ROUND(RawTable[[#This Row],[Gross_Amount]]*RawTable[[#This Row],[Exchange_Rate]],2))</f>
        <v>5811.26</v>
      </c>
      <c r="S291" t="str">
        <f>IF(RawTable[[#This Row],[Entity_Type]]&lt;&gt;"Employee",RawTable[[#This Row],[Entity_Type]],
IF(RawTable[[#This Row],[Country]]="Switzerland","Direct","EOR")
)</f>
        <v>Vendor</v>
      </c>
      <c r="T291" t="str">
        <f>IF(RawTable[[#This Row],[Employment_Model]]&lt;&gt;"EOR","",
IFERROR(VLOOKUP(RawTable[[#This Row],[Country]],EORMap[#All],3,FALSE),"")
)</f>
        <v/>
      </c>
    </row>
    <row r="292" spans="1:20">
      <c r="A292" s="24">
        <v>291</v>
      </c>
      <c r="B292" s="1" t="s">
        <v>35</v>
      </c>
      <c r="C292" s="3" t="s">
        <v>20</v>
      </c>
      <c r="D292" s="3" t="str">
        <f>IFERROR(VLOOKUP(RawTable[[#This Row],[Entity_Type]], EntityMap[], 2, FALSE), "")</f>
        <v>Vendor_Invoice</v>
      </c>
      <c r="E292" s="3" t="s">
        <v>8</v>
      </c>
      <c r="F292" s="3" t="s">
        <v>124</v>
      </c>
      <c r="G292" s="3" t="str">
        <f>IFERROR(VLOOKUP(RawTable[[#This Row],[Name]], Name_Master!$A:$E, 4, FALSE), "")</f>
        <v>US-RT-000118464-AC-0000545088</v>
      </c>
      <c r="H29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VEN-UAE-202601-000291</v>
      </c>
      <c r="I292" s="1">
        <f>IF(RawTable[[#This Row],[Month]]="","",DATE(YEAR(RawTable[[#This Row],[Month]]),MONTH(RawTable[[#This Row],[Month]]),1))</f>
        <v>46023</v>
      </c>
      <c r="J29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292" s="3" t="s">
        <v>9</v>
      </c>
      <c r="L292" s="4">
        <v>20791.98</v>
      </c>
      <c r="M292" s="2" t="str">
        <f>IF(RawTable[[#This Row],[Net_Amount]]="","",IF(RawTable[[#This Row],[Payment_Type]]="Vendor_Invoice","Yes","No"))</f>
        <v>Yes</v>
      </c>
      <c r="N292" s="6">
        <f>IF(D292="Vendor_Invoice",
     IFERROR(
         INDEX(System_Master_Data!$B$9:$B$14,
               MATCH(E292,System_Master_Data!$A$9:$A$14,0)
         ),
     0),
0)</f>
        <v>0</v>
      </c>
      <c r="O292" s="4">
        <f t="shared" si="8"/>
        <v>0</v>
      </c>
      <c r="P292" s="4">
        <f t="shared" si="10"/>
        <v>20791.98</v>
      </c>
      <c r="Q292" s="56">
        <f>IFERROR(VLOOKUP(RawTable[[#This Row],[Currency]], System_Master_Data!$A$24:$B$29, 2, FALSE), "")</f>
        <v>0.21065</v>
      </c>
      <c r="R292">
        <f>IF(RawTable[[#This Row],[Exchange_Rate]]="","",ROUND(RawTable[[#This Row],[Gross_Amount]]*RawTable[[#This Row],[Exchange_Rate]],2))</f>
        <v>4379.83</v>
      </c>
      <c r="S292" t="str">
        <f>IF(RawTable[[#This Row],[Entity_Type]]&lt;&gt;"Employee",RawTable[[#This Row],[Entity_Type]],
IF(RawTable[[#This Row],[Country]]="Switzerland","Direct","EOR")
)</f>
        <v>Vendor</v>
      </c>
      <c r="T292" t="str">
        <f>IF(RawTable[[#This Row],[Employment_Model]]&lt;&gt;"EOR","",
IFERROR(VLOOKUP(RawTable[[#This Row],[Country]],EORMap[#All],3,FALSE),"")
)</f>
        <v/>
      </c>
    </row>
    <row r="293" spans="1:20">
      <c r="A293" s="24">
        <v>292</v>
      </c>
      <c r="B293" s="1" t="s">
        <v>30</v>
      </c>
      <c r="C293" s="3" t="s">
        <v>20</v>
      </c>
      <c r="D293" s="3" t="str">
        <f>IFERROR(VLOOKUP(RawTable[[#This Row],[Entity_Type]], EntityMap[], 2, FALSE), "")</f>
        <v>Vendor_Invoice</v>
      </c>
      <c r="E293" s="3" t="s">
        <v>6</v>
      </c>
      <c r="F293" s="3" t="s">
        <v>126</v>
      </c>
      <c r="G293" s="3" t="str">
        <f>IFERROR(VLOOKUP(RawTable[[#This Row],[Name]], Name_Master!$A:$E, 4, FALSE), "")</f>
        <v>US-RT-000120932-AC-0000556444</v>
      </c>
      <c r="H29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VEN-USA-202603-000292</v>
      </c>
      <c r="I293" s="1">
        <f>IF(RawTable[[#This Row],[Month]]="","",DATE(YEAR(RawTable[[#This Row],[Month]]),MONTH(RawTable[[#This Row],[Month]]),1))</f>
        <v>46082</v>
      </c>
      <c r="J29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293" s="3" t="s">
        <v>7</v>
      </c>
      <c r="L293" s="4">
        <v>5673.78</v>
      </c>
      <c r="M293" s="2" t="str">
        <f>IF(RawTable[[#This Row],[Net_Amount]]="","",IF(RawTable[[#This Row],[Payment_Type]]="Vendor_Invoice","Yes","No"))</f>
        <v>Yes</v>
      </c>
      <c r="N293" s="6">
        <f>IF(D293="Vendor_Invoice",
     IFERROR(
         INDEX(System_Master_Data!$B$9:$B$14,
               MATCH(E293,System_Master_Data!$A$9:$A$14,0)
         ),
     0),
0)</f>
        <v>0.05</v>
      </c>
      <c r="O293" s="4">
        <f t="shared" si="8"/>
        <v>283.68900000000002</v>
      </c>
      <c r="P293" s="4">
        <f t="shared" si="10"/>
        <v>5957.4690000000001</v>
      </c>
      <c r="Q293" s="56">
        <f>IFERROR(VLOOKUP(RawTable[[#This Row],[Currency]], System_Master_Data!$A$24:$B$29, 2, FALSE), "")</f>
        <v>0.77017999999999998</v>
      </c>
      <c r="R293">
        <f>IF(RawTable[[#This Row],[Exchange_Rate]]="","",ROUND(RawTable[[#This Row],[Gross_Amount]]*RawTable[[#This Row],[Exchange_Rate]],2))</f>
        <v>4588.32</v>
      </c>
      <c r="S293" t="str">
        <f>IF(RawTable[[#This Row],[Entity_Type]]&lt;&gt;"Employee",RawTable[[#This Row],[Entity_Type]],
IF(RawTable[[#This Row],[Country]]="Switzerland","Direct","EOR")
)</f>
        <v>Vendor</v>
      </c>
      <c r="T293" t="str">
        <f>IF(RawTable[[#This Row],[Employment_Model]]&lt;&gt;"EOR","",
IFERROR(VLOOKUP(RawTable[[#This Row],[Country]],EORMap[#All],3,FALSE),"")
)</f>
        <v/>
      </c>
    </row>
    <row r="294" spans="1:20">
      <c r="A294" s="24">
        <v>293</v>
      </c>
      <c r="B294" s="1" t="s">
        <v>35</v>
      </c>
      <c r="C294" s="3" t="s">
        <v>20</v>
      </c>
      <c r="D294" s="3" t="str">
        <f>IFERROR(VLOOKUP(RawTable[[#This Row],[Entity_Type]], EntityMap[], 2, FALSE), "")</f>
        <v>Vendor_Invoice</v>
      </c>
      <c r="E294" s="3" t="s">
        <v>6</v>
      </c>
      <c r="F294" s="3" t="s">
        <v>121</v>
      </c>
      <c r="G294" s="3" t="str">
        <f>IFERROR(VLOOKUP(RawTable[[#This Row],[Name]], Name_Master!$A:$E, 4, FALSE), "")</f>
        <v>CH930000000002295240</v>
      </c>
      <c r="H29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VEN-USA-202601-000293</v>
      </c>
      <c r="I294" s="1">
        <f>IF(RawTable[[#This Row],[Month]]="","",DATE(YEAR(RawTable[[#This Row],[Month]]),MONTH(RawTable[[#This Row],[Month]]),1))</f>
        <v>46023</v>
      </c>
      <c r="J29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294" s="3" t="s">
        <v>7</v>
      </c>
      <c r="L294" s="4">
        <v>6268.5</v>
      </c>
      <c r="M294" s="2" t="str">
        <f>IF(RawTable[[#This Row],[Net_Amount]]="","",IF(RawTable[[#This Row],[Payment_Type]]="Vendor_Invoice","Yes","No"))</f>
        <v>Yes</v>
      </c>
      <c r="N294" s="6">
        <f>IF(D294="Vendor_Invoice",
     IFERROR(
         INDEX(System_Master_Data!$B$9:$B$14,
               MATCH(E294,System_Master_Data!$A$9:$A$14,0)
         ),
     0),
0)</f>
        <v>0.05</v>
      </c>
      <c r="O294" s="4">
        <f t="shared" si="8"/>
        <v>313.42500000000001</v>
      </c>
      <c r="P294" s="4">
        <f t="shared" si="10"/>
        <v>6581.9250000000002</v>
      </c>
      <c r="Q294" s="56">
        <f>IFERROR(VLOOKUP(RawTable[[#This Row],[Currency]], System_Master_Data!$A$24:$B$29, 2, FALSE), "")</f>
        <v>0.77017999999999998</v>
      </c>
      <c r="R294">
        <f>IF(RawTable[[#This Row],[Exchange_Rate]]="","",ROUND(RawTable[[#This Row],[Gross_Amount]]*RawTable[[#This Row],[Exchange_Rate]],2))</f>
        <v>5069.2700000000004</v>
      </c>
      <c r="S294" t="str">
        <f>IF(RawTable[[#This Row],[Entity_Type]]&lt;&gt;"Employee",RawTable[[#This Row],[Entity_Type]],
IF(RawTable[[#This Row],[Country]]="Switzerland","Direct","EOR")
)</f>
        <v>Vendor</v>
      </c>
      <c r="T294" t="str">
        <f>IF(RawTable[[#This Row],[Employment_Model]]&lt;&gt;"EOR","",
IFERROR(VLOOKUP(RawTable[[#This Row],[Country]],EORMap[#All],3,FALSE),"")
)</f>
        <v/>
      </c>
    </row>
    <row r="295" spans="1:20">
      <c r="A295" s="24">
        <v>294</v>
      </c>
      <c r="B295" s="1" t="s">
        <v>28</v>
      </c>
      <c r="C295" s="3" t="s">
        <v>20</v>
      </c>
      <c r="D295" s="3" t="str">
        <f>IFERROR(VLOOKUP(RawTable[[#This Row],[Entity_Type]], EntityMap[], 2, FALSE), "")</f>
        <v>Vendor_Invoice</v>
      </c>
      <c r="E295" s="3" t="s">
        <v>10</v>
      </c>
      <c r="F295" s="3" t="s">
        <v>121</v>
      </c>
      <c r="G295" s="3" t="str">
        <f>IFERROR(VLOOKUP(RawTable[[#This Row],[Name]], Name_Master!$A:$E, 4, FALSE), "")</f>
        <v>CH930000000002295240</v>
      </c>
      <c r="H29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VEN-Jordan-202602-000294</v>
      </c>
      <c r="I295" s="1">
        <f>IF(RawTable[[#This Row],[Month]]="","",DATE(YEAR(RawTable[[#This Row],[Month]]),MONTH(RawTable[[#This Row],[Month]]),1))</f>
        <v>46054</v>
      </c>
      <c r="J29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46084</v>
      </c>
      <c r="K295" s="3" t="s">
        <v>11</v>
      </c>
      <c r="L295" s="4">
        <v>1611.9</v>
      </c>
      <c r="M295" s="2" t="str">
        <f>IF(RawTable[[#This Row],[Net_Amount]]="","",IF(RawTable[[#This Row],[Payment_Type]]="Vendor_Invoice","Yes","No"))</f>
        <v>Yes</v>
      </c>
      <c r="N295" s="6">
        <f>IF(D295="Vendor_Invoice",
     IFERROR(
         INDEX(System_Master_Data!$B$9:$B$14,
               MATCH(E295,System_Master_Data!$A$9:$A$14,0)
         ),
     0),
0)</f>
        <v>0.16</v>
      </c>
      <c r="O295" s="4">
        <f t="shared" si="8"/>
        <v>257.904</v>
      </c>
      <c r="P295" s="4">
        <f t="shared" si="10"/>
        <v>1869.8040000000001</v>
      </c>
      <c r="Q295" s="56">
        <f>IFERROR(VLOOKUP(RawTable[[#This Row],[Currency]], System_Master_Data!$A$24:$B$29, 2, FALSE), "")</f>
        <v>1.08643</v>
      </c>
      <c r="R295">
        <f>IF(RawTable[[#This Row],[Exchange_Rate]]="","",ROUND(RawTable[[#This Row],[Gross_Amount]]*RawTable[[#This Row],[Exchange_Rate]],2))</f>
        <v>2031.41</v>
      </c>
      <c r="S295" t="str">
        <f>IF(RawTable[[#This Row],[Entity_Type]]&lt;&gt;"Employee",RawTable[[#This Row],[Entity_Type]],
IF(RawTable[[#This Row],[Country]]="Switzerland","Direct","EOR")
)</f>
        <v>Vendor</v>
      </c>
      <c r="T295" t="str">
        <f>IF(RawTable[[#This Row],[Employment_Model]]&lt;&gt;"EOR","",
IFERROR(VLOOKUP(RawTable[[#This Row],[Country]],EORMap[#All],3,FALSE),"")
)</f>
        <v/>
      </c>
    </row>
    <row r="296" spans="1:20">
      <c r="A296" s="24">
        <v>295</v>
      </c>
      <c r="B296" s="1" t="s">
        <v>30</v>
      </c>
      <c r="C296" s="3" t="s">
        <v>20</v>
      </c>
      <c r="D296" s="3" t="str">
        <f>IFERROR(VLOOKUP(RawTable[[#This Row],[Entity_Type]], EntityMap[], 2, FALSE), "")</f>
        <v>Vendor_Invoice</v>
      </c>
      <c r="E296" s="3" t="s">
        <v>4</v>
      </c>
      <c r="F296" s="3" t="s">
        <v>122</v>
      </c>
      <c r="G296" s="3" t="str">
        <f>IFERROR(VLOOKUP(RawTable[[#This Row],[Name]], Name_Master!$A:$E, 4, FALSE), "")</f>
        <v>JO-IBAN-01160430</v>
      </c>
      <c r="H29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VEN-Germany-202603-000295</v>
      </c>
      <c r="I296" s="1">
        <f>IF(RawTable[[#This Row],[Month]]="","",DATE(YEAR(RawTable[[#This Row],[Month]]),MONTH(RawTable[[#This Row],[Month]]),1))</f>
        <v>46082</v>
      </c>
      <c r="J29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296" s="3" t="s">
        <v>5</v>
      </c>
      <c r="L296" s="4">
        <v>5355.72</v>
      </c>
      <c r="M296" s="2" t="str">
        <f>IF(RawTable[[#This Row],[Net_Amount]]="","",IF(RawTable[[#This Row],[Payment_Type]]="Vendor_Invoice","Yes","No"))</f>
        <v>Yes</v>
      </c>
      <c r="N296" s="6">
        <f>IF(D296="Vendor_Invoice",
     IFERROR(
         INDEX(System_Master_Data!$B$9:$B$14,
               MATCH(E296,System_Master_Data!$A$9:$A$14,0)
         ),
     0),
0)</f>
        <v>0.19</v>
      </c>
      <c r="O296" s="4">
        <f t="shared" si="8"/>
        <v>1017.5868</v>
      </c>
      <c r="P296" s="4">
        <f t="shared" si="10"/>
        <v>6373.3068000000003</v>
      </c>
      <c r="Q296" s="56">
        <f>IFERROR(VLOOKUP(RawTable[[#This Row],[Currency]], System_Master_Data!$A$24:$B$29, 2, FALSE), "")</f>
        <v>0.90888000000000002</v>
      </c>
      <c r="R296">
        <f>IF(RawTable[[#This Row],[Exchange_Rate]]="","",ROUND(RawTable[[#This Row],[Gross_Amount]]*RawTable[[#This Row],[Exchange_Rate]],2))</f>
        <v>5792.57</v>
      </c>
      <c r="S296" t="str">
        <f>IF(RawTable[[#This Row],[Entity_Type]]&lt;&gt;"Employee",RawTable[[#This Row],[Entity_Type]],
IF(RawTable[[#This Row],[Country]]="Switzerland","Direct","EOR")
)</f>
        <v>Vendor</v>
      </c>
      <c r="T296" t="str">
        <f>IF(RawTable[[#This Row],[Employment_Model]]&lt;&gt;"EOR","",
IFERROR(VLOOKUP(RawTable[[#This Row],[Country]],EORMap[#All],3,FALSE),"")
)</f>
        <v/>
      </c>
    </row>
    <row r="297" spans="1:20">
      <c r="A297" s="24">
        <v>296</v>
      </c>
      <c r="B297" s="1" t="s">
        <v>35</v>
      </c>
      <c r="C297" s="3" t="s">
        <v>20</v>
      </c>
      <c r="D297" s="3" t="str">
        <f>IFERROR(VLOOKUP(RawTable[[#This Row],[Entity_Type]], EntityMap[], 2, FALSE), "")</f>
        <v>Vendor_Invoice</v>
      </c>
      <c r="E297" s="3" t="s">
        <v>10</v>
      </c>
      <c r="F297" s="3" t="s">
        <v>127</v>
      </c>
      <c r="G297" s="3" t="str">
        <f>IFERROR(VLOOKUP(RawTable[[#This Row],[Name]], Name_Master!$A:$E, 4, FALSE), "")</f>
        <v>JO-IBAN-01222155</v>
      </c>
      <c r="H29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VEN-Jordan-202601-000296</v>
      </c>
      <c r="I297" s="1">
        <f>IF(RawTable[[#This Row],[Month]]="","",DATE(YEAR(RawTable[[#This Row],[Month]]),MONTH(RawTable[[#This Row],[Month]]),1))</f>
        <v>46023</v>
      </c>
      <c r="J29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297" s="3" t="s">
        <v>11</v>
      </c>
      <c r="L297" s="4">
        <v>1734.86</v>
      </c>
      <c r="M297" s="2" t="str">
        <f>IF(RawTable[[#This Row],[Net_Amount]]="","",IF(RawTable[[#This Row],[Payment_Type]]="Vendor_Invoice","Yes","No"))</f>
        <v>Yes</v>
      </c>
      <c r="N297" s="6">
        <f>IF(D297="Vendor_Invoice",
     IFERROR(
         INDEX(System_Master_Data!$B$9:$B$14,
               MATCH(E297,System_Master_Data!$A$9:$A$14,0)
         ),
     0),
0)</f>
        <v>0.16</v>
      </c>
      <c r="O297" s="4">
        <f t="shared" si="8"/>
        <v>277.57760000000002</v>
      </c>
      <c r="P297" s="4">
        <f t="shared" si="10"/>
        <v>2012.4376</v>
      </c>
      <c r="Q297" s="56">
        <f>IFERROR(VLOOKUP(RawTable[[#This Row],[Currency]], System_Master_Data!$A$24:$B$29, 2, FALSE), "")</f>
        <v>1.08643</v>
      </c>
      <c r="R297">
        <f>IF(RawTable[[#This Row],[Exchange_Rate]]="","",ROUND(RawTable[[#This Row],[Gross_Amount]]*RawTable[[#This Row],[Exchange_Rate]],2))</f>
        <v>2186.37</v>
      </c>
      <c r="S297" t="str">
        <f>IF(RawTable[[#This Row],[Entity_Type]]&lt;&gt;"Employee",RawTable[[#This Row],[Entity_Type]],
IF(RawTable[[#This Row],[Country]]="Switzerland","Direct","EOR")
)</f>
        <v>Vendor</v>
      </c>
      <c r="T297" t="str">
        <f>IF(RawTable[[#This Row],[Employment_Model]]&lt;&gt;"EOR","",
IFERROR(VLOOKUP(RawTable[[#This Row],[Country]],EORMap[#All],3,FALSE),"")
)</f>
        <v/>
      </c>
    </row>
    <row r="298" spans="1:20">
      <c r="A298" s="24">
        <v>297</v>
      </c>
      <c r="B298" s="1" t="s">
        <v>28</v>
      </c>
      <c r="C298" s="3" t="s">
        <v>20</v>
      </c>
      <c r="D298" s="3" t="str">
        <f>IFERROR(VLOOKUP(RawTable[[#This Row],[Entity_Type]], EntityMap[], 2, FALSE), "")</f>
        <v>Vendor_Invoice</v>
      </c>
      <c r="E298" s="3" t="s">
        <v>8</v>
      </c>
      <c r="F298" s="3" t="s">
        <v>125</v>
      </c>
      <c r="G298" s="3" t="str">
        <f>IFERROR(VLOOKUP(RawTable[[#This Row],[Name]], Name_Master!$A:$E, 4, FALSE), "")</f>
        <v>JO-IBAN-01197465</v>
      </c>
      <c r="H29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VEN-UAE-202602-000297</v>
      </c>
      <c r="I298" s="1">
        <f>IF(RawTable[[#This Row],[Month]]="","",DATE(YEAR(RawTable[[#This Row],[Month]]),MONTH(RawTable[[#This Row],[Month]]),1))</f>
        <v>46054</v>
      </c>
      <c r="J29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46084</v>
      </c>
      <c r="K298" s="3" t="s">
        <v>9</v>
      </c>
      <c r="L298" s="4">
        <v>21647.34</v>
      </c>
      <c r="M298" s="2" t="str">
        <f>IF(RawTable[[#This Row],[Net_Amount]]="","",IF(RawTable[[#This Row],[Payment_Type]]="Vendor_Invoice","Yes","No"))</f>
        <v>Yes</v>
      </c>
      <c r="N298" s="6">
        <f>IF(D298="Vendor_Invoice",
     IFERROR(
         INDEX(System_Master_Data!$B$9:$B$14,
               MATCH(E298,System_Master_Data!$A$9:$A$14,0)
         ),
     0),
0)</f>
        <v>0</v>
      </c>
      <c r="O298" s="4">
        <f t="shared" si="8"/>
        <v>0</v>
      </c>
      <c r="P298" s="4">
        <f t="shared" si="10"/>
        <v>21647.34</v>
      </c>
      <c r="Q298" s="56">
        <f>IFERROR(VLOOKUP(RawTable[[#This Row],[Currency]], System_Master_Data!$A$24:$B$29, 2, FALSE), "")</f>
        <v>0.21065</v>
      </c>
      <c r="R298">
        <f>IF(RawTable[[#This Row],[Exchange_Rate]]="","",ROUND(RawTable[[#This Row],[Gross_Amount]]*RawTable[[#This Row],[Exchange_Rate]],2))</f>
        <v>4560.01</v>
      </c>
      <c r="S298" t="str">
        <f>IF(RawTable[[#This Row],[Entity_Type]]&lt;&gt;"Employee",RawTable[[#This Row],[Entity_Type]],
IF(RawTable[[#This Row],[Country]]="Switzerland","Direct","EOR")
)</f>
        <v>Vendor</v>
      </c>
      <c r="T298" t="str">
        <f>IF(RawTable[[#This Row],[Employment_Model]]&lt;&gt;"EOR","",
IFERROR(VLOOKUP(RawTable[[#This Row],[Country]],EORMap[#All],3,FALSE),"")
)</f>
        <v/>
      </c>
    </row>
    <row r="299" spans="1:20">
      <c r="A299" s="24">
        <v>298</v>
      </c>
      <c r="B299" s="1" t="s">
        <v>35</v>
      </c>
      <c r="C299" s="3" t="s">
        <v>20</v>
      </c>
      <c r="D299" s="3" t="str">
        <f>IFERROR(VLOOKUP(RawTable[[#This Row],[Entity_Type]], EntityMap[], 2, FALSE), "")</f>
        <v>Vendor_Invoice</v>
      </c>
      <c r="E299" s="3" t="s">
        <v>2</v>
      </c>
      <c r="F299" s="3" t="s">
        <v>123</v>
      </c>
      <c r="G299" s="3" t="str">
        <f>IFERROR(VLOOKUP(RawTable[[#This Row],[Name]], Name_Master!$A:$E, 4, FALSE), "")</f>
        <v>CH930000000002344600</v>
      </c>
      <c r="H29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VEN-Switzerland-202601-000298</v>
      </c>
      <c r="I299" s="1">
        <f>IF(RawTable[[#This Row],[Month]]="","",DATE(YEAR(RawTable[[#This Row],[Month]]),MONTH(RawTable[[#This Row],[Month]]),1))</f>
        <v>46023</v>
      </c>
      <c r="J29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299" s="3" t="s">
        <v>3</v>
      </c>
      <c r="L299" s="4">
        <v>5334.19</v>
      </c>
      <c r="M299" s="2" t="str">
        <f>IF(RawTable[[#This Row],[Net_Amount]]="","",IF(RawTable[[#This Row],[Payment_Type]]="Vendor_Invoice","Yes","No"))</f>
        <v>Yes</v>
      </c>
      <c r="N299" s="6">
        <f>IF(D299="Vendor_Invoice",
     IFERROR(
         INDEX(System_Master_Data!$B$9:$B$14,
               MATCH(E299,System_Master_Data!$A$9:$A$14,0)
         ),
     0),
0)</f>
        <v>8.1000000000000003E-2</v>
      </c>
      <c r="O299" s="4">
        <f t="shared" si="8"/>
        <v>432.06939</v>
      </c>
      <c r="P299" s="4">
        <f t="shared" si="10"/>
        <v>5766.2593899999993</v>
      </c>
      <c r="Q299" s="56">
        <f>IFERROR(VLOOKUP(RawTable[[#This Row],[Currency]], System_Master_Data!$A$24:$B$29, 2, FALSE), "")</f>
        <v>1</v>
      </c>
      <c r="R299">
        <f>IF(RawTable[[#This Row],[Exchange_Rate]]="","",ROUND(RawTable[[#This Row],[Gross_Amount]]*RawTable[[#This Row],[Exchange_Rate]],2))</f>
        <v>5766.26</v>
      </c>
      <c r="S299" t="str">
        <f>IF(RawTable[[#This Row],[Entity_Type]]&lt;&gt;"Employee",RawTable[[#This Row],[Entity_Type]],
IF(RawTable[[#This Row],[Country]]="Switzerland","Direct","EOR")
)</f>
        <v>Vendor</v>
      </c>
      <c r="T299" t="str">
        <f>IF(RawTable[[#This Row],[Employment_Model]]&lt;&gt;"EOR","",
IFERROR(VLOOKUP(RawTable[[#This Row],[Country]],EORMap[#All],3,FALSE),"")
)</f>
        <v/>
      </c>
    </row>
    <row r="300" spans="1:20">
      <c r="A300" s="24">
        <v>299</v>
      </c>
      <c r="B300" s="1" t="s">
        <v>35</v>
      </c>
      <c r="C300" s="3" t="s">
        <v>20</v>
      </c>
      <c r="D300" s="3" t="str">
        <f>IFERROR(VLOOKUP(RawTable[[#This Row],[Entity_Type]], EntityMap[], 2, FALSE), "")</f>
        <v>Vendor_Invoice</v>
      </c>
      <c r="E300" s="3" t="s">
        <v>10</v>
      </c>
      <c r="F300" s="3" t="s">
        <v>125</v>
      </c>
      <c r="G300" s="3" t="str">
        <f>IFERROR(VLOOKUP(RawTable[[#This Row],[Name]], Name_Master!$A:$E, 4, FALSE), "")</f>
        <v>JO-IBAN-01197465</v>
      </c>
      <c r="H30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VEN-Jordan-202601-000299</v>
      </c>
      <c r="I300" s="1">
        <f>IF(RawTable[[#This Row],[Month]]="","",DATE(YEAR(RawTable[[#This Row],[Month]]),MONTH(RawTable[[#This Row],[Month]]),1))</f>
        <v>46023</v>
      </c>
      <c r="J30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300" s="3" t="s">
        <v>11</v>
      </c>
      <c r="L300" s="4">
        <v>1788.86</v>
      </c>
      <c r="M300" s="2" t="str">
        <f>IF(RawTable[[#This Row],[Net_Amount]]="","",IF(RawTable[[#This Row],[Payment_Type]]="Vendor_Invoice","Yes","No"))</f>
        <v>Yes</v>
      </c>
      <c r="N300" s="6">
        <f>IF(D300="Vendor_Invoice",
     IFERROR(
         INDEX(System_Master_Data!$B$9:$B$14,
               MATCH(E300,System_Master_Data!$A$9:$A$14,0)
         ),
     0),
0)</f>
        <v>0.16</v>
      </c>
      <c r="O300" s="4">
        <f t="shared" si="8"/>
        <v>286.2176</v>
      </c>
      <c r="P300" s="4">
        <f t="shared" si="10"/>
        <v>2075.0776000000001</v>
      </c>
      <c r="Q300" s="56">
        <f>IFERROR(VLOOKUP(RawTable[[#This Row],[Currency]], System_Master_Data!$A$24:$B$29, 2, FALSE), "")</f>
        <v>1.08643</v>
      </c>
      <c r="R300">
        <f>IF(RawTable[[#This Row],[Exchange_Rate]]="","",ROUND(RawTable[[#This Row],[Gross_Amount]]*RawTable[[#This Row],[Exchange_Rate]],2))</f>
        <v>2254.4299999999998</v>
      </c>
      <c r="S300" t="str">
        <f>IF(RawTable[[#This Row],[Entity_Type]]&lt;&gt;"Employee",RawTable[[#This Row],[Entity_Type]],
IF(RawTable[[#This Row],[Country]]="Switzerland","Direct","EOR")
)</f>
        <v>Vendor</v>
      </c>
      <c r="T300" t="str">
        <f>IF(RawTable[[#This Row],[Employment_Model]]&lt;&gt;"EOR","",
IFERROR(VLOOKUP(RawTable[[#This Row],[Country]],EORMap[#All],3,FALSE),"")
)</f>
        <v/>
      </c>
    </row>
    <row r="301" spans="1:20">
      <c r="A301" s="24">
        <v>300</v>
      </c>
      <c r="B301" s="1" t="s">
        <v>30</v>
      </c>
      <c r="C301" s="3" t="s">
        <v>20</v>
      </c>
      <c r="D301" s="3" t="str">
        <f>IFERROR(VLOOKUP(RawTable[[#This Row],[Entity_Type]], EntityMap[], 2, FALSE), "")</f>
        <v>Vendor_Invoice</v>
      </c>
      <c r="E301" s="3" t="s">
        <v>6</v>
      </c>
      <c r="F301" s="3" t="s">
        <v>123</v>
      </c>
      <c r="G301" s="3" t="str">
        <f>IFERROR(VLOOKUP(RawTable[[#This Row],[Name]], Name_Master!$A:$E, 4, FALSE), "")</f>
        <v>CH930000000002344600</v>
      </c>
      <c r="H30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VEN-USA-202603-000300</v>
      </c>
      <c r="I301" s="1">
        <f>IF(RawTable[[#This Row],[Month]]="","",DATE(YEAR(RawTable[[#This Row],[Month]]),MONTH(RawTable[[#This Row],[Month]]),1))</f>
        <v>46082</v>
      </c>
      <c r="J30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301" s="3" t="s">
        <v>7</v>
      </c>
      <c r="L301" s="4">
        <v>5744.52</v>
      </c>
      <c r="M301" s="2" t="str">
        <f>IF(RawTable[[#This Row],[Net_Amount]]="","",IF(RawTable[[#This Row],[Payment_Type]]="Vendor_Invoice","Yes","No"))</f>
        <v>Yes</v>
      </c>
      <c r="N301" s="6">
        <f>IF(D301="Vendor_Invoice",
     IFERROR(
         INDEX(System_Master_Data!$B$9:$B$14,
               MATCH(E301,System_Master_Data!$A$9:$A$14,0)
         ),
     0),
0)</f>
        <v>0.05</v>
      </c>
      <c r="O301" s="4">
        <f t="shared" si="8"/>
        <v>287.22600000000006</v>
      </c>
      <c r="P301" s="4">
        <f t="shared" si="10"/>
        <v>6031.7460000000001</v>
      </c>
      <c r="Q301" s="56">
        <f>IFERROR(VLOOKUP(RawTable[[#This Row],[Currency]], System_Master_Data!$A$24:$B$29, 2, FALSE), "")</f>
        <v>0.77017999999999998</v>
      </c>
      <c r="R301">
        <f>IF(RawTable[[#This Row],[Exchange_Rate]]="","",ROUND(RawTable[[#This Row],[Gross_Amount]]*RawTable[[#This Row],[Exchange_Rate]],2))</f>
        <v>4645.53</v>
      </c>
      <c r="S301" t="str">
        <f>IF(RawTable[[#This Row],[Entity_Type]]&lt;&gt;"Employee",RawTable[[#This Row],[Entity_Type]],
IF(RawTable[[#This Row],[Country]]="Switzerland","Direct","EOR")
)</f>
        <v>Vendor</v>
      </c>
      <c r="T301" t="str">
        <f>IF(RawTable[[#This Row],[Employment_Model]]&lt;&gt;"EOR","",
IFERROR(VLOOKUP(RawTable[[#This Row],[Country]],EORMap[#All],3,FALSE),"")
)</f>
        <v/>
      </c>
    </row>
    <row r="302" spans="1:20">
      <c r="A302" s="24">
        <v>301</v>
      </c>
      <c r="B302" s="1" t="s">
        <v>28</v>
      </c>
      <c r="C302" s="3" t="s">
        <v>20</v>
      </c>
      <c r="D302" s="3" t="str">
        <f>IFERROR(VLOOKUP(RawTable[[#This Row],[Entity_Type]], EntityMap[], 2, FALSE), "")</f>
        <v>Vendor_Invoice</v>
      </c>
      <c r="E302" s="3" t="s">
        <v>10</v>
      </c>
      <c r="F302" s="3" t="s">
        <v>127</v>
      </c>
      <c r="G302" s="3" t="str">
        <f>IFERROR(VLOOKUP(RawTable[[#This Row],[Name]], Name_Master!$A:$E, 4, FALSE), "")</f>
        <v>JO-IBAN-01222155</v>
      </c>
      <c r="H30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VEN-Jordan-202602-000301</v>
      </c>
      <c r="I302" s="1">
        <f>IF(RawTable[[#This Row],[Month]]="","",DATE(YEAR(RawTable[[#This Row],[Month]]),MONTH(RawTable[[#This Row],[Month]]),1))</f>
        <v>46054</v>
      </c>
      <c r="J30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46084</v>
      </c>
      <c r="K302" s="3" t="s">
        <v>11</v>
      </c>
      <c r="L302" s="4">
        <v>1752.21</v>
      </c>
      <c r="M302" s="2" t="str">
        <f>IF(RawTable[[#This Row],[Net_Amount]]="","",IF(RawTable[[#This Row],[Payment_Type]]="Vendor_Invoice","Yes","No"))</f>
        <v>Yes</v>
      </c>
      <c r="N302" s="6">
        <f>IF(D302="Vendor_Invoice",
     IFERROR(
         INDEX(System_Master_Data!$B$9:$B$14,
               MATCH(E302,System_Master_Data!$A$9:$A$14,0)
         ),
     0),
0)</f>
        <v>0.16</v>
      </c>
      <c r="O302" s="4">
        <f t="shared" si="8"/>
        <v>280.35360000000003</v>
      </c>
      <c r="P302" s="4">
        <f t="shared" si="10"/>
        <v>2032.5636</v>
      </c>
      <c r="Q302" s="56">
        <f>IFERROR(VLOOKUP(RawTable[[#This Row],[Currency]], System_Master_Data!$A$24:$B$29, 2, FALSE), "")</f>
        <v>1.08643</v>
      </c>
      <c r="R302">
        <f>IF(RawTable[[#This Row],[Exchange_Rate]]="","",ROUND(RawTable[[#This Row],[Gross_Amount]]*RawTable[[#This Row],[Exchange_Rate]],2))</f>
        <v>2208.2399999999998</v>
      </c>
      <c r="S302" t="str">
        <f>IF(RawTable[[#This Row],[Entity_Type]]&lt;&gt;"Employee",RawTable[[#This Row],[Entity_Type]],
IF(RawTable[[#This Row],[Country]]="Switzerland","Direct","EOR")
)</f>
        <v>Vendor</v>
      </c>
      <c r="T302" t="str">
        <f>IF(RawTable[[#This Row],[Employment_Model]]&lt;&gt;"EOR","",
IFERROR(VLOOKUP(RawTable[[#This Row],[Country]],EORMap[#All],3,FALSE),"")
)</f>
        <v/>
      </c>
    </row>
    <row r="303" spans="1:20">
      <c r="A303" s="24">
        <v>302</v>
      </c>
      <c r="B303" s="1" t="s">
        <v>28</v>
      </c>
      <c r="C303" s="3" t="s">
        <v>20</v>
      </c>
      <c r="D303" s="3" t="str">
        <f>IFERROR(VLOOKUP(RawTable[[#This Row],[Entity_Type]], EntityMap[], 2, FALSE), "")</f>
        <v>Vendor_Invoice</v>
      </c>
      <c r="E303" s="3" t="s">
        <v>2</v>
      </c>
      <c r="F303" s="3" t="s">
        <v>126</v>
      </c>
      <c r="G303" s="3" t="str">
        <f>IFERROR(VLOOKUP(RawTable[[#This Row],[Name]], Name_Master!$A:$E, 4, FALSE), "")</f>
        <v>US-RT-000120932-AC-0000556444</v>
      </c>
      <c r="H30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VEN-Switzerland-202602-000302</v>
      </c>
      <c r="I303" s="1">
        <f>IF(RawTable[[#This Row],[Month]]="","",DATE(YEAR(RawTable[[#This Row],[Month]]),MONTH(RawTable[[#This Row],[Month]]),1))</f>
        <v>46054</v>
      </c>
      <c r="J30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46084</v>
      </c>
      <c r="K303" s="3" t="s">
        <v>3</v>
      </c>
      <c r="L303" s="4">
        <v>5268.51</v>
      </c>
      <c r="M303" s="2" t="str">
        <f>IF(RawTable[[#This Row],[Net_Amount]]="","",IF(RawTable[[#This Row],[Payment_Type]]="Vendor_Invoice","Yes","No"))</f>
        <v>Yes</v>
      </c>
      <c r="N303" s="6">
        <f>IF(D303="Vendor_Invoice",
     IFERROR(
         INDEX(System_Master_Data!$B$9:$B$14,
               MATCH(E303,System_Master_Data!$A$9:$A$14,0)
         ),
     0),
0)</f>
        <v>8.1000000000000003E-2</v>
      </c>
      <c r="O303" s="4">
        <f t="shared" si="8"/>
        <v>426.74931000000004</v>
      </c>
      <c r="P303" s="4">
        <f t="shared" si="10"/>
        <v>5695.2593100000004</v>
      </c>
      <c r="Q303" s="56">
        <f>IFERROR(VLOOKUP(RawTable[[#This Row],[Currency]], System_Master_Data!$A$24:$B$29, 2, FALSE), "")</f>
        <v>1</v>
      </c>
      <c r="R303">
        <f>IF(RawTable[[#This Row],[Exchange_Rate]]="","",ROUND(RawTable[[#This Row],[Gross_Amount]]*RawTable[[#This Row],[Exchange_Rate]],2))</f>
        <v>5695.26</v>
      </c>
      <c r="S303" t="str">
        <f>IF(RawTable[[#This Row],[Entity_Type]]&lt;&gt;"Employee",RawTable[[#This Row],[Entity_Type]],
IF(RawTable[[#This Row],[Country]]="Switzerland","Direct","EOR")
)</f>
        <v>Vendor</v>
      </c>
      <c r="T303" t="str">
        <f>IF(RawTable[[#This Row],[Employment_Model]]&lt;&gt;"EOR","",
IFERROR(VLOOKUP(RawTable[[#This Row],[Country]],EORMap[#All],3,FALSE),"")
)</f>
        <v/>
      </c>
    </row>
    <row r="304" spans="1:20">
      <c r="A304" s="24">
        <v>303</v>
      </c>
      <c r="B304" s="1" t="s">
        <v>28</v>
      </c>
      <c r="C304" s="3" t="s">
        <v>20</v>
      </c>
      <c r="D304" s="3" t="str">
        <f>IFERROR(VLOOKUP(RawTable[[#This Row],[Entity_Type]], EntityMap[], 2, FALSE), "")</f>
        <v>Vendor_Invoice</v>
      </c>
      <c r="E304" s="3" t="s">
        <v>6</v>
      </c>
      <c r="F304" s="3" t="s">
        <v>123</v>
      </c>
      <c r="G304" s="3" t="str">
        <f>IFERROR(VLOOKUP(RawTable[[#This Row],[Name]], Name_Master!$A:$E, 4, FALSE), "")</f>
        <v>CH930000000002344600</v>
      </c>
      <c r="H30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VEN-USA-202602-000303</v>
      </c>
      <c r="I304" s="1">
        <f>IF(RawTable[[#This Row],[Month]]="","",DATE(YEAR(RawTable[[#This Row],[Month]]),MONTH(RawTable[[#This Row],[Month]]),1))</f>
        <v>46054</v>
      </c>
      <c r="J30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46084</v>
      </c>
      <c r="K304" s="3" t="s">
        <v>7</v>
      </c>
      <c r="L304" s="4">
        <v>5801.97</v>
      </c>
      <c r="M304" s="2" t="str">
        <f>IF(RawTable[[#This Row],[Net_Amount]]="","",IF(RawTable[[#This Row],[Payment_Type]]="Vendor_Invoice","Yes","No"))</f>
        <v>Yes</v>
      </c>
      <c r="N304" s="6">
        <f>IF(D304="Vendor_Invoice",
     IFERROR(
         INDEX(System_Master_Data!$B$9:$B$14,
               MATCH(E304,System_Master_Data!$A$9:$A$14,0)
         ),
     0),
0)</f>
        <v>0.05</v>
      </c>
      <c r="O304" s="4">
        <f t="shared" si="8"/>
        <v>290.0985</v>
      </c>
      <c r="P304" s="4">
        <f t="shared" si="10"/>
        <v>6092.0685000000003</v>
      </c>
      <c r="Q304" s="56">
        <f>IFERROR(VLOOKUP(RawTable[[#This Row],[Currency]], System_Master_Data!$A$24:$B$29, 2, FALSE), "")</f>
        <v>0.77017999999999998</v>
      </c>
      <c r="R304">
        <f>IF(RawTable[[#This Row],[Exchange_Rate]]="","",ROUND(RawTable[[#This Row],[Gross_Amount]]*RawTable[[#This Row],[Exchange_Rate]],2))</f>
        <v>4691.99</v>
      </c>
      <c r="S304" t="str">
        <f>IF(RawTable[[#This Row],[Entity_Type]]&lt;&gt;"Employee",RawTable[[#This Row],[Entity_Type]],
IF(RawTable[[#This Row],[Country]]="Switzerland","Direct","EOR")
)</f>
        <v>Vendor</v>
      </c>
      <c r="T304" t="str">
        <f>IF(RawTable[[#This Row],[Employment_Model]]&lt;&gt;"EOR","",
IFERROR(VLOOKUP(RawTable[[#This Row],[Country]],EORMap[#All],3,FALSE),"")
)</f>
        <v/>
      </c>
    </row>
    <row r="305" spans="1:20">
      <c r="A305" s="24">
        <v>304</v>
      </c>
      <c r="B305" s="1" t="s">
        <v>28</v>
      </c>
      <c r="C305" s="3" t="s">
        <v>20</v>
      </c>
      <c r="D305" s="3" t="str">
        <f>IFERROR(VLOOKUP(RawTable[[#This Row],[Entity_Type]], EntityMap[], 2, FALSE), "")</f>
        <v>Vendor_Invoice</v>
      </c>
      <c r="E305" s="3" t="s">
        <v>4</v>
      </c>
      <c r="F305" s="3" t="s">
        <v>125</v>
      </c>
      <c r="G305" s="3" t="str">
        <f>IFERROR(VLOOKUP(RawTable[[#This Row],[Name]], Name_Master!$A:$E, 4, FALSE), "")</f>
        <v>JO-IBAN-01197465</v>
      </c>
      <c r="H30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VEN-Germany-202602-000304</v>
      </c>
      <c r="I305" s="1">
        <f>IF(RawTable[[#This Row],[Month]]="","",DATE(YEAR(RawTable[[#This Row],[Month]]),MONTH(RawTable[[#This Row],[Month]]),1))</f>
        <v>46054</v>
      </c>
      <c r="J30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46084</v>
      </c>
      <c r="K305" s="3" t="s">
        <v>5</v>
      </c>
      <c r="L305" s="4">
        <v>5903.82</v>
      </c>
      <c r="M305" s="2" t="str">
        <f>IF(RawTable[[#This Row],[Net_Amount]]="","",IF(RawTable[[#This Row],[Payment_Type]]="Vendor_Invoice","Yes","No"))</f>
        <v>Yes</v>
      </c>
      <c r="N305" s="6">
        <f>IF(D305="Vendor_Invoice",
     IFERROR(
         INDEX(System_Master_Data!$B$9:$B$14,
               MATCH(E305,System_Master_Data!$A$9:$A$14,0)
         ),
     0),
0)</f>
        <v>0.19</v>
      </c>
      <c r="O305" s="4">
        <f t="shared" si="8"/>
        <v>1121.7257999999999</v>
      </c>
      <c r="P305" s="4">
        <f t="shared" si="10"/>
        <v>7025.5457999999999</v>
      </c>
      <c r="Q305" s="56">
        <f>IFERROR(VLOOKUP(RawTable[[#This Row],[Currency]], System_Master_Data!$A$24:$B$29, 2, FALSE), "")</f>
        <v>0.90888000000000002</v>
      </c>
      <c r="R305">
        <f>IF(RawTable[[#This Row],[Exchange_Rate]]="","",ROUND(RawTable[[#This Row],[Gross_Amount]]*RawTable[[#This Row],[Exchange_Rate]],2))</f>
        <v>6385.38</v>
      </c>
      <c r="S305" t="str">
        <f>IF(RawTable[[#This Row],[Entity_Type]]&lt;&gt;"Employee",RawTable[[#This Row],[Entity_Type]],
IF(RawTable[[#This Row],[Country]]="Switzerland","Direct","EOR")
)</f>
        <v>Vendor</v>
      </c>
      <c r="T305" t="str">
        <f>IF(RawTable[[#This Row],[Employment_Model]]&lt;&gt;"EOR","",
IFERROR(VLOOKUP(RawTable[[#This Row],[Country]],EORMap[#All],3,FALSE),"")
)</f>
        <v/>
      </c>
    </row>
    <row r="306" spans="1:20">
      <c r="A306" s="24">
        <v>305</v>
      </c>
      <c r="B306" s="1" t="s">
        <v>35</v>
      </c>
      <c r="C306" s="3" t="s">
        <v>20</v>
      </c>
      <c r="D306" s="3" t="str">
        <f>IFERROR(VLOOKUP(RawTable[[#This Row],[Entity_Type]], EntityMap[], 2, FALSE), "")</f>
        <v>Vendor_Invoice</v>
      </c>
      <c r="E306" s="3" t="s">
        <v>10</v>
      </c>
      <c r="F306" s="3" t="s">
        <v>122</v>
      </c>
      <c r="G306" s="3" t="str">
        <f>IFERROR(VLOOKUP(RawTable[[#This Row],[Name]], Name_Master!$A:$E, 4, FALSE), "")</f>
        <v>JO-IBAN-01160430</v>
      </c>
      <c r="H30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VEN-Jordan-202601-000305</v>
      </c>
      <c r="I306" s="1">
        <f>IF(RawTable[[#This Row],[Month]]="","",DATE(YEAR(RawTable[[#This Row],[Month]]),MONTH(RawTable[[#This Row],[Month]]),1))</f>
        <v>46023</v>
      </c>
      <c r="J30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306" s="3" t="s">
        <v>11</v>
      </c>
      <c r="L306" s="4">
        <v>1622.79</v>
      </c>
      <c r="M306" s="2" t="str">
        <f>IF(RawTable[[#This Row],[Net_Amount]]="","",IF(RawTable[[#This Row],[Payment_Type]]="Vendor_Invoice","Yes","No"))</f>
        <v>Yes</v>
      </c>
      <c r="N306" s="6">
        <f>IF(D306="Vendor_Invoice",
     IFERROR(
         INDEX(System_Master_Data!$B$9:$B$14,
               MATCH(E306,System_Master_Data!$A$9:$A$14,0)
         ),
     0),
0)</f>
        <v>0.16</v>
      </c>
      <c r="O306" s="4">
        <f t="shared" si="8"/>
        <v>259.64639999999997</v>
      </c>
      <c r="P306" s="4">
        <f t="shared" si="10"/>
        <v>1882.4364</v>
      </c>
      <c r="Q306" s="56">
        <f>IFERROR(VLOOKUP(RawTable[[#This Row],[Currency]], System_Master_Data!$A$24:$B$29, 2, FALSE), "")</f>
        <v>1.08643</v>
      </c>
      <c r="R306">
        <f>IF(RawTable[[#This Row],[Exchange_Rate]]="","",ROUND(RawTable[[#This Row],[Gross_Amount]]*RawTable[[#This Row],[Exchange_Rate]],2))</f>
        <v>2045.14</v>
      </c>
      <c r="S306" t="str">
        <f>IF(RawTable[[#This Row],[Entity_Type]]&lt;&gt;"Employee",RawTable[[#This Row],[Entity_Type]],
IF(RawTable[[#This Row],[Country]]="Switzerland","Direct","EOR")
)</f>
        <v>Vendor</v>
      </c>
      <c r="T306" t="str">
        <f>IF(RawTable[[#This Row],[Employment_Model]]&lt;&gt;"EOR","",
IFERROR(VLOOKUP(RawTable[[#This Row],[Country]],EORMap[#All],3,FALSE),"")
)</f>
        <v/>
      </c>
    </row>
    <row r="307" spans="1:20">
      <c r="A307" s="24">
        <v>306</v>
      </c>
      <c r="B307" s="1" t="s">
        <v>28</v>
      </c>
      <c r="C307" s="3" t="s">
        <v>20</v>
      </c>
      <c r="D307" s="3" t="str">
        <f>IFERROR(VLOOKUP(RawTable[[#This Row],[Entity_Type]], EntityMap[], 2, FALSE), "")</f>
        <v>Vendor_Invoice</v>
      </c>
      <c r="E307" s="3" t="s">
        <v>8</v>
      </c>
      <c r="F307" s="3" t="s">
        <v>128</v>
      </c>
      <c r="G307" s="3" t="str">
        <f>IFERROR(VLOOKUP(RawTable[[#This Row],[Name]], Name_Master!$A:$E, 4, FALSE), "")</f>
        <v>AE-IBAN-05432100</v>
      </c>
      <c r="H30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VEN-UAE-202602-000306</v>
      </c>
      <c r="I307" s="1">
        <f>IF(RawTable[[#This Row],[Month]]="","",DATE(YEAR(RawTable[[#This Row],[Month]]),MONTH(RawTable[[#This Row],[Month]]),1))</f>
        <v>46054</v>
      </c>
      <c r="J30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46084</v>
      </c>
      <c r="K307" s="3" t="s">
        <v>9</v>
      </c>
      <c r="L307" s="4">
        <v>19954.439999999999</v>
      </c>
      <c r="M307" s="2" t="str">
        <f>IF(RawTable[[#This Row],[Net_Amount]]="","",IF(RawTable[[#This Row],[Payment_Type]]="Vendor_Invoice","Yes","No"))</f>
        <v>Yes</v>
      </c>
      <c r="N307" s="6">
        <f>IF(D307="Vendor_Invoice",
     IFERROR(
         INDEX(System_Master_Data!$B$9:$B$14,
               MATCH(E307,System_Master_Data!$A$9:$A$14,0)
         ),
     0),
0)</f>
        <v>0</v>
      </c>
      <c r="O307" s="4">
        <f t="shared" si="8"/>
        <v>0</v>
      </c>
      <c r="P307" s="4">
        <f t="shared" si="10"/>
        <v>19954.439999999999</v>
      </c>
      <c r="Q307" s="56">
        <f>IFERROR(VLOOKUP(RawTable[[#This Row],[Currency]], System_Master_Data!$A$24:$B$29, 2, FALSE), "")</f>
        <v>0.21065</v>
      </c>
      <c r="R307">
        <f>IF(RawTable[[#This Row],[Exchange_Rate]]="","",ROUND(RawTable[[#This Row],[Gross_Amount]]*RawTable[[#This Row],[Exchange_Rate]],2))</f>
        <v>4203.3999999999996</v>
      </c>
      <c r="S307" t="str">
        <f>IF(RawTable[[#This Row],[Entity_Type]]&lt;&gt;"Employee",RawTable[[#This Row],[Entity_Type]],
IF(RawTable[[#This Row],[Country]]="Switzerland","Direct","EOR")
)</f>
        <v>Vendor</v>
      </c>
      <c r="T307" t="str">
        <f>IF(RawTable[[#This Row],[Employment_Model]]&lt;&gt;"EOR","",
IFERROR(VLOOKUP(RawTable[[#This Row],[Country]],EORMap[#All],3,FALSE),"")
)</f>
        <v/>
      </c>
    </row>
    <row r="308" spans="1:20">
      <c r="A308" s="24">
        <v>307</v>
      </c>
      <c r="B308" s="1" t="s">
        <v>28</v>
      </c>
      <c r="C308" s="3" t="s">
        <v>20</v>
      </c>
      <c r="D308" s="3" t="str">
        <f>IFERROR(VLOOKUP(RawTable[[#This Row],[Entity_Type]], EntityMap[], 2, FALSE), "")</f>
        <v>Vendor_Invoice</v>
      </c>
      <c r="E308" s="3" t="s">
        <v>6</v>
      </c>
      <c r="F308" s="3" t="s">
        <v>121</v>
      </c>
      <c r="G308" s="3" t="str">
        <f>IFERROR(VLOOKUP(RawTable[[#This Row],[Name]], Name_Master!$A:$E, 4, FALSE), "")</f>
        <v>CH930000000002295240</v>
      </c>
      <c r="H30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VEN-USA-202602-000307</v>
      </c>
      <c r="I308" s="1">
        <f>IF(RawTable[[#This Row],[Month]]="","",DATE(YEAR(RawTable[[#This Row],[Month]]),MONTH(RawTable[[#This Row],[Month]]),1))</f>
        <v>46054</v>
      </c>
      <c r="J30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46084</v>
      </c>
      <c r="K308" s="3" t="s">
        <v>7</v>
      </c>
      <c r="L308" s="4">
        <v>6331.19</v>
      </c>
      <c r="M308" s="2" t="str">
        <f>IF(RawTable[[#This Row],[Net_Amount]]="","",IF(RawTable[[#This Row],[Payment_Type]]="Vendor_Invoice","Yes","No"))</f>
        <v>Yes</v>
      </c>
      <c r="N308" s="6">
        <f>IF(D308="Vendor_Invoice",
     IFERROR(
         INDEX(System_Master_Data!$B$9:$B$14,
               MATCH(E308,System_Master_Data!$A$9:$A$14,0)
         ),
     0),
0)</f>
        <v>0.05</v>
      </c>
      <c r="O308" s="4">
        <f t="shared" si="8"/>
        <v>316.55950000000001</v>
      </c>
      <c r="P308" s="4">
        <f t="shared" si="10"/>
        <v>6647.7494999999999</v>
      </c>
      <c r="Q308" s="56">
        <f>IFERROR(VLOOKUP(RawTable[[#This Row],[Currency]], System_Master_Data!$A$24:$B$29, 2, FALSE), "")</f>
        <v>0.77017999999999998</v>
      </c>
      <c r="R308">
        <f>IF(RawTable[[#This Row],[Exchange_Rate]]="","",ROUND(RawTable[[#This Row],[Gross_Amount]]*RawTable[[#This Row],[Exchange_Rate]],2))</f>
        <v>5119.96</v>
      </c>
      <c r="S308" t="str">
        <f>IF(RawTable[[#This Row],[Entity_Type]]&lt;&gt;"Employee",RawTable[[#This Row],[Entity_Type]],
IF(RawTable[[#This Row],[Country]]="Switzerland","Direct","EOR")
)</f>
        <v>Vendor</v>
      </c>
      <c r="T308" t="str">
        <f>IF(RawTable[[#This Row],[Employment_Model]]&lt;&gt;"EOR","",
IFERROR(VLOOKUP(RawTable[[#This Row],[Country]],EORMap[#All],3,FALSE),"")
)</f>
        <v/>
      </c>
    </row>
    <row r="309" spans="1:20">
      <c r="A309" s="24">
        <v>308</v>
      </c>
      <c r="B309" s="1" t="s">
        <v>35</v>
      </c>
      <c r="C309" s="3" t="s">
        <v>20</v>
      </c>
      <c r="D309" s="3" t="str">
        <f>IFERROR(VLOOKUP(RawTable[[#This Row],[Entity_Type]], EntityMap[], 2, FALSE), "")</f>
        <v>Vendor_Invoice</v>
      </c>
      <c r="E309" s="3" t="s">
        <v>6</v>
      </c>
      <c r="F309" s="3" t="s">
        <v>121</v>
      </c>
      <c r="G309" s="3" t="str">
        <f>IFERROR(VLOOKUP(RawTable[[#This Row],[Name]], Name_Master!$A:$E, 4, FALSE), "")</f>
        <v>CH930000000002295240</v>
      </c>
      <c r="H30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VEN-USA-202601-000308</v>
      </c>
      <c r="I309" s="1">
        <f>IF(RawTable[[#This Row],[Month]]="","",DATE(YEAR(RawTable[[#This Row],[Month]]),MONTH(RawTable[[#This Row],[Month]]),1))</f>
        <v>46023</v>
      </c>
      <c r="J30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309" s="3" t="s">
        <v>7</v>
      </c>
      <c r="L309" s="4">
        <v>6394.5</v>
      </c>
      <c r="M309" s="2" t="str">
        <f>IF(RawTable[[#This Row],[Net_Amount]]="","",IF(RawTable[[#This Row],[Payment_Type]]="Vendor_Invoice","Yes","No"))</f>
        <v>Yes</v>
      </c>
      <c r="N309" s="6">
        <f>IF(D309="Vendor_Invoice",
     IFERROR(
         INDEX(System_Master_Data!$B$9:$B$14,
               MATCH(E309,System_Master_Data!$A$9:$A$14,0)
         ),
     0),
0)</f>
        <v>0.05</v>
      </c>
      <c r="O309" s="4">
        <f t="shared" si="8"/>
        <v>319.72500000000002</v>
      </c>
      <c r="P309" s="4">
        <f t="shared" si="10"/>
        <v>6714.2250000000004</v>
      </c>
      <c r="Q309" s="56">
        <f>IFERROR(VLOOKUP(RawTable[[#This Row],[Currency]], System_Master_Data!$A$24:$B$29, 2, FALSE), "")</f>
        <v>0.77017999999999998</v>
      </c>
      <c r="R309">
        <f>IF(RawTable[[#This Row],[Exchange_Rate]]="","",ROUND(RawTable[[#This Row],[Gross_Amount]]*RawTable[[#This Row],[Exchange_Rate]],2))</f>
        <v>5171.16</v>
      </c>
      <c r="S309" t="str">
        <f>IF(RawTable[[#This Row],[Entity_Type]]&lt;&gt;"Employee",RawTable[[#This Row],[Entity_Type]],
IF(RawTable[[#This Row],[Country]]="Switzerland","Direct","EOR")
)</f>
        <v>Vendor</v>
      </c>
      <c r="T309" t="str">
        <f>IF(RawTable[[#This Row],[Employment_Model]]&lt;&gt;"EOR","",
IFERROR(VLOOKUP(RawTable[[#This Row],[Country]],EORMap[#All],3,FALSE),"")
)</f>
        <v/>
      </c>
    </row>
    <row r="310" spans="1:20">
      <c r="A310" s="24">
        <v>309</v>
      </c>
      <c r="B310" s="1" t="s">
        <v>28</v>
      </c>
      <c r="C310" s="3" t="s">
        <v>20</v>
      </c>
      <c r="D310" s="3" t="str">
        <f>IFERROR(VLOOKUP(RawTable[[#This Row],[Entity_Type]], EntityMap[], 2, FALSE), "")</f>
        <v>Vendor_Invoice</v>
      </c>
      <c r="E310" s="3" t="s">
        <v>10</v>
      </c>
      <c r="F310" s="3" t="s">
        <v>125</v>
      </c>
      <c r="G310" s="3" t="str">
        <f>IFERROR(VLOOKUP(RawTable[[#This Row],[Name]], Name_Master!$A:$E, 4, FALSE), "")</f>
        <v>JO-IBAN-01197465</v>
      </c>
      <c r="H31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VEN-Jordan-202602-000309</v>
      </c>
      <c r="I310" s="1">
        <f>IF(RawTable[[#This Row],[Month]]="","",DATE(YEAR(RawTable[[#This Row],[Month]]),MONTH(RawTable[[#This Row],[Month]]),1))</f>
        <v>46054</v>
      </c>
      <c r="J31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46084</v>
      </c>
      <c r="K310" s="3" t="s">
        <v>11</v>
      </c>
      <c r="L310" s="4">
        <v>1806.75</v>
      </c>
      <c r="M310" s="2" t="str">
        <f>IF(RawTable[[#This Row],[Net_Amount]]="","",IF(RawTable[[#This Row],[Payment_Type]]="Vendor_Invoice","Yes","No"))</f>
        <v>Yes</v>
      </c>
      <c r="N310" s="6">
        <f>IF(D310="Vendor_Invoice",
     IFERROR(
         INDEX(System_Master_Data!$B$9:$B$14,
               MATCH(E310,System_Master_Data!$A$9:$A$14,0)
         ),
     0),
0)</f>
        <v>0.16</v>
      </c>
      <c r="O310" s="4">
        <f t="shared" si="8"/>
        <v>289.08</v>
      </c>
      <c r="P310" s="4">
        <f t="shared" si="10"/>
        <v>2095.83</v>
      </c>
      <c r="Q310" s="56">
        <f>IFERROR(VLOOKUP(RawTable[[#This Row],[Currency]], System_Master_Data!$A$24:$B$29, 2, FALSE), "")</f>
        <v>1.08643</v>
      </c>
      <c r="R310">
        <f>IF(RawTable[[#This Row],[Exchange_Rate]]="","",ROUND(RawTable[[#This Row],[Gross_Amount]]*RawTable[[#This Row],[Exchange_Rate]],2))</f>
        <v>2276.9699999999998</v>
      </c>
      <c r="S310" t="str">
        <f>IF(RawTable[[#This Row],[Entity_Type]]&lt;&gt;"Employee",RawTable[[#This Row],[Entity_Type]],
IF(RawTable[[#This Row],[Country]]="Switzerland","Direct","EOR")
)</f>
        <v>Vendor</v>
      </c>
      <c r="T310" t="str">
        <f>IF(RawTable[[#This Row],[Employment_Model]]&lt;&gt;"EOR","",
IFERROR(VLOOKUP(RawTable[[#This Row],[Country]],EORMap[#All],3,FALSE),"")
)</f>
        <v/>
      </c>
    </row>
    <row r="311" spans="1:20">
      <c r="A311" s="24">
        <v>310</v>
      </c>
      <c r="B311" s="1" t="s">
        <v>35</v>
      </c>
      <c r="C311" s="3" t="s">
        <v>20</v>
      </c>
      <c r="D311" s="3" t="str">
        <f>IFERROR(VLOOKUP(RawTable[[#This Row],[Entity_Type]], EntityMap[], 2, FALSE), "")</f>
        <v>Vendor_Invoice</v>
      </c>
      <c r="E311" s="3" t="s">
        <v>8</v>
      </c>
      <c r="F311" s="3" t="s">
        <v>126</v>
      </c>
      <c r="G311" s="3" t="str">
        <f>IFERROR(VLOOKUP(RawTable[[#This Row],[Name]], Name_Master!$A:$E, 4, FALSE), "")</f>
        <v>US-RT-000120932-AC-0000556444</v>
      </c>
      <c r="H31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VEN-UAE-202601-000310</v>
      </c>
      <c r="I311" s="1">
        <f>IF(RawTable[[#This Row],[Month]]="","",DATE(YEAR(RawTable[[#This Row],[Month]]),MONTH(RawTable[[#This Row],[Month]]),1))</f>
        <v>46023</v>
      </c>
      <c r="J31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311" s="3" t="s">
        <v>9</v>
      </c>
      <c r="L311" s="4">
        <v>17831.88</v>
      </c>
      <c r="M311" s="2" t="str">
        <f>IF(RawTable[[#This Row],[Net_Amount]]="","",IF(RawTable[[#This Row],[Payment_Type]]="Vendor_Invoice","Yes","No"))</f>
        <v>Yes</v>
      </c>
      <c r="N311" s="6">
        <f>IF(D311="Vendor_Invoice",
     IFERROR(
         INDEX(System_Master_Data!$B$9:$B$14,
               MATCH(E311,System_Master_Data!$A$9:$A$14,0)
         ),
     0),
0)</f>
        <v>0</v>
      </c>
      <c r="O311" s="4">
        <f t="shared" si="8"/>
        <v>0</v>
      </c>
      <c r="P311" s="4">
        <f t="shared" si="10"/>
        <v>17831.88</v>
      </c>
      <c r="Q311" s="56">
        <f>IFERROR(VLOOKUP(RawTable[[#This Row],[Currency]], System_Master_Data!$A$24:$B$29, 2, FALSE), "")</f>
        <v>0.21065</v>
      </c>
      <c r="R311">
        <f>IF(RawTable[[#This Row],[Exchange_Rate]]="","",ROUND(RawTable[[#This Row],[Gross_Amount]]*RawTable[[#This Row],[Exchange_Rate]],2))</f>
        <v>3756.29</v>
      </c>
      <c r="S311" t="str">
        <f>IF(RawTable[[#This Row],[Entity_Type]]&lt;&gt;"Employee",RawTable[[#This Row],[Entity_Type]],
IF(RawTable[[#This Row],[Country]]="Switzerland","Direct","EOR")
)</f>
        <v>Vendor</v>
      </c>
      <c r="T311" t="str">
        <f>IF(RawTable[[#This Row],[Employment_Model]]&lt;&gt;"EOR","",
IFERROR(VLOOKUP(RawTable[[#This Row],[Country]],EORMap[#All],3,FALSE),"")
)</f>
        <v/>
      </c>
    </row>
    <row r="312" spans="1:20">
      <c r="A312" s="24">
        <v>311</v>
      </c>
      <c r="B312" s="1" t="s">
        <v>30</v>
      </c>
      <c r="C312" s="3" t="s">
        <v>20</v>
      </c>
      <c r="D312" s="3" t="str">
        <f>IFERROR(VLOOKUP(RawTable[[#This Row],[Entity_Type]], EntityMap[], 2, FALSE), "")</f>
        <v>Vendor_Invoice</v>
      </c>
      <c r="E312" s="3" t="s">
        <v>10</v>
      </c>
      <c r="F312" s="3" t="s">
        <v>123</v>
      </c>
      <c r="G312" s="3" t="str">
        <f>IFERROR(VLOOKUP(RawTable[[#This Row],[Name]], Name_Master!$A:$E, 4, FALSE), "")</f>
        <v>CH930000000002344600</v>
      </c>
      <c r="H31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VEN-Jordan-202603-000311</v>
      </c>
      <c r="I312" s="1">
        <f>IF(RawTable[[#This Row],[Month]]="","",DATE(YEAR(RawTable[[#This Row],[Month]]),MONTH(RawTable[[#This Row],[Month]]),1))</f>
        <v>46082</v>
      </c>
      <c r="J31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312" s="3" t="s">
        <v>11</v>
      </c>
      <c r="L312" s="4">
        <v>5687.64</v>
      </c>
      <c r="M312" s="2" t="str">
        <f>IF(RawTable[[#This Row],[Net_Amount]]="","",IF(RawTable[[#This Row],[Payment_Type]]="Vendor_Invoice","Yes","No"))</f>
        <v>Yes</v>
      </c>
      <c r="N312" s="6">
        <f>IF(D312="Vendor_Invoice",
     IFERROR(
         INDEX(System_Master_Data!$B$9:$B$14,
               MATCH(E312,System_Master_Data!$A$9:$A$14,0)
         ),
     0),
0)</f>
        <v>0.16</v>
      </c>
      <c r="O312" s="4">
        <f t="shared" si="8"/>
        <v>910.02240000000006</v>
      </c>
      <c r="P312" s="4">
        <f t="shared" si="10"/>
        <v>6597.6624000000002</v>
      </c>
      <c r="Q312" s="56">
        <f>IFERROR(VLOOKUP(RawTable[[#This Row],[Currency]], System_Master_Data!$A$24:$B$29, 2, FALSE), "")</f>
        <v>1.08643</v>
      </c>
      <c r="R312">
        <f>IF(RawTable[[#This Row],[Exchange_Rate]]="","",ROUND(RawTable[[#This Row],[Gross_Amount]]*RawTable[[#This Row],[Exchange_Rate]],2))</f>
        <v>7167.9</v>
      </c>
      <c r="S312" t="str">
        <f>IF(RawTable[[#This Row],[Entity_Type]]&lt;&gt;"Employee",RawTable[[#This Row],[Entity_Type]],
IF(RawTable[[#This Row],[Country]]="Switzerland","Direct","EOR")
)</f>
        <v>Vendor</v>
      </c>
      <c r="T312" t="str">
        <f>IF(RawTable[[#This Row],[Employment_Model]]&lt;&gt;"EOR","",
IFERROR(VLOOKUP(RawTable[[#This Row],[Country]],EORMap[#All],3,FALSE),"")
)</f>
        <v/>
      </c>
    </row>
    <row r="313" spans="1:20">
      <c r="A313" s="24">
        <v>312</v>
      </c>
      <c r="B313" s="1" t="s">
        <v>35</v>
      </c>
      <c r="C313" s="3" t="s">
        <v>20</v>
      </c>
      <c r="D313" s="3" t="str">
        <f>IFERROR(VLOOKUP(RawTable[[#This Row],[Entity_Type]], EntityMap[], 2, FALSE), "")</f>
        <v>Vendor_Invoice</v>
      </c>
      <c r="E313" s="3" t="s">
        <v>10</v>
      </c>
      <c r="F313" s="3" t="s">
        <v>126</v>
      </c>
      <c r="G313" s="3" t="str">
        <f>IFERROR(VLOOKUP(RawTable[[#This Row],[Name]], Name_Master!$A:$E, 4, FALSE), "")</f>
        <v>US-RT-000120932-AC-0000556444</v>
      </c>
      <c r="H31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VEN-Jordan-202601-000312</v>
      </c>
      <c r="I313" s="1">
        <f>IF(RawTable[[#This Row],[Month]]="","",DATE(YEAR(RawTable[[#This Row],[Month]]),MONTH(RawTable[[#This Row],[Month]]),1))</f>
        <v>46023</v>
      </c>
      <c r="J31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313" s="3" t="s">
        <v>11</v>
      </c>
      <c r="L313" s="4">
        <v>1458.97</v>
      </c>
      <c r="M313" s="2" t="str">
        <f>IF(RawTable[[#This Row],[Net_Amount]]="","",IF(RawTable[[#This Row],[Payment_Type]]="Vendor_Invoice","Yes","No"))</f>
        <v>Yes</v>
      </c>
      <c r="N313" s="6">
        <f>IF(D313="Vendor_Invoice",
     IFERROR(
         INDEX(System_Master_Data!$B$9:$B$14,
               MATCH(E313,System_Master_Data!$A$9:$A$14,0)
         ),
     0),
0)</f>
        <v>0.16</v>
      </c>
      <c r="O313" s="4">
        <f t="shared" si="8"/>
        <v>233.43520000000001</v>
      </c>
      <c r="P313" s="4">
        <f t="shared" si="10"/>
        <v>1692.4052000000001</v>
      </c>
      <c r="Q313" s="56">
        <f>IFERROR(VLOOKUP(RawTable[[#This Row],[Currency]], System_Master_Data!$A$24:$B$29, 2, FALSE), "")</f>
        <v>1.08643</v>
      </c>
      <c r="R313">
        <f>IF(RawTable[[#This Row],[Exchange_Rate]]="","",ROUND(RawTable[[#This Row],[Gross_Amount]]*RawTable[[#This Row],[Exchange_Rate]],2))</f>
        <v>1838.68</v>
      </c>
      <c r="S313" t="str">
        <f>IF(RawTable[[#This Row],[Entity_Type]]&lt;&gt;"Employee",RawTable[[#This Row],[Entity_Type]],
IF(RawTable[[#This Row],[Country]]="Switzerland","Direct","EOR")
)</f>
        <v>Vendor</v>
      </c>
      <c r="T313" t="str">
        <f>IF(RawTable[[#This Row],[Employment_Model]]&lt;&gt;"EOR","",
IFERROR(VLOOKUP(RawTable[[#This Row],[Country]],EORMap[#All],3,FALSE),"")
)</f>
        <v/>
      </c>
    </row>
    <row r="314" spans="1:20">
      <c r="A314" s="24">
        <v>313</v>
      </c>
      <c r="B314" s="1" t="s">
        <v>28</v>
      </c>
      <c r="C314" s="3" t="s">
        <v>20</v>
      </c>
      <c r="D314" s="3" t="str">
        <f>IFERROR(VLOOKUP(RawTable[[#This Row],[Entity_Type]], EntityMap[], 2, FALSE), "")</f>
        <v>Vendor_Invoice</v>
      </c>
      <c r="E314" s="3" t="s">
        <v>8</v>
      </c>
      <c r="F314" s="3" t="s">
        <v>128</v>
      </c>
      <c r="G314" s="3" t="str">
        <f>IFERROR(VLOOKUP(RawTable[[#This Row],[Name]], Name_Master!$A:$E, 4, FALSE), "")</f>
        <v>AE-IBAN-05432100</v>
      </c>
      <c r="H31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VEN-UAE-202602-000313</v>
      </c>
      <c r="I314" s="1">
        <f>IF(RawTable[[#This Row],[Month]]="","",DATE(YEAR(RawTable[[#This Row],[Month]]),MONTH(RawTable[[#This Row],[Month]]),1))</f>
        <v>46054</v>
      </c>
      <c r="J31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46084</v>
      </c>
      <c r="K314" s="3" t="s">
        <v>9</v>
      </c>
      <c r="L314" s="4">
        <v>20153.98</v>
      </c>
      <c r="M314" s="2" t="str">
        <f>IF(RawTable[[#This Row],[Net_Amount]]="","",IF(RawTable[[#This Row],[Payment_Type]]="Vendor_Invoice","Yes","No"))</f>
        <v>Yes</v>
      </c>
      <c r="N314" s="6">
        <f>IF(D314="Vendor_Invoice",
     IFERROR(
         INDEX(System_Master_Data!$B$9:$B$14,
               MATCH(E314,System_Master_Data!$A$9:$A$14,0)
         ),
     0),
0)</f>
        <v>0</v>
      </c>
      <c r="O314" s="4">
        <f t="shared" si="8"/>
        <v>0</v>
      </c>
      <c r="P314" s="4">
        <f t="shared" si="10"/>
        <v>20153.98</v>
      </c>
      <c r="Q314" s="56">
        <f>IFERROR(VLOOKUP(RawTable[[#This Row],[Currency]], System_Master_Data!$A$24:$B$29, 2, FALSE), "")</f>
        <v>0.21065</v>
      </c>
      <c r="R314">
        <f>IF(RawTable[[#This Row],[Exchange_Rate]]="","",ROUND(RawTable[[#This Row],[Gross_Amount]]*RawTable[[#This Row],[Exchange_Rate]],2))</f>
        <v>4245.4399999999996</v>
      </c>
      <c r="S314" t="str">
        <f>IF(RawTable[[#This Row],[Entity_Type]]&lt;&gt;"Employee",RawTable[[#This Row],[Entity_Type]],
IF(RawTable[[#This Row],[Country]]="Switzerland","Direct","EOR")
)</f>
        <v>Vendor</v>
      </c>
      <c r="T314" t="str">
        <f>IF(RawTable[[#This Row],[Employment_Model]]&lt;&gt;"EOR","",
IFERROR(VLOOKUP(RawTable[[#This Row],[Country]],EORMap[#All],3,FALSE),"")
)</f>
        <v/>
      </c>
    </row>
    <row r="315" spans="1:20">
      <c r="A315" s="24">
        <v>314</v>
      </c>
      <c r="B315" s="1" t="s">
        <v>30</v>
      </c>
      <c r="C315" s="3" t="s">
        <v>20</v>
      </c>
      <c r="E315" s="3" t="s">
        <v>8</v>
      </c>
      <c r="F315" s="3" t="s">
        <v>126</v>
      </c>
      <c r="G315" s="3" t="str">
        <f>IFERROR(VLOOKUP(RawTable[[#This Row],[Name]], Name_Master!$A:$E, 4, FALSE), "")</f>
        <v>US-RT-000120932-AC-0000556444</v>
      </c>
      <c r="H31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/>
      </c>
      <c r="I315" s="1">
        <f>IF(RawTable[[#This Row],[Month]]="","",DATE(YEAR(RawTable[[#This Row],[Month]]),MONTH(RawTable[[#This Row],[Month]]),1))</f>
        <v>46082</v>
      </c>
      <c r="J315" s="1" t="str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/>
      </c>
      <c r="K315" s="3" t="s">
        <v>9</v>
      </c>
      <c r="L315" s="4">
        <v>18010.2</v>
      </c>
      <c r="M315" s="2" t="str">
        <f>IF(RawTable[[#This Row],[Net_Amount]]="","",IF(RawTable[[#This Row],[Payment_Type]]="Vendor_Invoice","Yes","No"))</f>
        <v>No</v>
      </c>
      <c r="N315" s="6">
        <f>IF(D315="Vendor_Invoice",
     IFERROR(
         INDEX(System_Master_Data!$B$9:$B$14,
               MATCH(E315,System_Master_Data!$A$9:$A$14,0)
         ),
     0),
0)</f>
        <v>0</v>
      </c>
      <c r="O315" s="4">
        <f t="shared" si="8"/>
        <v>0</v>
      </c>
      <c r="P315" s="4">
        <f t="shared" si="10"/>
        <v>18010.2</v>
      </c>
      <c r="Q315" s="56">
        <f>IFERROR(VLOOKUP(RawTable[[#This Row],[Currency]], System_Master_Data!$A$24:$B$29, 2, FALSE), "")</f>
        <v>0.21065</v>
      </c>
      <c r="R315">
        <f>IF(RawTable[[#This Row],[Exchange_Rate]]="","",ROUND(RawTable[[#This Row],[Gross_Amount]]*RawTable[[#This Row],[Exchange_Rate]],2))</f>
        <v>3793.85</v>
      </c>
      <c r="S315" t="str">
        <f>IF(RawTable[[#This Row],[Entity_Type]]&lt;&gt;"Employee",RawTable[[#This Row],[Entity_Type]],
IF(RawTable[[#This Row],[Country]]="Switzerland","Direct","EOR")
)</f>
        <v>Vendor</v>
      </c>
      <c r="T315" t="str">
        <f>IF(RawTable[[#This Row],[Employment_Model]]&lt;&gt;"EOR","",
IFERROR(VLOOKUP(RawTable[[#This Row],[Country]],EORMap[#All],3,FALSE),"")
)</f>
        <v/>
      </c>
    </row>
    <row r="316" spans="1:20">
      <c r="A316" s="24">
        <v>315</v>
      </c>
      <c r="B316" s="1" t="s">
        <v>35</v>
      </c>
      <c r="C316" s="3" t="s">
        <v>20</v>
      </c>
      <c r="D316" s="3" t="str">
        <f>IFERROR(VLOOKUP(RawTable[[#This Row],[Entity_Type]], EntityMap[], 2, FALSE), "")</f>
        <v>Vendor_Invoice</v>
      </c>
      <c r="E316" s="3" t="s">
        <v>10</v>
      </c>
      <c r="F316" s="3" t="s">
        <v>122</v>
      </c>
      <c r="G316" s="3" t="str">
        <f>IFERROR(VLOOKUP(RawTable[[#This Row],[Name]], Name_Master!$A:$E, 4, FALSE), "")</f>
        <v>JO-IBAN-01160430</v>
      </c>
      <c r="H31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VEN-Jordan-202601-000315</v>
      </c>
      <c r="I316" s="1">
        <f>IF(RawTable[[#This Row],[Month]]="","",DATE(YEAR(RawTable[[#This Row],[Month]]),MONTH(RawTable[[#This Row],[Month]]),1))</f>
        <v>46023</v>
      </c>
      <c r="J31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316" s="3" t="s">
        <v>11</v>
      </c>
      <c r="L316" s="4">
        <v>1639.02</v>
      </c>
      <c r="M316" s="2" t="str">
        <f>IF(RawTable[[#This Row],[Net_Amount]]="","",IF(RawTable[[#This Row],[Payment_Type]]="Vendor_Invoice","Yes","No"))</f>
        <v>Yes</v>
      </c>
      <c r="N316" s="6">
        <f>IF(D316="Vendor_Invoice",
     IFERROR(
         INDEX(System_Master_Data!$B$9:$B$14,
               MATCH(E316,System_Master_Data!$A$9:$A$14,0)
         ),
     0),
0)</f>
        <v>0.16</v>
      </c>
      <c r="O316" s="4">
        <f t="shared" si="8"/>
        <v>262.2432</v>
      </c>
      <c r="P316" s="4">
        <f t="shared" si="10"/>
        <v>1901.2631999999999</v>
      </c>
      <c r="Q316" s="56">
        <f>IFERROR(VLOOKUP(RawTable[[#This Row],[Currency]], System_Master_Data!$A$24:$B$29, 2, FALSE), "")</f>
        <v>1.08643</v>
      </c>
      <c r="R316">
        <f>IF(RawTable[[#This Row],[Exchange_Rate]]="","",ROUND(RawTable[[#This Row],[Gross_Amount]]*RawTable[[#This Row],[Exchange_Rate]],2))</f>
        <v>2065.59</v>
      </c>
      <c r="S316" t="str">
        <f>IF(RawTable[[#This Row],[Entity_Type]]&lt;&gt;"Employee",RawTable[[#This Row],[Entity_Type]],
IF(RawTable[[#This Row],[Country]]="Switzerland","Direct","EOR")
)</f>
        <v>Vendor</v>
      </c>
      <c r="T316" t="str">
        <f>IF(RawTable[[#This Row],[Employment_Model]]&lt;&gt;"EOR","",
IFERROR(VLOOKUP(RawTable[[#This Row],[Country]],EORMap[#All],3,FALSE),"")
)</f>
        <v/>
      </c>
    </row>
    <row r="317" spans="1:20">
      <c r="A317" s="24">
        <v>316</v>
      </c>
      <c r="B317" s="1" t="s">
        <v>35</v>
      </c>
      <c r="C317" s="3" t="s">
        <v>20</v>
      </c>
      <c r="D317" s="3" t="str">
        <f>IFERROR(VLOOKUP(RawTable[[#This Row],[Entity_Type]], EntityMap[], 2, FALSE), "")</f>
        <v>Vendor_Invoice</v>
      </c>
      <c r="E317" s="3" t="s">
        <v>6</v>
      </c>
      <c r="F317" s="3" t="s">
        <v>124</v>
      </c>
      <c r="G317" s="3" t="str">
        <f>IFERROR(VLOOKUP(RawTable[[#This Row],[Name]], Name_Master!$A:$E, 4, FALSE), "")</f>
        <v>US-RT-000118464-AC-0000545088</v>
      </c>
      <c r="H31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VEN-USA-202601-000316</v>
      </c>
      <c r="I317" s="1">
        <f>IF(RawTable[[#This Row],[Month]]="","",DATE(YEAR(RawTable[[#This Row],[Month]]),MONTH(RawTable[[#This Row],[Month]]),1))</f>
        <v>46023</v>
      </c>
      <c r="J31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317" s="3" t="s">
        <v>7</v>
      </c>
      <c r="L317" s="4">
        <v>6681.79</v>
      </c>
      <c r="M317" s="2" t="str">
        <f>IF(RawTable[[#This Row],[Net_Amount]]="","",IF(RawTable[[#This Row],[Payment_Type]]="Vendor_Invoice","Yes","No"))</f>
        <v>Yes</v>
      </c>
      <c r="N317" s="6">
        <f>IF(D317="Vendor_Invoice",
     IFERROR(
         INDEX(System_Master_Data!$B$9:$B$14,
               MATCH(E317,System_Master_Data!$A$9:$A$14,0)
         ),
     0),
0)</f>
        <v>0.05</v>
      </c>
      <c r="O317" s="4">
        <f t="shared" si="8"/>
        <v>334.08950000000004</v>
      </c>
      <c r="P317" s="4">
        <f t="shared" si="10"/>
        <v>7015.8795</v>
      </c>
      <c r="Q317" s="56">
        <f>IFERROR(VLOOKUP(RawTable[[#This Row],[Currency]], System_Master_Data!$A$24:$B$29, 2, FALSE), "")</f>
        <v>0.77017999999999998</v>
      </c>
      <c r="R317">
        <f>IF(RawTable[[#This Row],[Exchange_Rate]]="","",ROUND(RawTable[[#This Row],[Gross_Amount]]*RawTable[[#This Row],[Exchange_Rate]],2))</f>
        <v>5403.49</v>
      </c>
      <c r="S317" t="str">
        <f>IF(RawTable[[#This Row],[Entity_Type]]&lt;&gt;"Employee",RawTable[[#This Row],[Entity_Type]],
IF(RawTable[[#This Row],[Country]]="Switzerland","Direct","EOR")
)</f>
        <v>Vendor</v>
      </c>
      <c r="T317" t="str">
        <f>IF(RawTable[[#This Row],[Employment_Model]]&lt;&gt;"EOR","",
IFERROR(VLOOKUP(RawTable[[#This Row],[Country]],EORMap[#All],3,FALSE),"")
)</f>
        <v/>
      </c>
    </row>
    <row r="318" spans="1:20">
      <c r="A318" s="24">
        <v>317</v>
      </c>
      <c r="B318" s="1" t="s">
        <v>35</v>
      </c>
      <c r="C318" s="3" t="s">
        <v>20</v>
      </c>
      <c r="D318" s="3" t="str">
        <f>IFERROR(VLOOKUP(RawTable[[#This Row],[Entity_Type]], EntityMap[], 2, FALSE), "")</f>
        <v>Vendor_Invoice</v>
      </c>
      <c r="E318" s="3" t="s">
        <v>6</v>
      </c>
      <c r="F318" s="3" t="s">
        <v>127</v>
      </c>
      <c r="G318" s="3" t="str">
        <f>IFERROR(VLOOKUP(RawTable[[#This Row],[Name]], Name_Master!$A:$E, 4, FALSE), "")</f>
        <v>JO-IBAN-01222155</v>
      </c>
      <c r="H31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VEN-USA-202601-000317</v>
      </c>
      <c r="I318" s="1">
        <f>IF(RawTable[[#This Row],[Month]]="","",DATE(YEAR(RawTable[[#This Row],[Month]]),MONTH(RawTable[[#This Row],[Month]]),1))</f>
        <v>46023</v>
      </c>
      <c r="J31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318" s="3" t="s">
        <v>7</v>
      </c>
      <c r="L318" s="4">
        <v>6746.67</v>
      </c>
      <c r="M318" s="2" t="str">
        <f>IF(RawTable[[#This Row],[Net_Amount]]="","",IF(RawTable[[#This Row],[Payment_Type]]="Vendor_Invoice","Yes","No"))</f>
        <v>Yes</v>
      </c>
      <c r="N318" s="6">
        <f>IF(D318="Vendor_Invoice",
     IFERROR(
         INDEX(System_Master_Data!$B$9:$B$14,
               MATCH(E318,System_Master_Data!$A$9:$A$14,0)
         ),
     0),
0)</f>
        <v>0.05</v>
      </c>
      <c r="O318" s="4">
        <f t="shared" si="8"/>
        <v>337.33350000000002</v>
      </c>
      <c r="P318" s="4">
        <f t="shared" si="10"/>
        <v>7084.0034999999998</v>
      </c>
      <c r="Q318" s="56">
        <f>IFERROR(VLOOKUP(RawTable[[#This Row],[Currency]], System_Master_Data!$A$24:$B$29, 2, FALSE), "")</f>
        <v>0.77017999999999998</v>
      </c>
      <c r="R318">
        <f>IF(RawTable[[#This Row],[Exchange_Rate]]="","",ROUND(RawTable[[#This Row],[Gross_Amount]]*RawTable[[#This Row],[Exchange_Rate]],2))</f>
        <v>5455.96</v>
      </c>
      <c r="S318" t="str">
        <f>IF(RawTable[[#This Row],[Entity_Type]]&lt;&gt;"Employee",RawTable[[#This Row],[Entity_Type]],
IF(RawTable[[#This Row],[Country]]="Switzerland","Direct","EOR")
)</f>
        <v>Vendor</v>
      </c>
      <c r="T318" t="str">
        <f>IF(RawTable[[#This Row],[Employment_Model]]&lt;&gt;"EOR","",
IFERROR(VLOOKUP(RawTable[[#This Row],[Country]],EORMap[#All],3,FALSE),"")
)</f>
        <v/>
      </c>
    </row>
    <row r="319" spans="1:20">
      <c r="A319" s="24">
        <v>318</v>
      </c>
      <c r="B319" s="1" t="s">
        <v>28</v>
      </c>
      <c r="C319" s="3" t="s">
        <v>20</v>
      </c>
      <c r="D319" s="3" t="str">
        <f>IFERROR(VLOOKUP(RawTable[[#This Row],[Entity_Type]], EntityMap[], 2, FALSE), "")</f>
        <v>Vendor_Invoice</v>
      </c>
      <c r="E319" s="3" t="s">
        <v>2</v>
      </c>
      <c r="F319" s="3" t="s">
        <v>127</v>
      </c>
      <c r="G319" s="3" t="str">
        <f>IFERROR(VLOOKUP(RawTable[[#This Row],[Name]], Name_Master!$A:$E, 4, FALSE), "")</f>
        <v>JO-IBAN-01222155</v>
      </c>
      <c r="H31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VEN-Switzerland-202602-000318</v>
      </c>
      <c r="I319" s="1">
        <f>IF(RawTable[[#This Row],[Month]]="","",DATE(YEAR(RawTable[[#This Row],[Month]]),MONTH(RawTable[[#This Row],[Month]]),1))</f>
        <v>46054</v>
      </c>
      <c r="J31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46084</v>
      </c>
      <c r="K319" s="3" t="s">
        <v>3</v>
      </c>
      <c r="L319" s="4">
        <v>6264.76</v>
      </c>
      <c r="M319" s="2" t="str">
        <f>IF(RawTable[[#This Row],[Net_Amount]]="","",IF(RawTable[[#This Row],[Payment_Type]]="Vendor_Invoice","Yes","No"))</f>
        <v>Yes</v>
      </c>
      <c r="N319" s="6">
        <f>IF(D319="Vendor_Invoice",
     IFERROR(
         INDEX(System_Master_Data!$B$9:$B$14,
               MATCH(E319,System_Master_Data!$A$9:$A$14,0)
         ),
     0),
0)</f>
        <v>8.1000000000000003E-2</v>
      </c>
      <c r="O319" s="4">
        <f t="shared" si="8"/>
        <v>507.44556000000006</v>
      </c>
      <c r="P319" s="4">
        <f t="shared" si="10"/>
        <v>6772.2055600000003</v>
      </c>
      <c r="Q319" s="56">
        <f>IFERROR(VLOOKUP(RawTable[[#This Row],[Currency]], System_Master_Data!$A$24:$B$29, 2, FALSE), "")</f>
        <v>1</v>
      </c>
      <c r="R319">
        <f>IF(RawTable[[#This Row],[Exchange_Rate]]="","",ROUND(RawTable[[#This Row],[Gross_Amount]]*RawTable[[#This Row],[Exchange_Rate]],2))</f>
        <v>6772.21</v>
      </c>
      <c r="S319" t="str">
        <f>IF(RawTable[[#This Row],[Entity_Type]]&lt;&gt;"Employee",RawTable[[#This Row],[Entity_Type]],
IF(RawTable[[#This Row],[Country]]="Switzerland","Direct","EOR")
)</f>
        <v>Vendor</v>
      </c>
      <c r="T319" t="str">
        <f>IF(RawTable[[#This Row],[Employment_Model]]&lt;&gt;"EOR","",
IFERROR(VLOOKUP(RawTable[[#This Row],[Country]],EORMap[#All],3,FALSE),"")
)</f>
        <v/>
      </c>
    </row>
    <row r="320" spans="1:20">
      <c r="A320" s="24">
        <v>319</v>
      </c>
      <c r="B320" s="1" t="s">
        <v>28</v>
      </c>
      <c r="C320" s="3" t="s">
        <v>20</v>
      </c>
      <c r="D320" s="3" t="str">
        <f>IFERROR(VLOOKUP(RawTable[[#This Row],[Entity_Type]], EntityMap[], 2, FALSE), "")</f>
        <v>Vendor_Invoice</v>
      </c>
      <c r="E320" s="3" t="s">
        <v>4</v>
      </c>
      <c r="F320" s="3" t="s">
        <v>122</v>
      </c>
      <c r="G320" s="3" t="str">
        <f>IFERROR(VLOOKUP(RawTable[[#This Row],[Name]], Name_Master!$A:$E, 4, FALSE), "")</f>
        <v>JO-IBAN-01160430</v>
      </c>
      <c r="H32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VEN-Germany-202602-000319</v>
      </c>
      <c r="I320" s="1">
        <f>IF(RawTable[[#This Row],[Month]]="","",DATE(YEAR(RawTable[[#This Row],[Month]]),MONTH(RawTable[[#This Row],[Month]]),1))</f>
        <v>46054</v>
      </c>
      <c r="J32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46084</v>
      </c>
      <c r="K320" s="3" t="s">
        <v>5</v>
      </c>
      <c r="L320" s="4">
        <v>5409.28</v>
      </c>
      <c r="M320" s="2" t="str">
        <f>IF(RawTable[[#This Row],[Net_Amount]]="","",IF(RawTable[[#This Row],[Payment_Type]]="Vendor_Invoice","Yes","No"))</f>
        <v>Yes</v>
      </c>
      <c r="N320" s="6">
        <f>IF(D320="Vendor_Invoice",
     IFERROR(
         INDEX(System_Master_Data!$B$9:$B$14,
               MATCH(E320,System_Master_Data!$A$9:$A$14,0)
         ),
     0),
0)</f>
        <v>0.19</v>
      </c>
      <c r="O320" s="4">
        <f t="shared" si="8"/>
        <v>1027.7631999999999</v>
      </c>
      <c r="P320" s="4">
        <f t="shared" si="10"/>
        <v>6437.0432000000001</v>
      </c>
      <c r="Q320" s="56">
        <f>IFERROR(VLOOKUP(RawTable[[#This Row],[Currency]], System_Master_Data!$A$24:$B$29, 2, FALSE), "")</f>
        <v>0.90888000000000002</v>
      </c>
      <c r="R320">
        <f>IF(RawTable[[#This Row],[Exchange_Rate]]="","",ROUND(RawTable[[#This Row],[Gross_Amount]]*RawTable[[#This Row],[Exchange_Rate]],2))</f>
        <v>5850.5</v>
      </c>
      <c r="S320" t="str">
        <f>IF(RawTable[[#This Row],[Entity_Type]]&lt;&gt;"Employee",RawTable[[#This Row],[Entity_Type]],
IF(RawTable[[#This Row],[Country]]="Switzerland","Direct","EOR")
)</f>
        <v>Vendor</v>
      </c>
      <c r="T320" t="str">
        <f>IF(RawTable[[#This Row],[Employment_Model]]&lt;&gt;"EOR","",
IFERROR(VLOOKUP(RawTable[[#This Row],[Country]],EORMap[#All],3,FALSE),"")
)</f>
        <v/>
      </c>
    </row>
    <row r="321" spans="1:20">
      <c r="A321" s="24">
        <v>320</v>
      </c>
      <c r="B321" s="1" t="s">
        <v>28</v>
      </c>
      <c r="C321" s="3" t="s">
        <v>20</v>
      </c>
      <c r="D321" s="3" t="str">
        <f>IFERROR(VLOOKUP(RawTable[[#This Row],[Entity_Type]], EntityMap[], 2, FALSE), "")</f>
        <v>Vendor_Invoice</v>
      </c>
      <c r="E321" s="3" t="s">
        <v>10</v>
      </c>
      <c r="F321" s="3" t="s">
        <v>125</v>
      </c>
      <c r="G321" s="3" t="str">
        <f>IFERROR(VLOOKUP(RawTable[[#This Row],[Name]], Name_Master!$A:$E, 4, FALSE), "")</f>
        <v>JO-IBAN-01197465</v>
      </c>
      <c r="H32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VEN-Jordan-202602-000320</v>
      </c>
      <c r="I321" s="1">
        <f>IF(RawTable[[#This Row],[Month]]="","",DATE(YEAR(RawTable[[#This Row],[Month]]),MONTH(RawTable[[#This Row],[Month]]),1))</f>
        <v>46054</v>
      </c>
      <c r="J32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46084</v>
      </c>
      <c r="K321" s="3" t="s">
        <v>11</v>
      </c>
      <c r="L321" s="4">
        <v>1824.82</v>
      </c>
      <c r="M321" s="2" t="str">
        <f>IF(RawTable[[#This Row],[Net_Amount]]="","",IF(RawTable[[#This Row],[Payment_Type]]="Vendor_Invoice","Yes","No"))</f>
        <v>Yes</v>
      </c>
      <c r="N321" s="6">
        <f>IF(D321="Vendor_Invoice",
     IFERROR(
         INDEX(System_Master_Data!$B$9:$B$14,
               MATCH(E321,System_Master_Data!$A$9:$A$14,0)
         ),
     0),
0)</f>
        <v>0.16</v>
      </c>
      <c r="O321" s="4">
        <f t="shared" si="8"/>
        <v>291.97120000000001</v>
      </c>
      <c r="P321" s="4">
        <f t="shared" si="10"/>
        <v>2116.7912000000001</v>
      </c>
      <c r="Q321" s="56">
        <f>IFERROR(VLOOKUP(RawTable[[#This Row],[Currency]], System_Master_Data!$A$24:$B$29, 2, FALSE), "")</f>
        <v>1.08643</v>
      </c>
      <c r="R321">
        <f>IF(RawTable[[#This Row],[Exchange_Rate]]="","",ROUND(RawTable[[#This Row],[Gross_Amount]]*RawTable[[#This Row],[Exchange_Rate]],2))</f>
        <v>2299.75</v>
      </c>
      <c r="S321" t="str">
        <f>IF(RawTable[[#This Row],[Entity_Type]]&lt;&gt;"Employee",RawTable[[#This Row],[Entity_Type]],
IF(RawTable[[#This Row],[Country]]="Switzerland","Direct","EOR")
)</f>
        <v>Vendor</v>
      </c>
      <c r="T321" t="str">
        <f>IF(RawTable[[#This Row],[Employment_Model]]&lt;&gt;"EOR","",
IFERROR(VLOOKUP(RawTable[[#This Row],[Country]],EORMap[#All],3,FALSE),"")
)</f>
        <v/>
      </c>
    </row>
    <row r="322" spans="1:20">
      <c r="A322" s="24">
        <v>321</v>
      </c>
      <c r="B322" s="1" t="s">
        <v>35</v>
      </c>
      <c r="C322" s="3" t="s">
        <v>21</v>
      </c>
      <c r="D322" s="3" t="str">
        <f>IFERROR(VLOOKUP(RawTable[[#This Row],[Entity_Type]], EntityMap[], 2, FALSE), "")</f>
        <v>Grant_Disbursement</v>
      </c>
      <c r="E322" s="3" t="s">
        <v>2</v>
      </c>
      <c r="F322" s="3" t="s">
        <v>129</v>
      </c>
      <c r="G322" s="3" t="str">
        <f>IFERROR(VLOOKUP(RawTable[[#This Row],[Name]], Name_Master!$A:$E, 4, FALSE), "")</f>
        <v>CH930000000002492680</v>
      </c>
      <c r="H32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GRT-Switzerland-202601-000321</v>
      </c>
      <c r="I322" s="1">
        <f>IF(RawTable[[#This Row],[Month]]="","",DATE(YEAR(RawTable[[#This Row],[Month]]),MONTH(RawTable[[#This Row],[Month]]),1))</f>
        <v>46023</v>
      </c>
      <c r="J32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46033</v>
      </c>
      <c r="K322" s="3" t="s">
        <v>3</v>
      </c>
      <c r="L322" s="4">
        <v>54496</v>
      </c>
      <c r="M322" s="2" t="str">
        <f>IF(RawTable[[#This Row],[Net_Amount]]="","",IF(RawTable[[#This Row],[Payment_Type]]="Vendor_Invoice","Yes","No"))</f>
        <v>No</v>
      </c>
      <c r="N322" s="6">
        <f>IF(D322="Vendor_Invoice",
     IFERROR(
         INDEX(System_Master_Data!$B$9:$B$14,
               MATCH(E322,System_Master_Data!$A$9:$A$14,0)
         ),
     0),
0)</f>
        <v>0</v>
      </c>
      <c r="O322" s="4">
        <f t="shared" ref="O322:O351" si="11">N322*L322</f>
        <v>0</v>
      </c>
      <c r="P322" s="4">
        <f t="shared" si="10"/>
        <v>54496</v>
      </c>
      <c r="Q322" s="56">
        <f>IFERROR(VLOOKUP(RawTable[[#This Row],[Currency]], System_Master_Data!$A$24:$B$29, 2, FALSE), "")</f>
        <v>1</v>
      </c>
      <c r="R322">
        <f>IF(RawTable[[#This Row],[Exchange_Rate]]="","",ROUND(RawTable[[#This Row],[Gross_Amount]]*RawTable[[#This Row],[Exchange_Rate]],2))</f>
        <v>54496</v>
      </c>
      <c r="S322" t="str">
        <f>IF(RawTable[[#This Row],[Entity_Type]]&lt;&gt;"Employee",RawTable[[#This Row],[Entity_Type]],
IF(RawTable[[#This Row],[Country]]="Switzerland","Direct","EOR")
)</f>
        <v>Sub-Grantee</v>
      </c>
      <c r="T322" t="str">
        <f>IF(RawTable[[#This Row],[Employment_Model]]&lt;&gt;"EOR","",
IFERROR(VLOOKUP(RawTable[[#This Row],[Country]],EORMap[#All],3,FALSE),"")
)</f>
        <v/>
      </c>
    </row>
    <row r="323" spans="1:20">
      <c r="A323" s="24">
        <v>322</v>
      </c>
      <c r="B323" s="1" t="s">
        <v>35</v>
      </c>
      <c r="C323" s="3" t="s">
        <v>21</v>
      </c>
      <c r="D323" s="3" t="str">
        <f>IFERROR(VLOOKUP(RawTable[[#This Row],[Entity_Type]], EntityMap[], 2, FALSE), "")</f>
        <v>Grant_Disbursement</v>
      </c>
      <c r="E323" s="3" t="s">
        <v>6</v>
      </c>
      <c r="F323" s="3" t="s">
        <v>130</v>
      </c>
      <c r="G323" s="3" t="str">
        <f>IFERROR(VLOOKUP(RawTable[[#This Row],[Name]], Name_Master!$A:$E, 4, FALSE), "")</f>
        <v>US-RT-000125868-AC-0000579156</v>
      </c>
      <c r="H32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GRT-USA-202601-000322</v>
      </c>
      <c r="I323" s="1">
        <f>IF(RawTable[[#This Row],[Month]]="","",DATE(YEAR(RawTable[[#This Row],[Month]]),MONTH(RawTable[[#This Row],[Month]]),1))</f>
        <v>46023</v>
      </c>
      <c r="J32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46033</v>
      </c>
      <c r="K323" s="3" t="s">
        <v>7</v>
      </c>
      <c r="L323" s="4">
        <v>61275.199999999997</v>
      </c>
      <c r="M323" s="2" t="str">
        <f>IF(RawTable[[#This Row],[Net_Amount]]="","",IF(RawTable[[#This Row],[Payment_Type]]="Vendor_Invoice","Yes","No"))</f>
        <v>No</v>
      </c>
      <c r="N323" s="6">
        <f>IF(D323="Vendor_Invoice",
     IFERROR(
         INDEX(System_Master_Data!$B$9:$B$14,
               MATCH(E323,System_Master_Data!$A$9:$A$14,0)
         ),
     0),
0)</f>
        <v>0</v>
      </c>
      <c r="O323" s="4">
        <f t="shared" si="11"/>
        <v>0</v>
      </c>
      <c r="P323" s="4">
        <f t="shared" ref="P323:P333" si="12">O323+L323</f>
        <v>61275.199999999997</v>
      </c>
      <c r="Q323" s="56">
        <f>IFERROR(VLOOKUP(RawTable[[#This Row],[Currency]], System_Master_Data!$A$24:$B$29, 2, FALSE), "")</f>
        <v>0.77017999999999998</v>
      </c>
      <c r="R323">
        <f>IF(RawTable[[#This Row],[Exchange_Rate]]="","",ROUND(RawTable[[#This Row],[Gross_Amount]]*RawTable[[#This Row],[Exchange_Rate]],2))</f>
        <v>47192.93</v>
      </c>
      <c r="S323" t="str">
        <f>IF(RawTable[[#This Row],[Entity_Type]]&lt;&gt;"Employee",RawTable[[#This Row],[Entity_Type]],
IF(RawTable[[#This Row],[Country]]="Switzerland","Direct","EOR")
)</f>
        <v>Sub-Grantee</v>
      </c>
      <c r="T323" t="str">
        <f>IF(RawTable[[#This Row],[Employment_Model]]&lt;&gt;"EOR","",
IFERROR(VLOOKUP(RawTable[[#This Row],[Country]],EORMap[#All],3,FALSE),"")
)</f>
        <v/>
      </c>
    </row>
    <row r="324" spans="1:20">
      <c r="A324" s="24">
        <v>323</v>
      </c>
      <c r="B324" s="1" t="s">
        <v>35</v>
      </c>
      <c r="C324" s="3" t="s">
        <v>21</v>
      </c>
      <c r="D324" s="3" t="str">
        <f>IFERROR(VLOOKUP(RawTable[[#This Row],[Entity_Type]], EntityMap[], 2, FALSE), "")</f>
        <v>Grant_Disbursement</v>
      </c>
      <c r="E324" s="3" t="s">
        <v>4</v>
      </c>
      <c r="F324" s="3" t="s">
        <v>131</v>
      </c>
      <c r="G324" s="3" t="str">
        <f>IFERROR(VLOOKUP(RawTable[[#This Row],[Name]], Name_Master!$A:$E, 4, FALSE), "")</f>
        <v>DE890000000001398637</v>
      </c>
      <c r="H32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GRT-Germany-202601-000323</v>
      </c>
      <c r="I324" s="1">
        <f>IF(RawTable[[#This Row],[Month]]="","",DATE(YEAR(RawTable[[#This Row],[Month]]),MONTH(RawTable[[#This Row],[Month]]),1))</f>
        <v>46023</v>
      </c>
      <c r="J32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46033</v>
      </c>
      <c r="K324" s="3" t="s">
        <v>5</v>
      </c>
      <c r="L324" s="4">
        <v>51427.199999999997</v>
      </c>
      <c r="M324" s="2" t="str">
        <f>IF(RawTable[[#This Row],[Net_Amount]]="","",IF(RawTable[[#This Row],[Payment_Type]]="Vendor_Invoice","Yes","No"))</f>
        <v>No</v>
      </c>
      <c r="N324" s="6">
        <f>IF(D324="Vendor_Invoice",
     IFERROR(
         INDEX(System_Master_Data!$B$9:$B$14,
               MATCH(E324,System_Master_Data!$A$9:$A$14,0)
         ),
     0),
0)</f>
        <v>0</v>
      </c>
      <c r="O324" s="4">
        <f t="shared" si="11"/>
        <v>0</v>
      </c>
      <c r="P324" s="4">
        <f t="shared" si="12"/>
        <v>51427.199999999997</v>
      </c>
      <c r="Q324" s="56">
        <f>IFERROR(VLOOKUP(RawTable[[#This Row],[Currency]], System_Master_Data!$A$24:$B$29, 2, FALSE), "")</f>
        <v>0.90888000000000002</v>
      </c>
      <c r="R324">
        <f>IF(RawTable[[#This Row],[Exchange_Rate]]="","",ROUND(RawTable[[#This Row],[Gross_Amount]]*RawTable[[#This Row],[Exchange_Rate]],2))</f>
        <v>46741.15</v>
      </c>
      <c r="S324" t="str">
        <f>IF(RawTable[[#This Row],[Entity_Type]]&lt;&gt;"Employee",RawTable[[#This Row],[Entity_Type]],
IF(RawTable[[#This Row],[Country]]="Switzerland","Direct","EOR")
)</f>
        <v>Sub-Grantee</v>
      </c>
      <c r="T324" t="str">
        <f>IF(RawTable[[#This Row],[Employment_Model]]&lt;&gt;"EOR","",
IFERROR(VLOOKUP(RawTable[[#This Row],[Country]],EORMap[#All],3,FALSE),"")
)</f>
        <v/>
      </c>
    </row>
    <row r="325" spans="1:20">
      <c r="A325" s="24">
        <v>324</v>
      </c>
      <c r="B325" s="1" t="s">
        <v>30</v>
      </c>
      <c r="C325" s="3" t="s">
        <v>21</v>
      </c>
      <c r="D325" s="3" t="str">
        <f>IFERROR(VLOOKUP(RawTable[[#This Row],[Entity_Type]], EntityMap[], 2, FALSE), "")</f>
        <v>Grant_Disbursement</v>
      </c>
      <c r="E325" s="3" t="s">
        <v>2</v>
      </c>
      <c r="F325" s="3" t="s">
        <v>132</v>
      </c>
      <c r="G325" s="3" t="str">
        <f>IFERROR(VLOOKUP(RawTable[[#This Row],[Name]], Name_Master!$A:$E, 4, FALSE), "")</f>
        <v>CH930000000002566720</v>
      </c>
      <c r="H32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GRT-Switzerland-202603-000324</v>
      </c>
      <c r="I325" s="1">
        <f>IF(RawTable[[#This Row],[Month]]="","",DATE(YEAR(RawTable[[#This Row],[Month]]),MONTH(RawTable[[#This Row],[Month]]),1))</f>
        <v>46082</v>
      </c>
      <c r="J32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46092</v>
      </c>
      <c r="K325" s="3" t="s">
        <v>3</v>
      </c>
      <c r="L325" s="4">
        <v>51651.6</v>
      </c>
      <c r="M325" s="2" t="str">
        <f>IF(RawTable[[#This Row],[Net_Amount]]="","",IF(RawTable[[#This Row],[Payment_Type]]="Vendor_Invoice","Yes","No"))</f>
        <v>No</v>
      </c>
      <c r="N325" s="6">
        <f>IF(D325="Vendor_Invoice",
     IFERROR(
         INDEX(System_Master_Data!$B$9:$B$14,
               MATCH(E325,System_Master_Data!$A$9:$A$14,0)
         ),
     0),
0)</f>
        <v>0</v>
      </c>
      <c r="O325" s="4">
        <f t="shared" si="11"/>
        <v>0</v>
      </c>
      <c r="P325" s="4">
        <f t="shared" si="12"/>
        <v>51651.6</v>
      </c>
      <c r="Q325" s="56">
        <f>IFERROR(VLOOKUP(RawTable[[#This Row],[Currency]], System_Master_Data!$A$24:$B$29, 2, FALSE), "")</f>
        <v>1</v>
      </c>
      <c r="R325">
        <f>IF(RawTable[[#This Row],[Exchange_Rate]]="","",ROUND(RawTable[[#This Row],[Gross_Amount]]*RawTable[[#This Row],[Exchange_Rate]],2))</f>
        <v>51651.6</v>
      </c>
      <c r="S325" t="str">
        <f>IF(RawTable[[#This Row],[Entity_Type]]&lt;&gt;"Employee",RawTable[[#This Row],[Entity_Type]],
IF(RawTable[[#This Row],[Country]]="Switzerland","Direct","EOR")
)</f>
        <v>Sub-Grantee</v>
      </c>
      <c r="T325" t="str">
        <f>IF(RawTable[[#This Row],[Employment_Model]]&lt;&gt;"EOR","",
IFERROR(VLOOKUP(RawTable[[#This Row],[Country]],EORMap[#All],3,FALSE),"")
)</f>
        <v/>
      </c>
    </row>
    <row r="326" spans="1:20">
      <c r="A326" s="24">
        <v>325</v>
      </c>
      <c r="B326" s="1" t="s">
        <v>30</v>
      </c>
      <c r="C326" s="3" t="s">
        <v>21</v>
      </c>
      <c r="D326" s="3" t="str">
        <f>IFERROR(VLOOKUP(RawTable[[#This Row],[Entity_Type]], EntityMap[], 2, FALSE), "")</f>
        <v>Grant_Disbursement</v>
      </c>
      <c r="E326" s="3" t="s">
        <v>10</v>
      </c>
      <c r="F326" s="3" t="s">
        <v>131</v>
      </c>
      <c r="G326" s="3" t="str">
        <f>IFERROR(VLOOKUP(RawTable[[#This Row],[Name]], Name_Master!$A:$E, 4, FALSE), "")</f>
        <v>DE890000000001398637</v>
      </c>
      <c r="H32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GRT-Jordan-202603-000325</v>
      </c>
      <c r="I326" s="1">
        <f>IF(RawTable[[#This Row],[Month]]="","",DATE(YEAR(RawTable[[#This Row],[Month]]),MONTH(RawTable[[#This Row],[Month]]),1))</f>
        <v>46082</v>
      </c>
      <c r="J32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46092</v>
      </c>
      <c r="K326" s="3" t="s">
        <v>11</v>
      </c>
      <c r="L326" s="4">
        <v>15428.16</v>
      </c>
      <c r="M326" s="2" t="str">
        <f>IF(RawTable[[#This Row],[Net_Amount]]="","",IF(RawTable[[#This Row],[Payment_Type]]="Vendor_Invoice","Yes","No"))</f>
        <v>No</v>
      </c>
      <c r="N326" s="6">
        <f>IF(D326="Vendor_Invoice",
     IFERROR(
         INDEX(System_Master_Data!$B$9:$B$14,
               MATCH(E326,System_Master_Data!$A$9:$A$14,0)
         ),
     0),
0)</f>
        <v>0</v>
      </c>
      <c r="O326" s="4">
        <f t="shared" si="11"/>
        <v>0</v>
      </c>
      <c r="P326" s="4">
        <f t="shared" si="12"/>
        <v>15428.16</v>
      </c>
      <c r="Q326" s="56">
        <f>IFERROR(VLOOKUP(RawTable[[#This Row],[Currency]], System_Master_Data!$A$24:$B$29, 2, FALSE), "")</f>
        <v>1.08643</v>
      </c>
      <c r="R326">
        <f>IF(RawTable[[#This Row],[Exchange_Rate]]="","",ROUND(RawTable[[#This Row],[Gross_Amount]]*RawTable[[#This Row],[Exchange_Rate]],2))</f>
        <v>16761.62</v>
      </c>
      <c r="S326" t="str">
        <f>IF(RawTable[[#This Row],[Entity_Type]]&lt;&gt;"Employee",RawTable[[#This Row],[Entity_Type]],
IF(RawTable[[#This Row],[Country]]="Switzerland","Direct","EOR")
)</f>
        <v>Sub-Grantee</v>
      </c>
      <c r="T326" t="str">
        <f>IF(RawTable[[#This Row],[Employment_Model]]&lt;&gt;"EOR","",
IFERROR(VLOOKUP(RawTable[[#This Row],[Country]],EORMap[#All],3,FALSE),"")
)</f>
        <v/>
      </c>
    </row>
    <row r="327" spans="1:20">
      <c r="A327" s="24">
        <v>326</v>
      </c>
      <c r="B327" s="1" t="s">
        <v>35</v>
      </c>
      <c r="C327" s="3" t="s">
        <v>21</v>
      </c>
      <c r="D327" s="3" t="str">
        <f>IFERROR(VLOOKUP(RawTable[[#This Row],[Entity_Type]], EntityMap[], 2, FALSE), "")</f>
        <v>Grant_Disbursement</v>
      </c>
      <c r="E327" s="3" t="s">
        <v>10</v>
      </c>
      <c r="F327" s="3" t="s">
        <v>133</v>
      </c>
      <c r="G327" s="3" t="str">
        <f>IFERROR(VLOOKUP(RawTable[[#This Row],[Name]], Name_Master!$A:$E, 4, FALSE), "")</f>
        <v>JO-IBAN-01296225</v>
      </c>
      <c r="H32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GRT-Jordan-202601-000326</v>
      </c>
      <c r="I327" s="1">
        <f>IF(RawTable[[#This Row],[Month]]="","",DATE(YEAR(RawTable[[#This Row],[Month]]),MONTH(RawTable[[#This Row],[Month]]),1))</f>
        <v>46023</v>
      </c>
      <c r="J32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46033</v>
      </c>
      <c r="K327" s="3" t="s">
        <v>11</v>
      </c>
      <c r="L327" s="4">
        <v>14368.32</v>
      </c>
      <c r="M327" s="2" t="str">
        <f>IF(RawTable[[#This Row],[Net_Amount]]="","",IF(RawTable[[#This Row],[Payment_Type]]="Vendor_Invoice","Yes","No"))</f>
        <v>No</v>
      </c>
      <c r="N327" s="6">
        <f>IF(D327="Vendor_Invoice",
     IFERROR(
         INDEX(System_Master_Data!$B$9:$B$14,
               MATCH(E327,System_Master_Data!$A$9:$A$14,0)
         ),
     0),
0)</f>
        <v>0</v>
      </c>
      <c r="O327" s="4">
        <f t="shared" si="11"/>
        <v>0</v>
      </c>
      <c r="P327" s="4">
        <f t="shared" si="12"/>
        <v>14368.32</v>
      </c>
      <c r="Q327" s="56">
        <f>IFERROR(VLOOKUP(RawTable[[#This Row],[Currency]], System_Master_Data!$A$24:$B$29, 2, FALSE), "")</f>
        <v>1.08643</v>
      </c>
      <c r="R327">
        <f>IF(RawTable[[#This Row],[Exchange_Rate]]="","",ROUND(RawTable[[#This Row],[Gross_Amount]]*RawTable[[#This Row],[Exchange_Rate]],2))</f>
        <v>15610.17</v>
      </c>
      <c r="S327" t="str">
        <f>IF(RawTable[[#This Row],[Entity_Type]]&lt;&gt;"Employee",RawTable[[#This Row],[Entity_Type]],
IF(RawTable[[#This Row],[Country]]="Switzerland","Direct","EOR")
)</f>
        <v>Sub-Grantee</v>
      </c>
      <c r="T327" t="str">
        <f>IF(RawTable[[#This Row],[Employment_Model]]&lt;&gt;"EOR","",
IFERROR(VLOOKUP(RawTable[[#This Row],[Country]],EORMap[#All],3,FALSE),"")
)</f>
        <v/>
      </c>
    </row>
    <row r="328" spans="1:20">
      <c r="A328" s="24">
        <v>327</v>
      </c>
      <c r="B328" s="1" t="s">
        <v>30</v>
      </c>
      <c r="C328" s="3" t="s">
        <v>21</v>
      </c>
      <c r="D328" s="3" t="str">
        <f>IFERROR(VLOOKUP(RawTable[[#This Row],[Entity_Type]], EntityMap[], 2, FALSE), "")</f>
        <v>Grant_Disbursement</v>
      </c>
      <c r="E328" s="3" t="s">
        <v>6</v>
      </c>
      <c r="F328" s="3" t="s">
        <v>130</v>
      </c>
      <c r="G328" s="3" t="str">
        <f>IFERROR(VLOOKUP(RawTable[[#This Row],[Name]], Name_Master!$A:$E, 4, FALSE), "")</f>
        <v>US-RT-000125868-AC-0000579156</v>
      </c>
      <c r="H32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GRT-USA-202603-000327</v>
      </c>
      <c r="I328" s="1">
        <f>IF(RawTable[[#This Row],[Month]]="","",DATE(YEAR(RawTable[[#This Row],[Month]]),MONTH(RawTable[[#This Row],[Month]]),1))</f>
        <v>46082</v>
      </c>
      <c r="J32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46092</v>
      </c>
      <c r="K328" s="3" t="s">
        <v>7</v>
      </c>
      <c r="L328" s="4">
        <v>61275.199999999997</v>
      </c>
      <c r="M328" s="2" t="str">
        <f>IF(RawTable[[#This Row],[Net_Amount]]="","",IF(RawTable[[#This Row],[Payment_Type]]="Vendor_Invoice","Yes","No"))</f>
        <v>No</v>
      </c>
      <c r="N328" s="6">
        <f>IF(D328="Vendor_Invoice",
     IFERROR(
         INDEX(System_Master_Data!$B$9:$B$14,
               MATCH(E328,System_Master_Data!$A$9:$A$14,0)
         ),
     0),
0)</f>
        <v>0</v>
      </c>
      <c r="O328" s="4">
        <f t="shared" si="11"/>
        <v>0</v>
      </c>
      <c r="P328" s="4">
        <f t="shared" si="12"/>
        <v>61275.199999999997</v>
      </c>
      <c r="Q328" s="56">
        <f>IFERROR(VLOOKUP(RawTable[[#This Row],[Currency]], System_Master_Data!$A$24:$B$29, 2, FALSE), "")</f>
        <v>0.77017999999999998</v>
      </c>
      <c r="R328">
        <f>IF(RawTable[[#This Row],[Exchange_Rate]]="","",ROUND(RawTable[[#This Row],[Gross_Amount]]*RawTable[[#This Row],[Exchange_Rate]],2))</f>
        <v>47192.93</v>
      </c>
      <c r="S328" t="str">
        <f>IF(RawTable[[#This Row],[Entity_Type]]&lt;&gt;"Employee",RawTable[[#This Row],[Entity_Type]],
IF(RawTable[[#This Row],[Country]]="Switzerland","Direct","EOR")
)</f>
        <v>Sub-Grantee</v>
      </c>
      <c r="T328" t="str">
        <f>IF(RawTable[[#This Row],[Employment_Model]]&lt;&gt;"EOR","",
IFERROR(VLOOKUP(RawTable[[#This Row],[Country]],EORMap[#All],3,FALSE),"")
)</f>
        <v/>
      </c>
    </row>
    <row r="329" spans="1:20">
      <c r="A329" s="24">
        <v>328</v>
      </c>
      <c r="B329" s="1" t="s">
        <v>30</v>
      </c>
      <c r="C329" s="3" t="s">
        <v>21</v>
      </c>
      <c r="D329" s="3" t="str">
        <f>IFERROR(VLOOKUP(RawTable[[#This Row],[Entity_Type]], EntityMap[], 2, FALSE), "")</f>
        <v>Grant_Disbursement</v>
      </c>
      <c r="E329" s="3" t="s">
        <v>2</v>
      </c>
      <c r="F329" s="3" t="s">
        <v>133</v>
      </c>
      <c r="G329" s="3" t="str">
        <f>IFERROR(VLOOKUP(RawTable[[#This Row],[Name]], Name_Master!$A:$E, 4, FALSE), "")</f>
        <v>JO-IBAN-01296225</v>
      </c>
      <c r="H32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GRT-Switzerland-202603-000328</v>
      </c>
      <c r="I329" s="1">
        <f>IF(RawTable[[#This Row],[Month]]="","",DATE(YEAR(RawTable[[#This Row],[Month]]),MONTH(RawTable[[#This Row],[Month]]),1))</f>
        <v>46082</v>
      </c>
      <c r="J32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46092</v>
      </c>
      <c r="K329" s="3" t="s">
        <v>3</v>
      </c>
      <c r="L329" s="4">
        <v>51885.599999999999</v>
      </c>
      <c r="M329" s="2" t="str">
        <f>IF(RawTable[[#This Row],[Net_Amount]]="","",IF(RawTable[[#This Row],[Payment_Type]]="Vendor_Invoice","Yes","No"))</f>
        <v>No</v>
      </c>
      <c r="N329" s="6">
        <f>IF(D329="Vendor_Invoice",
     IFERROR(
         INDEX(System_Master_Data!$B$9:$B$14,
               MATCH(E329,System_Master_Data!$A$9:$A$14,0)
         ),
     0),
0)</f>
        <v>0</v>
      </c>
      <c r="O329" s="4">
        <f t="shared" si="11"/>
        <v>0</v>
      </c>
      <c r="P329" s="4">
        <f t="shared" si="12"/>
        <v>51885.599999999999</v>
      </c>
      <c r="Q329" s="56">
        <f>IFERROR(VLOOKUP(RawTable[[#This Row],[Currency]], System_Master_Data!$A$24:$B$29, 2, FALSE), "")</f>
        <v>1</v>
      </c>
      <c r="R329">
        <f>IF(RawTable[[#This Row],[Exchange_Rate]]="","",ROUND(RawTable[[#This Row],[Gross_Amount]]*RawTable[[#This Row],[Exchange_Rate]],2))</f>
        <v>51885.599999999999</v>
      </c>
      <c r="S329" t="str">
        <f>IF(RawTable[[#This Row],[Entity_Type]]&lt;&gt;"Employee",RawTable[[#This Row],[Entity_Type]],
IF(RawTable[[#This Row],[Country]]="Switzerland","Direct","EOR")
)</f>
        <v>Sub-Grantee</v>
      </c>
      <c r="T329" t="str">
        <f>IF(RawTable[[#This Row],[Employment_Model]]&lt;&gt;"EOR","",
IFERROR(VLOOKUP(RawTable[[#This Row],[Country]],EORMap[#All],3,FALSE),"")
)</f>
        <v/>
      </c>
    </row>
    <row r="330" spans="1:20">
      <c r="A330" s="24">
        <v>329</v>
      </c>
      <c r="B330" s="1" t="s">
        <v>28</v>
      </c>
      <c r="C330" s="3" t="s">
        <v>21</v>
      </c>
      <c r="D330" s="3" t="str">
        <f>IFERROR(VLOOKUP(RawTable[[#This Row],[Entity_Type]], EntityMap[], 2, FALSE), "")</f>
        <v>Grant_Disbursement</v>
      </c>
      <c r="E330" s="3" t="s">
        <v>4</v>
      </c>
      <c r="F330" s="3" t="s">
        <v>132</v>
      </c>
      <c r="G330" s="3" t="str">
        <f>IFERROR(VLOOKUP(RawTable[[#This Row],[Name]], Name_Master!$A:$E, 4, FALSE), "")</f>
        <v>CH930000000002566720</v>
      </c>
      <c r="H33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GRT-Germany-202602-000329</v>
      </c>
      <c r="I330" s="1">
        <f>IF(RawTable[[#This Row],[Month]]="","",DATE(YEAR(RawTable[[#This Row],[Month]]),MONTH(RawTable[[#This Row],[Month]]),1))</f>
        <v>46054</v>
      </c>
      <c r="J33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46064</v>
      </c>
      <c r="K330" s="3" t="s">
        <v>5</v>
      </c>
      <c r="L330" s="4">
        <v>47678.400000000001</v>
      </c>
      <c r="M330" s="2" t="str">
        <f>IF(RawTable[[#This Row],[Net_Amount]]="","",IF(RawTable[[#This Row],[Payment_Type]]="Vendor_Invoice","Yes","No"))</f>
        <v>No</v>
      </c>
      <c r="N330" s="6">
        <f>IF(D330="Vendor_Invoice",
     IFERROR(
         INDEX(System_Master_Data!$B$9:$B$14,
               MATCH(E330,System_Master_Data!$A$9:$A$14,0)
         ),
     0),
0)</f>
        <v>0</v>
      </c>
      <c r="O330" s="4">
        <f t="shared" si="11"/>
        <v>0</v>
      </c>
      <c r="P330" s="4">
        <f t="shared" si="12"/>
        <v>47678.400000000001</v>
      </c>
      <c r="Q330" s="56">
        <f>IFERROR(VLOOKUP(RawTable[[#This Row],[Currency]], System_Master_Data!$A$24:$B$29, 2, FALSE), "")</f>
        <v>0.90888000000000002</v>
      </c>
      <c r="R330">
        <f>IF(RawTable[[#This Row],[Exchange_Rate]]="","",ROUND(RawTable[[#This Row],[Gross_Amount]]*RawTable[[#This Row],[Exchange_Rate]],2))</f>
        <v>43333.94</v>
      </c>
      <c r="S330" t="str">
        <f>IF(RawTable[[#This Row],[Entity_Type]]&lt;&gt;"Employee",RawTable[[#This Row],[Entity_Type]],
IF(RawTable[[#This Row],[Country]]="Switzerland","Direct","EOR")
)</f>
        <v>Sub-Grantee</v>
      </c>
      <c r="T330" t="str">
        <f>IF(RawTable[[#This Row],[Employment_Model]]&lt;&gt;"EOR","",
IFERROR(VLOOKUP(RawTable[[#This Row],[Country]],EORMap[#All],3,FALSE),"")
)</f>
        <v/>
      </c>
    </row>
    <row r="331" spans="1:20">
      <c r="A331" s="24">
        <v>330</v>
      </c>
      <c r="B331" s="1" t="s">
        <v>28</v>
      </c>
      <c r="C331" s="3" t="s">
        <v>21</v>
      </c>
      <c r="D331" s="3" t="str">
        <f>IFERROR(VLOOKUP(RawTable[[#This Row],[Entity_Type]], EntityMap[], 2, FALSE), "")</f>
        <v>Grant_Disbursement</v>
      </c>
      <c r="E331" s="3" t="s">
        <v>2</v>
      </c>
      <c r="F331" s="3" t="s">
        <v>133</v>
      </c>
      <c r="G331" s="3" t="str">
        <f>IFERROR(VLOOKUP(RawTable[[#This Row],[Name]], Name_Master!$A:$E, 4, FALSE), "")</f>
        <v>JO-IBAN-01296225</v>
      </c>
      <c r="H33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GRT-Switzerland-202602-000330</v>
      </c>
      <c r="I331" s="1">
        <f>IF(RawTable[[#This Row],[Month]]="","",DATE(YEAR(RawTable[[#This Row],[Month]]),MONTH(RawTable[[#This Row],[Month]]),1))</f>
        <v>46054</v>
      </c>
      <c r="J33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46064</v>
      </c>
      <c r="K331" s="3" t="s">
        <v>3</v>
      </c>
      <c r="L331" s="4">
        <v>51885.599999999999</v>
      </c>
      <c r="M331" s="2" t="str">
        <f>IF(RawTable[[#This Row],[Net_Amount]]="","",IF(RawTable[[#This Row],[Payment_Type]]="Vendor_Invoice","Yes","No"))</f>
        <v>No</v>
      </c>
      <c r="N331" s="6">
        <f>IF(D331="Vendor_Invoice",
     IFERROR(
         INDEX(System_Master_Data!$B$9:$B$14,
               MATCH(E331,System_Master_Data!$A$9:$A$14,0)
         ),
     0),
0)</f>
        <v>0</v>
      </c>
      <c r="O331" s="4">
        <f t="shared" si="11"/>
        <v>0</v>
      </c>
      <c r="P331" s="4">
        <f t="shared" si="12"/>
        <v>51885.599999999999</v>
      </c>
      <c r="Q331" s="56">
        <f>IFERROR(VLOOKUP(RawTable[[#This Row],[Currency]], System_Master_Data!$A$24:$B$29, 2, FALSE), "")</f>
        <v>1</v>
      </c>
      <c r="R331">
        <f>IF(RawTable[[#This Row],[Exchange_Rate]]="","",ROUND(RawTable[[#This Row],[Gross_Amount]]*RawTable[[#This Row],[Exchange_Rate]],2))</f>
        <v>51885.599999999999</v>
      </c>
      <c r="S331" t="str">
        <f>IF(RawTable[[#This Row],[Entity_Type]]&lt;&gt;"Employee",RawTable[[#This Row],[Entity_Type]],
IF(RawTable[[#This Row],[Country]]="Switzerland","Direct","EOR")
)</f>
        <v>Sub-Grantee</v>
      </c>
      <c r="T331" t="str">
        <f>IF(RawTable[[#This Row],[Employment_Model]]&lt;&gt;"EOR","",
IFERROR(VLOOKUP(RawTable[[#This Row],[Country]],EORMap[#All],3,FALSE),"")
)</f>
        <v/>
      </c>
    </row>
    <row r="332" spans="1:20">
      <c r="A332" s="24">
        <v>331</v>
      </c>
      <c r="B332" s="1" t="s">
        <v>28</v>
      </c>
      <c r="C332" s="3" t="s">
        <v>21</v>
      </c>
      <c r="D332" s="3" t="str">
        <f>IFERROR(VLOOKUP(RawTable[[#This Row],[Entity_Type]], EntityMap[], 2, FALSE), "")</f>
        <v>Grant_Disbursement</v>
      </c>
      <c r="E332" s="3" t="s">
        <v>8</v>
      </c>
      <c r="F332" s="3" t="s">
        <v>132</v>
      </c>
      <c r="G332" s="3" t="str">
        <f>IFERROR(VLOOKUP(RawTable[[#This Row],[Name]], Name_Master!$A:$E, 4, FALSE), "")</f>
        <v>CH930000000002566720</v>
      </c>
      <c r="H33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GRT-UAE-202602-000331</v>
      </c>
      <c r="I332" s="1">
        <f>IF(RawTable[[#This Row],[Month]]="","",DATE(YEAR(RawTable[[#This Row],[Month]]),MONTH(RawTable[[#This Row],[Month]]),1))</f>
        <v>46054</v>
      </c>
      <c r="J33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46064</v>
      </c>
      <c r="K332" s="3" t="s">
        <v>9</v>
      </c>
      <c r="L332" s="4">
        <v>174820.8</v>
      </c>
      <c r="M332" s="2" t="str">
        <f>IF(RawTable[[#This Row],[Net_Amount]]="","",IF(RawTable[[#This Row],[Payment_Type]]="Vendor_Invoice","Yes","No"))</f>
        <v>No</v>
      </c>
      <c r="N332" s="6">
        <f>IF(D332="Vendor_Invoice",
     IFERROR(
         INDEX(System_Master_Data!$B$9:$B$14,
               MATCH(E332,System_Master_Data!$A$9:$A$14,0)
         ),
     0),
0)</f>
        <v>0</v>
      </c>
      <c r="O332" s="4">
        <f t="shared" si="11"/>
        <v>0</v>
      </c>
      <c r="P332" s="4">
        <f t="shared" si="12"/>
        <v>174820.8</v>
      </c>
      <c r="Q332" s="56">
        <f>IFERROR(VLOOKUP(RawTable[[#This Row],[Currency]], System_Master_Data!$A$24:$B$29, 2, FALSE), "")</f>
        <v>0.21065</v>
      </c>
      <c r="R332">
        <f>IF(RawTable[[#This Row],[Exchange_Rate]]="","",ROUND(RawTable[[#This Row],[Gross_Amount]]*RawTable[[#This Row],[Exchange_Rate]],2))</f>
        <v>36826</v>
      </c>
      <c r="S332" t="str">
        <f>IF(RawTable[[#This Row],[Entity_Type]]&lt;&gt;"Employee",RawTable[[#This Row],[Entity_Type]],
IF(RawTable[[#This Row],[Country]]="Switzerland","Direct","EOR")
)</f>
        <v>Sub-Grantee</v>
      </c>
      <c r="T332" t="str">
        <f>IF(RawTable[[#This Row],[Employment_Model]]&lt;&gt;"EOR","",
IFERROR(VLOOKUP(RawTable[[#This Row],[Country]],EORMap[#All],3,FALSE),"")
)</f>
        <v/>
      </c>
    </row>
    <row r="333" spans="1:20">
      <c r="A333" s="24">
        <v>332</v>
      </c>
      <c r="B333" s="1" t="s">
        <v>28</v>
      </c>
      <c r="C333" s="3" t="s">
        <v>21</v>
      </c>
      <c r="D333" s="3" t="str">
        <f>IFERROR(VLOOKUP(RawTable[[#This Row],[Entity_Type]], EntityMap[], 2, FALSE), "")</f>
        <v>Grant_Disbursement</v>
      </c>
      <c r="E333" s="3" t="s">
        <v>6</v>
      </c>
      <c r="F333" s="3" t="s">
        <v>130</v>
      </c>
      <c r="G333" s="3" t="str">
        <f>IFERROR(VLOOKUP(RawTable[[#This Row],[Name]], Name_Master!$A:$E, 4, FALSE), "")</f>
        <v>US-RT-000125868-AC-0000579156</v>
      </c>
      <c r="H33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GRT-USA-202602-000332</v>
      </c>
      <c r="I333" s="1">
        <f>IF(RawTable[[#This Row],[Month]]="","",DATE(YEAR(RawTable[[#This Row],[Month]]),MONTH(RawTable[[#This Row],[Month]]),1))</f>
        <v>46054</v>
      </c>
      <c r="J33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46064</v>
      </c>
      <c r="K333" s="3" t="s">
        <v>7</v>
      </c>
      <c r="L333" s="4">
        <v>61275.199999999997</v>
      </c>
      <c r="M333" s="2" t="str">
        <f>IF(RawTable[[#This Row],[Net_Amount]]="","",IF(RawTable[[#This Row],[Payment_Type]]="Vendor_Invoice","Yes","No"))</f>
        <v>No</v>
      </c>
      <c r="N333" s="6">
        <f>IF(D333="Vendor_Invoice",
     IFERROR(
         INDEX(System_Master_Data!$B$9:$B$14,
               MATCH(E333,System_Master_Data!$A$9:$A$14,0)
         ),
     0),
0)</f>
        <v>0</v>
      </c>
      <c r="O333" s="4">
        <f t="shared" si="11"/>
        <v>0</v>
      </c>
      <c r="P333" s="4">
        <f t="shared" si="12"/>
        <v>61275.199999999997</v>
      </c>
      <c r="Q333" s="56">
        <f>IFERROR(VLOOKUP(RawTable[[#This Row],[Currency]], System_Master_Data!$A$24:$B$29, 2, FALSE), "")</f>
        <v>0.77017999999999998</v>
      </c>
      <c r="R333">
        <f>IF(RawTable[[#This Row],[Exchange_Rate]]="","",ROUND(RawTable[[#This Row],[Gross_Amount]]*RawTable[[#This Row],[Exchange_Rate]],2))</f>
        <v>47192.93</v>
      </c>
      <c r="S333" t="str">
        <f>IF(RawTable[[#This Row],[Entity_Type]]&lt;&gt;"Employee",RawTable[[#This Row],[Entity_Type]],
IF(RawTable[[#This Row],[Country]]="Switzerland","Direct","EOR")
)</f>
        <v>Sub-Grantee</v>
      </c>
      <c r="T333" t="str">
        <f>IF(RawTable[[#This Row],[Employment_Model]]&lt;&gt;"EOR","",
IFERROR(VLOOKUP(RawTable[[#This Row],[Country]],EORMap[#All],3,FALSE),"")
)</f>
        <v/>
      </c>
    </row>
    <row r="334" spans="1:20">
      <c r="A334" s="24">
        <v>333</v>
      </c>
      <c r="B334" s="1" t="s">
        <v>30</v>
      </c>
      <c r="C334" s="3" t="s">
        <v>21</v>
      </c>
      <c r="D334" s="3" t="str">
        <f>IFERROR(VLOOKUP(RawTable[[#This Row],[Entity_Type]], EntityMap[], 2, FALSE), "")</f>
        <v>Grant_Disbursement</v>
      </c>
      <c r="E334" s="3" t="s">
        <v>6</v>
      </c>
      <c r="F334" s="3" t="s">
        <v>130</v>
      </c>
      <c r="G334" s="3" t="str">
        <f>IFERROR(VLOOKUP(RawTable[[#This Row],[Name]], Name_Master!$A:$E, 4, FALSE), "")</f>
        <v>US-RT-000125868-AC-0000579156</v>
      </c>
      <c r="H33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GRT-USA-202603-000333</v>
      </c>
      <c r="I334" s="1">
        <f>IF(RawTable[[#This Row],[Month]]="","",DATE(YEAR(RawTable[[#This Row],[Month]]),MONTH(RawTable[[#This Row],[Month]]),1))</f>
        <v>46082</v>
      </c>
      <c r="J33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46092</v>
      </c>
      <c r="K334" s="3" t="s">
        <v>7</v>
      </c>
      <c r="L334" s="4">
        <v>61275.199999999997</v>
      </c>
      <c r="M334" s="2" t="str">
        <f>IF(RawTable[[#This Row],[Net_Amount]]="","",IF(RawTable[[#This Row],[Payment_Type]]="Vendor_Invoice","Yes","No"))</f>
        <v>No</v>
      </c>
      <c r="N334" s="6">
        <f>IF(D334="Vendor_Invoice",
     IFERROR(
         INDEX(System_Master_Data!$B$9:$B$14,
               MATCH(E334,System_Master_Data!$A$9:$A$14,0)
         ),
     0),
0)</f>
        <v>0</v>
      </c>
      <c r="O334" s="4">
        <f t="shared" si="11"/>
        <v>0</v>
      </c>
      <c r="P334" s="4">
        <v>61333</v>
      </c>
      <c r="Q334" s="56">
        <f>IFERROR(VLOOKUP(RawTable[[#This Row],[Currency]], System_Master_Data!$A$24:$B$29, 2, FALSE), "")</f>
        <v>0.77017999999999998</v>
      </c>
      <c r="R334">
        <f>IF(RawTable[[#This Row],[Exchange_Rate]]="","",ROUND(RawTable[[#This Row],[Gross_Amount]]*RawTable[[#This Row],[Exchange_Rate]],2))</f>
        <v>47237.45</v>
      </c>
      <c r="S334" t="str">
        <f>IF(RawTable[[#This Row],[Entity_Type]]&lt;&gt;"Employee",RawTable[[#This Row],[Entity_Type]],
IF(RawTable[[#This Row],[Country]]="Switzerland","Direct","EOR")
)</f>
        <v>Sub-Grantee</v>
      </c>
      <c r="T334" t="str">
        <f>IF(RawTable[[#This Row],[Employment_Model]]&lt;&gt;"EOR","",
IFERROR(VLOOKUP(RawTable[[#This Row],[Country]],EORMap[#All],3,FALSE),"")
)</f>
        <v/>
      </c>
    </row>
    <row r="335" spans="1:20">
      <c r="A335" s="24">
        <v>334</v>
      </c>
      <c r="B335" s="1" t="s">
        <v>35</v>
      </c>
      <c r="C335" s="3" t="s">
        <v>21</v>
      </c>
      <c r="D335" s="3" t="str">
        <f>IFERROR(VLOOKUP(RawTable[[#This Row],[Entity_Type]], EntityMap[], 2, FALSE), "")</f>
        <v>Grant_Disbursement</v>
      </c>
      <c r="E335" s="3" t="s">
        <v>10</v>
      </c>
      <c r="F335" s="3" t="s">
        <v>133</v>
      </c>
      <c r="G335" s="3" t="str">
        <f>IFERROR(VLOOKUP(RawTable[[#This Row],[Name]], Name_Master!$A:$E, 4, FALSE), "")</f>
        <v>JO-IBAN-01296225</v>
      </c>
      <c r="H33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GRT-Jordan-202601-000334</v>
      </c>
      <c r="I335" s="1">
        <f>IF(RawTable[[#This Row],[Month]]="","",DATE(YEAR(RawTable[[#This Row],[Month]]),MONTH(RawTable[[#This Row],[Month]]),1))</f>
        <v>46023</v>
      </c>
      <c r="J33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46033</v>
      </c>
      <c r="K335" s="3" t="s">
        <v>11</v>
      </c>
      <c r="L335" s="4">
        <v>14368.32</v>
      </c>
      <c r="M335" s="2" t="str">
        <f>IF(RawTable[[#This Row],[Net_Amount]]="","",IF(RawTable[[#This Row],[Payment_Type]]="Vendor_Invoice","Yes","No"))</f>
        <v>No</v>
      </c>
      <c r="N335" s="6">
        <f>IF(D335="Vendor_Invoice",
     IFERROR(
         INDEX(System_Master_Data!$B$9:$B$14,
               MATCH(E335,System_Master_Data!$A$9:$A$14,0)
         ),
     0),
0)</f>
        <v>0</v>
      </c>
      <c r="O335" s="4">
        <f t="shared" si="11"/>
        <v>0</v>
      </c>
      <c r="P335" s="4">
        <f t="shared" ref="P335:P351" si="13">O335+L335</f>
        <v>14368.32</v>
      </c>
      <c r="Q335" s="56">
        <f>IFERROR(VLOOKUP(RawTable[[#This Row],[Currency]], System_Master_Data!$A$24:$B$29, 2, FALSE), "")</f>
        <v>1.08643</v>
      </c>
      <c r="R335">
        <f>IF(RawTable[[#This Row],[Exchange_Rate]]="","",ROUND(RawTable[[#This Row],[Gross_Amount]]*RawTable[[#This Row],[Exchange_Rate]],2))</f>
        <v>15610.17</v>
      </c>
      <c r="S335" t="str">
        <f>IF(RawTable[[#This Row],[Entity_Type]]&lt;&gt;"Employee",RawTable[[#This Row],[Entity_Type]],
IF(RawTable[[#This Row],[Country]]="Switzerland","Direct","EOR")
)</f>
        <v>Sub-Grantee</v>
      </c>
      <c r="T335" t="str">
        <f>IF(RawTable[[#This Row],[Employment_Model]]&lt;&gt;"EOR","",
IFERROR(VLOOKUP(RawTable[[#This Row],[Country]],EORMap[#All],3,FALSE),"")
)</f>
        <v/>
      </c>
    </row>
    <row r="336" spans="1:20">
      <c r="A336" s="24">
        <v>335</v>
      </c>
      <c r="B336" s="1" t="s">
        <v>35</v>
      </c>
      <c r="C336" s="3" t="s">
        <v>21</v>
      </c>
      <c r="D336" s="3" t="str">
        <f>IFERROR(VLOOKUP(RawTable[[#This Row],[Entity_Type]], EntityMap[], 2, FALSE), "")</f>
        <v>Grant_Disbursement</v>
      </c>
      <c r="E336" s="3" t="s">
        <v>2</v>
      </c>
      <c r="F336" s="3" t="s">
        <v>134</v>
      </c>
      <c r="G336" s="3" t="str">
        <f>IFERROR(VLOOKUP(RawTable[[#This Row],[Name]], Name_Master!$A:$E, 4, FALSE), "")</f>
        <v>CH930000000002616080</v>
      </c>
      <c r="H33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GRT-Switzerland-202601-000335</v>
      </c>
      <c r="I336" s="1">
        <f>IF(RawTable[[#This Row],[Month]]="","",DATE(YEAR(RawTable[[#This Row],[Month]]),MONTH(RawTable[[#This Row],[Month]]),1))</f>
        <v>46023</v>
      </c>
      <c r="J33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46033</v>
      </c>
      <c r="K336" s="3" t="s">
        <v>3</v>
      </c>
      <c r="L336" s="4">
        <v>50887.199999999997</v>
      </c>
      <c r="M336" s="2" t="str">
        <f>IF(RawTable[[#This Row],[Net_Amount]]="","",IF(RawTable[[#This Row],[Payment_Type]]="Vendor_Invoice","Yes","No"))</f>
        <v>No</v>
      </c>
      <c r="N336" s="6">
        <f>IF(D336="Vendor_Invoice",
     IFERROR(
         INDEX(System_Master_Data!$B$9:$B$14,
               MATCH(E336,System_Master_Data!$A$9:$A$14,0)
         ),
     0),
0)</f>
        <v>0</v>
      </c>
      <c r="O336" s="4">
        <f t="shared" si="11"/>
        <v>0</v>
      </c>
      <c r="P336" s="4">
        <f t="shared" si="13"/>
        <v>50887.199999999997</v>
      </c>
      <c r="Q336" s="56">
        <f>IFERROR(VLOOKUP(RawTable[[#This Row],[Currency]], System_Master_Data!$A$24:$B$29, 2, FALSE), "")</f>
        <v>1</v>
      </c>
      <c r="R336">
        <f>IF(RawTable[[#This Row],[Exchange_Rate]]="","",ROUND(RawTable[[#This Row],[Gross_Amount]]*RawTable[[#This Row],[Exchange_Rate]],2))</f>
        <v>50887.199999999997</v>
      </c>
      <c r="S336" t="str">
        <f>IF(RawTable[[#This Row],[Entity_Type]]&lt;&gt;"Employee",RawTable[[#This Row],[Entity_Type]],
IF(RawTable[[#This Row],[Country]]="Switzerland","Direct","EOR")
)</f>
        <v>Sub-Grantee</v>
      </c>
      <c r="T336" t="str">
        <f>IF(RawTable[[#This Row],[Employment_Model]]&lt;&gt;"EOR","",
IFERROR(VLOOKUP(RawTable[[#This Row],[Country]],EORMap[#All],3,FALSE),"")
)</f>
        <v/>
      </c>
    </row>
    <row r="337" spans="1:20">
      <c r="A337" s="24">
        <v>336</v>
      </c>
      <c r="B337" s="1" t="s">
        <v>35</v>
      </c>
      <c r="C337" s="3" t="s">
        <v>21</v>
      </c>
      <c r="D337" s="3" t="str">
        <f>IFERROR(VLOOKUP(RawTable[[#This Row],[Entity_Type]], EntityMap[], 2, FALSE), "")</f>
        <v>Grant_Disbursement</v>
      </c>
      <c r="E337" s="3" t="s">
        <v>4</v>
      </c>
      <c r="F337" s="3" t="s">
        <v>135</v>
      </c>
      <c r="G337" s="3" t="str">
        <f>IFERROR(VLOOKUP(RawTable[[#This Row],[Name]], Name_Master!$A:$E, 4, FALSE), "")</f>
        <v>DE890000000001452953</v>
      </c>
      <c r="H33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GRT-Germany-202601-000336</v>
      </c>
      <c r="I337" s="1">
        <f>IF(RawTable[[#This Row],[Month]]="","",DATE(YEAR(RawTable[[#This Row],[Month]]),MONTH(RawTable[[#This Row],[Month]]),1))</f>
        <v>46023</v>
      </c>
      <c r="J33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46033</v>
      </c>
      <c r="K337" s="3" t="s">
        <v>5</v>
      </c>
      <c r="L337" s="4">
        <v>52680</v>
      </c>
      <c r="M337" s="2" t="str">
        <f>IF(RawTable[[#This Row],[Net_Amount]]="","",IF(RawTable[[#This Row],[Payment_Type]]="Vendor_Invoice","Yes","No"))</f>
        <v>No</v>
      </c>
      <c r="N337" s="6">
        <f>IF(D337="Vendor_Invoice",
     IFERROR(
         INDEX(System_Master_Data!$B$9:$B$14,
               MATCH(E337,System_Master_Data!$A$9:$A$14,0)
         ),
     0),
0)</f>
        <v>0</v>
      </c>
      <c r="O337" s="4">
        <f t="shared" si="11"/>
        <v>0</v>
      </c>
      <c r="P337" s="4">
        <f t="shared" si="13"/>
        <v>52680</v>
      </c>
      <c r="Q337" s="56">
        <f>IFERROR(VLOOKUP(RawTable[[#This Row],[Currency]], System_Master_Data!$A$24:$B$29, 2, FALSE), "")</f>
        <v>0.90888000000000002</v>
      </c>
      <c r="R337">
        <f>IF(RawTable[[#This Row],[Exchange_Rate]]="","",ROUND(RawTable[[#This Row],[Gross_Amount]]*RawTable[[#This Row],[Exchange_Rate]],2))</f>
        <v>47879.8</v>
      </c>
      <c r="S337" t="str">
        <f>IF(RawTable[[#This Row],[Entity_Type]]&lt;&gt;"Employee",RawTable[[#This Row],[Entity_Type]],
IF(RawTable[[#This Row],[Country]]="Switzerland","Direct","EOR")
)</f>
        <v>Sub-Grantee</v>
      </c>
      <c r="T337" t="str">
        <f>IF(RawTable[[#This Row],[Employment_Model]]&lt;&gt;"EOR","",
IFERROR(VLOOKUP(RawTable[[#This Row],[Country]],EORMap[#All],3,FALSE),"")
)</f>
        <v/>
      </c>
    </row>
    <row r="338" spans="1:20">
      <c r="A338" s="24">
        <v>337</v>
      </c>
      <c r="B338" s="1" t="s">
        <v>28</v>
      </c>
      <c r="C338" s="3" t="s">
        <v>21</v>
      </c>
      <c r="D338" s="3" t="str">
        <f>IFERROR(VLOOKUP(RawTable[[#This Row],[Entity_Type]], EntityMap[], 2, FALSE), "")</f>
        <v>Grant_Disbursement</v>
      </c>
      <c r="E338" s="3" t="s">
        <v>10</v>
      </c>
      <c r="F338" s="3" t="s">
        <v>131</v>
      </c>
      <c r="G338" s="3" t="str">
        <f>IFERROR(VLOOKUP(RawTable[[#This Row],[Name]], Name_Master!$A:$E, 4, FALSE), "")</f>
        <v>DE890000000001398637</v>
      </c>
      <c r="H33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GRT-Jordan-202602-000337</v>
      </c>
      <c r="I338" s="1">
        <f>IF(RawTable[[#This Row],[Month]]="","",DATE(YEAR(RawTable[[#This Row],[Month]]),MONTH(RawTable[[#This Row],[Month]]),1))</f>
        <v>46054</v>
      </c>
      <c r="J33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46064</v>
      </c>
      <c r="K338" s="3" t="s">
        <v>11</v>
      </c>
      <c r="L338" s="4">
        <v>15428.16</v>
      </c>
      <c r="M338" s="2" t="str">
        <f>IF(RawTable[[#This Row],[Net_Amount]]="","",IF(RawTable[[#This Row],[Payment_Type]]="Vendor_Invoice","Yes","No"))</f>
        <v>No</v>
      </c>
      <c r="N338" s="6">
        <f>IF(D338="Vendor_Invoice",
     IFERROR(
         INDEX(System_Master_Data!$B$9:$B$14,
               MATCH(E338,System_Master_Data!$A$9:$A$14,0)
         ),
     0),
0)</f>
        <v>0</v>
      </c>
      <c r="O338" s="4">
        <f t="shared" si="11"/>
        <v>0</v>
      </c>
      <c r="P338" s="4">
        <f t="shared" si="13"/>
        <v>15428.16</v>
      </c>
      <c r="Q338" s="56">
        <f>IFERROR(VLOOKUP(RawTable[[#This Row],[Currency]], System_Master_Data!$A$24:$B$29, 2, FALSE), "")</f>
        <v>1.08643</v>
      </c>
      <c r="R338">
        <f>IF(RawTable[[#This Row],[Exchange_Rate]]="","",ROUND(RawTable[[#This Row],[Gross_Amount]]*RawTable[[#This Row],[Exchange_Rate]],2))</f>
        <v>16761.62</v>
      </c>
      <c r="S338" t="str">
        <f>IF(RawTable[[#This Row],[Entity_Type]]&lt;&gt;"Employee",RawTable[[#This Row],[Entity_Type]],
IF(RawTable[[#This Row],[Country]]="Switzerland","Direct","EOR")
)</f>
        <v>Sub-Grantee</v>
      </c>
      <c r="T338" t="str">
        <f>IF(RawTable[[#This Row],[Employment_Model]]&lt;&gt;"EOR","",
IFERROR(VLOOKUP(RawTable[[#This Row],[Country]],EORMap[#All],3,FALSE),"")
)</f>
        <v/>
      </c>
    </row>
    <row r="339" spans="1:20">
      <c r="A339" s="24">
        <v>338</v>
      </c>
      <c r="B339" s="1" t="s">
        <v>28</v>
      </c>
      <c r="C339" s="3" t="s">
        <v>21</v>
      </c>
      <c r="D339" s="3" t="str">
        <f>IFERROR(VLOOKUP(RawTable[[#This Row],[Entity_Type]], EntityMap[], 2, FALSE), "")</f>
        <v>Grant_Disbursement</v>
      </c>
      <c r="E339" s="3" t="s">
        <v>6</v>
      </c>
      <c r="F339" s="3" t="s">
        <v>131</v>
      </c>
      <c r="G339" s="3" t="str">
        <f>IFERROR(VLOOKUP(RawTable[[#This Row],[Name]], Name_Master!$A:$E, 4, FALSE), "")</f>
        <v>DE890000000001398637</v>
      </c>
      <c r="H33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GRT-USA-202602-000338</v>
      </c>
      <c r="I339" s="1">
        <f>IF(RawTable[[#This Row],[Month]]="","",DATE(YEAR(RawTable[[#This Row],[Month]]),MONTH(RawTable[[#This Row],[Month]]),1))</f>
        <v>46054</v>
      </c>
      <c r="J33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46064</v>
      </c>
      <c r="K339" s="3" t="s">
        <v>7</v>
      </c>
      <c r="L339" s="4">
        <v>59998.400000000001</v>
      </c>
      <c r="M339" s="2" t="str">
        <f>IF(RawTable[[#This Row],[Net_Amount]]="","",IF(RawTable[[#This Row],[Payment_Type]]="Vendor_Invoice","Yes","No"))</f>
        <v>No</v>
      </c>
      <c r="N339" s="6">
        <f>IF(D339="Vendor_Invoice",
     IFERROR(
         INDEX(System_Master_Data!$B$9:$B$14,
               MATCH(E339,System_Master_Data!$A$9:$A$14,0)
         ),
     0),
0)</f>
        <v>0</v>
      </c>
      <c r="O339" s="4">
        <f t="shared" si="11"/>
        <v>0</v>
      </c>
      <c r="P339" s="4">
        <f t="shared" si="13"/>
        <v>59998.400000000001</v>
      </c>
      <c r="Q339" s="56">
        <f>IFERROR(VLOOKUP(RawTable[[#This Row],[Currency]], System_Master_Data!$A$24:$B$29, 2, FALSE), "")</f>
        <v>0.77017999999999998</v>
      </c>
      <c r="R339">
        <f>IF(RawTable[[#This Row],[Exchange_Rate]]="","",ROUND(RawTable[[#This Row],[Gross_Amount]]*RawTable[[#This Row],[Exchange_Rate]],2))</f>
        <v>46209.57</v>
      </c>
      <c r="S339" t="str">
        <f>IF(RawTable[[#This Row],[Entity_Type]]&lt;&gt;"Employee",RawTable[[#This Row],[Entity_Type]],
IF(RawTable[[#This Row],[Country]]="Switzerland","Direct","EOR")
)</f>
        <v>Sub-Grantee</v>
      </c>
      <c r="T339" t="str">
        <f>IF(RawTable[[#This Row],[Employment_Model]]&lt;&gt;"EOR","",
IFERROR(VLOOKUP(RawTable[[#This Row],[Country]],EORMap[#All],3,FALSE),"")
)</f>
        <v/>
      </c>
    </row>
    <row r="340" spans="1:20">
      <c r="A340" s="24">
        <v>339</v>
      </c>
      <c r="B340" s="1" t="s">
        <v>30</v>
      </c>
      <c r="C340" s="3" t="s">
        <v>21</v>
      </c>
      <c r="D340" s="3" t="str">
        <f>IFERROR(VLOOKUP(RawTable[[#This Row],[Entity_Type]], EntityMap[], 2, FALSE), "")</f>
        <v>Grant_Disbursement</v>
      </c>
      <c r="E340" s="3" t="s">
        <v>2</v>
      </c>
      <c r="F340" s="3" t="s">
        <v>132</v>
      </c>
      <c r="G340" s="3" t="str">
        <f>IFERROR(VLOOKUP(RawTable[[#This Row],[Name]], Name_Master!$A:$E, 4, FALSE), "")</f>
        <v>CH930000000002566720</v>
      </c>
      <c r="H34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GRT-Switzerland-202603-000339</v>
      </c>
      <c r="I340" s="1">
        <f>IF(RawTable[[#This Row],[Month]]="","",DATE(YEAR(RawTable[[#This Row],[Month]]),MONTH(RawTable[[#This Row],[Month]]),1))</f>
        <v>46082</v>
      </c>
      <c r="J34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46092</v>
      </c>
      <c r="K340" s="3" t="s">
        <v>3</v>
      </c>
      <c r="L340" s="4">
        <v>51651.6</v>
      </c>
      <c r="M340" s="2" t="str">
        <f>IF(RawTable[[#This Row],[Net_Amount]]="","",IF(RawTable[[#This Row],[Payment_Type]]="Vendor_Invoice","Yes","No"))</f>
        <v>No</v>
      </c>
      <c r="N340" s="6">
        <f>IF(D340="Vendor_Invoice",
     IFERROR(
         INDEX(System_Master_Data!$B$9:$B$14,
               MATCH(E340,System_Master_Data!$A$9:$A$14,0)
         ),
     0),
0)</f>
        <v>0</v>
      </c>
      <c r="O340" s="4">
        <f t="shared" si="11"/>
        <v>0</v>
      </c>
      <c r="P340" s="4">
        <f t="shared" si="13"/>
        <v>51651.6</v>
      </c>
      <c r="Q340" s="56">
        <f>IFERROR(VLOOKUP(RawTable[[#This Row],[Currency]], System_Master_Data!$A$24:$B$29, 2, FALSE), "")</f>
        <v>1</v>
      </c>
      <c r="R340">
        <f>IF(RawTable[[#This Row],[Exchange_Rate]]="","",ROUND(RawTable[[#This Row],[Gross_Amount]]*RawTable[[#This Row],[Exchange_Rate]],2))</f>
        <v>51651.6</v>
      </c>
      <c r="S340" t="str">
        <f>IF(RawTable[[#This Row],[Entity_Type]]&lt;&gt;"Employee",RawTable[[#This Row],[Entity_Type]],
IF(RawTable[[#This Row],[Country]]="Switzerland","Direct","EOR")
)</f>
        <v>Sub-Grantee</v>
      </c>
      <c r="T340" t="str">
        <f>IF(RawTable[[#This Row],[Employment_Model]]&lt;&gt;"EOR","",
IFERROR(VLOOKUP(RawTable[[#This Row],[Country]],EORMap[#All],3,FALSE),"")
)</f>
        <v/>
      </c>
    </row>
    <row r="341" spans="1:20">
      <c r="A341" s="24">
        <v>340</v>
      </c>
      <c r="B341" s="1" t="s">
        <v>35</v>
      </c>
      <c r="C341" s="3" t="s">
        <v>21</v>
      </c>
      <c r="D341" s="3" t="str">
        <f>IFERROR(VLOOKUP(RawTable[[#This Row],[Entity_Type]], EntityMap[], 2, FALSE), "")</f>
        <v>Grant_Disbursement</v>
      </c>
      <c r="E341" s="3" t="s">
        <v>6</v>
      </c>
      <c r="F341" s="3" t="s">
        <v>131</v>
      </c>
      <c r="G341" s="3" t="str">
        <f>IFERROR(VLOOKUP(RawTable[[#This Row],[Name]], Name_Master!$A:$E, 4, FALSE), "")</f>
        <v>DE890000000001398637</v>
      </c>
      <c r="H34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GRT-USA-202601-000340</v>
      </c>
      <c r="I341" s="1">
        <f>IF(RawTable[[#This Row],[Month]]="","",DATE(YEAR(RawTable[[#This Row],[Month]]),MONTH(RawTable[[#This Row],[Month]]),1))</f>
        <v>46023</v>
      </c>
      <c r="J34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46033</v>
      </c>
      <c r="K341" s="3" t="s">
        <v>7</v>
      </c>
      <c r="L341" s="4">
        <v>59998.400000000001</v>
      </c>
      <c r="M341" s="2" t="str">
        <f>IF(RawTable[[#This Row],[Net_Amount]]="","",IF(RawTable[[#This Row],[Payment_Type]]="Vendor_Invoice","Yes","No"))</f>
        <v>No</v>
      </c>
      <c r="N341" s="6">
        <f>IF(D341="Vendor_Invoice",
     IFERROR(
         INDEX(System_Master_Data!$B$9:$B$14,
               MATCH(E341,System_Master_Data!$A$9:$A$14,0)
         ),
     0),
0)</f>
        <v>0</v>
      </c>
      <c r="O341" s="4">
        <f t="shared" si="11"/>
        <v>0</v>
      </c>
      <c r="P341" s="4">
        <f t="shared" si="13"/>
        <v>59998.400000000001</v>
      </c>
      <c r="Q341" s="56">
        <f>IFERROR(VLOOKUP(RawTable[[#This Row],[Currency]], System_Master_Data!$A$24:$B$29, 2, FALSE), "")</f>
        <v>0.77017999999999998</v>
      </c>
      <c r="R341">
        <f>IF(RawTable[[#This Row],[Exchange_Rate]]="","",ROUND(RawTable[[#This Row],[Gross_Amount]]*RawTable[[#This Row],[Exchange_Rate]],2))</f>
        <v>46209.57</v>
      </c>
      <c r="S341" t="str">
        <f>IF(RawTable[[#This Row],[Entity_Type]]&lt;&gt;"Employee",RawTable[[#This Row],[Entity_Type]],
IF(RawTable[[#This Row],[Country]]="Switzerland","Direct","EOR")
)</f>
        <v>Sub-Grantee</v>
      </c>
      <c r="T341" t="str">
        <f>IF(RawTable[[#This Row],[Employment_Model]]&lt;&gt;"EOR","",
IFERROR(VLOOKUP(RawTable[[#This Row],[Country]],EORMap[#All],3,FALSE),"")
)</f>
        <v/>
      </c>
    </row>
    <row r="342" spans="1:20">
      <c r="A342" s="24">
        <v>341</v>
      </c>
      <c r="B342" s="1" t="s">
        <v>35</v>
      </c>
      <c r="C342" s="3" t="s">
        <v>21</v>
      </c>
      <c r="D342" s="3" t="str">
        <f>IFERROR(VLOOKUP(RawTable[[#This Row],[Entity_Type]], EntityMap[], 2, FALSE), "")</f>
        <v>Grant_Disbursement</v>
      </c>
      <c r="E342" s="3" t="s">
        <v>8</v>
      </c>
      <c r="F342" s="3" t="s">
        <v>131</v>
      </c>
      <c r="G342" s="3" t="str">
        <f>IFERROR(VLOOKUP(RawTable[[#This Row],[Name]], Name_Master!$A:$E, 4, FALSE), "")</f>
        <v>DE890000000001398637</v>
      </c>
      <c r="H34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GRT-UAE-202601-000341</v>
      </c>
      <c r="I342" s="1">
        <f>IF(RawTable[[#This Row],[Month]]="","",DATE(YEAR(RawTable[[#This Row],[Month]]),MONTH(RawTable[[#This Row],[Month]]),1))</f>
        <v>46023</v>
      </c>
      <c r="J34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46033</v>
      </c>
      <c r="K342" s="3" t="s">
        <v>9</v>
      </c>
      <c r="L342" s="4">
        <v>188566.39999999999</v>
      </c>
      <c r="M342" s="2" t="str">
        <f>IF(RawTable[[#This Row],[Net_Amount]]="","",IF(RawTable[[#This Row],[Payment_Type]]="Vendor_Invoice","Yes","No"))</f>
        <v>No</v>
      </c>
      <c r="N342" s="6">
        <f>IF(D342="Vendor_Invoice",
     IFERROR(
         INDEX(System_Master_Data!$B$9:$B$14,
               MATCH(E342,System_Master_Data!$A$9:$A$14,0)
         ),
     0),
0)</f>
        <v>0</v>
      </c>
      <c r="O342" s="4">
        <f t="shared" si="11"/>
        <v>0</v>
      </c>
      <c r="P342" s="4">
        <f t="shared" si="13"/>
        <v>188566.39999999999</v>
      </c>
      <c r="Q342" s="56">
        <f>IFERROR(VLOOKUP(RawTable[[#This Row],[Currency]], System_Master_Data!$A$24:$B$29, 2, FALSE), "")</f>
        <v>0.21065</v>
      </c>
      <c r="R342">
        <f>IF(RawTable[[#This Row],[Exchange_Rate]]="","",ROUND(RawTable[[#This Row],[Gross_Amount]]*RawTable[[#This Row],[Exchange_Rate]],2))</f>
        <v>39721.51</v>
      </c>
      <c r="S342" t="str">
        <f>IF(RawTable[[#This Row],[Entity_Type]]&lt;&gt;"Employee",RawTable[[#This Row],[Entity_Type]],
IF(RawTable[[#This Row],[Country]]="Switzerland","Direct","EOR")
)</f>
        <v>Sub-Grantee</v>
      </c>
      <c r="T342" t="str">
        <f>IF(RawTable[[#This Row],[Employment_Model]]&lt;&gt;"EOR","",
IFERROR(VLOOKUP(RawTable[[#This Row],[Country]],EORMap[#All],3,FALSE),"")
)</f>
        <v/>
      </c>
    </row>
    <row r="343" spans="1:20">
      <c r="A343" s="24">
        <v>342</v>
      </c>
      <c r="B343" s="1" t="s">
        <v>35</v>
      </c>
      <c r="C343" s="3" t="s">
        <v>21</v>
      </c>
      <c r="D343" s="3" t="str">
        <f>IFERROR(VLOOKUP(RawTable[[#This Row],[Entity_Type]], EntityMap[], 2, FALSE), "")</f>
        <v>Grant_Disbursement</v>
      </c>
      <c r="E343" s="3" t="s">
        <v>10</v>
      </c>
      <c r="F343" s="3" t="s">
        <v>129</v>
      </c>
      <c r="G343" s="3" t="str">
        <f>IFERROR(VLOOKUP(RawTable[[#This Row],[Name]], Name_Master!$A:$E, 4, FALSE), "")</f>
        <v>CH930000000002492680</v>
      </c>
      <c r="H34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GRT-Jordan-202601-000342</v>
      </c>
      <c r="I343" s="1">
        <f>IF(RawTable[[#This Row],[Month]]="","",DATE(YEAR(RawTable[[#This Row],[Month]]),MONTH(RawTable[[#This Row],[Month]]),1))</f>
        <v>46023</v>
      </c>
      <c r="J34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46033</v>
      </c>
      <c r="K343" s="3" t="s">
        <v>11</v>
      </c>
      <c r="L343" s="4">
        <v>15091.2</v>
      </c>
      <c r="M343" s="2" t="str">
        <f>IF(RawTable[[#This Row],[Net_Amount]]="","",IF(RawTable[[#This Row],[Payment_Type]]="Vendor_Invoice","Yes","No"))</f>
        <v>No</v>
      </c>
      <c r="N343" s="6">
        <f>IF(D343="Vendor_Invoice",
     IFERROR(
         INDEX(System_Master_Data!$B$9:$B$14,
               MATCH(E343,System_Master_Data!$A$9:$A$14,0)
         ),
     0),
0)</f>
        <v>0</v>
      </c>
      <c r="O343" s="4">
        <f t="shared" si="11"/>
        <v>0</v>
      </c>
      <c r="P343" s="4">
        <f t="shared" si="13"/>
        <v>15091.2</v>
      </c>
      <c r="Q343" s="56">
        <f>IFERROR(VLOOKUP(RawTable[[#This Row],[Currency]], System_Master_Data!$A$24:$B$29, 2, FALSE), "")</f>
        <v>1.08643</v>
      </c>
      <c r="R343">
        <f>IF(RawTable[[#This Row],[Exchange_Rate]]="","",ROUND(RawTable[[#This Row],[Gross_Amount]]*RawTable[[#This Row],[Exchange_Rate]],2))</f>
        <v>16395.53</v>
      </c>
      <c r="S343" t="str">
        <f>IF(RawTable[[#This Row],[Entity_Type]]&lt;&gt;"Employee",RawTable[[#This Row],[Entity_Type]],
IF(RawTable[[#This Row],[Country]]="Switzerland","Direct","EOR")
)</f>
        <v>Sub-Grantee</v>
      </c>
      <c r="T343" t="str">
        <f>IF(RawTable[[#This Row],[Employment_Model]]&lt;&gt;"EOR","",
IFERROR(VLOOKUP(RawTable[[#This Row],[Country]],EORMap[#All],3,FALSE),"")
)</f>
        <v/>
      </c>
    </row>
    <row r="344" spans="1:20">
      <c r="A344" s="24">
        <v>343</v>
      </c>
      <c r="B344" s="1" t="s">
        <v>35</v>
      </c>
      <c r="C344" s="3" t="s">
        <v>21</v>
      </c>
      <c r="D344" s="3" t="str">
        <f>IFERROR(VLOOKUP(RawTable[[#This Row],[Entity_Type]], EntityMap[], 2, FALSE), "")</f>
        <v>Grant_Disbursement</v>
      </c>
      <c r="E344" s="3" t="s">
        <v>10</v>
      </c>
      <c r="F344" s="3" t="s">
        <v>135</v>
      </c>
      <c r="G344" s="3" t="str">
        <f>IFERROR(VLOOKUP(RawTable[[#This Row],[Name]], Name_Master!$A:$E, 4, FALSE), "")</f>
        <v>DE890000000001452953</v>
      </c>
      <c r="H34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GRT-Jordan-202601-000343</v>
      </c>
      <c r="I344" s="1">
        <f>IF(RawTable[[#This Row],[Month]]="","",DATE(YEAR(RawTable[[#This Row],[Month]]),MONTH(RawTable[[#This Row],[Month]]),1))</f>
        <v>46023</v>
      </c>
      <c r="J34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46033</v>
      </c>
      <c r="K344" s="3" t="s">
        <v>11</v>
      </c>
      <c r="L344" s="4">
        <v>15804</v>
      </c>
      <c r="M344" s="2" t="str">
        <f>IF(RawTable[[#This Row],[Net_Amount]]="","",IF(RawTable[[#This Row],[Payment_Type]]="Vendor_Invoice","Yes","No"))</f>
        <v>No</v>
      </c>
      <c r="N344" s="6">
        <f>IF(D344="Vendor_Invoice",
     IFERROR(
         INDEX(System_Master_Data!$B$9:$B$14,
               MATCH(E344,System_Master_Data!$A$9:$A$14,0)
         ),
     0),
0)</f>
        <v>0</v>
      </c>
      <c r="O344" s="4">
        <f t="shared" si="11"/>
        <v>0</v>
      </c>
      <c r="P344" s="4">
        <f t="shared" si="13"/>
        <v>15804</v>
      </c>
      <c r="Q344" s="56">
        <f>IFERROR(VLOOKUP(RawTable[[#This Row],[Currency]], System_Master_Data!$A$24:$B$29, 2, FALSE), "")</f>
        <v>1.08643</v>
      </c>
      <c r="R344">
        <f>IF(RawTable[[#This Row],[Exchange_Rate]]="","",ROUND(RawTable[[#This Row],[Gross_Amount]]*RawTable[[#This Row],[Exchange_Rate]],2))</f>
        <v>17169.939999999999</v>
      </c>
      <c r="S344" t="str">
        <f>IF(RawTable[[#This Row],[Entity_Type]]&lt;&gt;"Employee",RawTable[[#This Row],[Entity_Type]],
IF(RawTable[[#This Row],[Country]]="Switzerland","Direct","EOR")
)</f>
        <v>Sub-Grantee</v>
      </c>
      <c r="T344" t="str">
        <f>IF(RawTable[[#This Row],[Employment_Model]]&lt;&gt;"EOR","",
IFERROR(VLOOKUP(RawTable[[#This Row],[Country]],EORMap[#All],3,FALSE),"")
)</f>
        <v/>
      </c>
    </row>
    <row r="345" spans="1:20">
      <c r="A345" s="24">
        <v>344</v>
      </c>
      <c r="B345" s="1" t="s">
        <v>30</v>
      </c>
      <c r="C345" s="3" t="s">
        <v>21</v>
      </c>
      <c r="D345" s="3" t="str">
        <f>IFERROR(VLOOKUP(RawTable[[#This Row],[Entity_Type]], EntityMap[], 2, FALSE), "")</f>
        <v>Grant_Disbursement</v>
      </c>
      <c r="E345" s="3" t="s">
        <v>2</v>
      </c>
      <c r="F345" s="3" t="s">
        <v>130</v>
      </c>
      <c r="G345" s="3" t="str">
        <f>IFERROR(VLOOKUP(RawTable[[#This Row],[Name]], Name_Master!$A:$E, 4, FALSE), "")</f>
        <v>US-RT-000125868-AC-0000579156</v>
      </c>
      <c r="H34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GRT-Switzerland-202603-000344</v>
      </c>
      <c r="I345" s="1">
        <f>IF(RawTable[[#This Row],[Month]]="","",DATE(YEAR(RawTable[[#This Row],[Month]]),MONTH(RawTable[[#This Row],[Month]]),1))</f>
        <v>46082</v>
      </c>
      <c r="J34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46092</v>
      </c>
      <c r="K345" s="3" t="s">
        <v>3</v>
      </c>
      <c r="L345" s="4">
        <v>56898.400000000001</v>
      </c>
      <c r="M345" s="2" t="str">
        <f>IF(RawTable[[#This Row],[Net_Amount]]="","",IF(RawTable[[#This Row],[Payment_Type]]="Vendor_Invoice","Yes","No"))</f>
        <v>No</v>
      </c>
      <c r="N345" s="6">
        <f>IF(D345="Vendor_Invoice",
     IFERROR(
         INDEX(System_Master_Data!$B$9:$B$14,
               MATCH(E345,System_Master_Data!$A$9:$A$14,0)
         ),
     0),
0)</f>
        <v>0</v>
      </c>
      <c r="O345" s="4">
        <f t="shared" si="11"/>
        <v>0</v>
      </c>
      <c r="P345" s="4">
        <f t="shared" si="13"/>
        <v>56898.400000000001</v>
      </c>
      <c r="Q345" s="56">
        <f>IFERROR(VLOOKUP(RawTable[[#This Row],[Currency]], System_Master_Data!$A$24:$B$29, 2, FALSE), "")</f>
        <v>1</v>
      </c>
      <c r="R345">
        <f>IF(RawTable[[#This Row],[Exchange_Rate]]="","",ROUND(RawTable[[#This Row],[Gross_Amount]]*RawTable[[#This Row],[Exchange_Rate]],2))</f>
        <v>56898.400000000001</v>
      </c>
      <c r="S345" t="str">
        <f>IF(RawTable[[#This Row],[Entity_Type]]&lt;&gt;"Employee",RawTable[[#This Row],[Entity_Type]],
IF(RawTable[[#This Row],[Country]]="Switzerland","Direct","EOR")
)</f>
        <v>Sub-Grantee</v>
      </c>
      <c r="T345" t="str">
        <f>IF(RawTable[[#This Row],[Employment_Model]]&lt;&gt;"EOR","",
IFERROR(VLOOKUP(RawTable[[#This Row],[Country]],EORMap[#All],3,FALSE),"")
)</f>
        <v/>
      </c>
    </row>
    <row r="346" spans="1:20">
      <c r="A346" s="24">
        <v>345</v>
      </c>
      <c r="B346" s="1" t="s">
        <v>35</v>
      </c>
      <c r="C346" s="3" t="s">
        <v>21</v>
      </c>
      <c r="D346" s="3" t="str">
        <f>IFERROR(VLOOKUP(RawTable[[#This Row],[Entity_Type]], EntityMap[], 2, FALSE), "")</f>
        <v>Grant_Disbursement</v>
      </c>
      <c r="E346" s="3" t="s">
        <v>10</v>
      </c>
      <c r="F346" s="3" t="s">
        <v>134</v>
      </c>
      <c r="G346" s="3" t="str">
        <f>IFERROR(VLOOKUP(RawTable[[#This Row],[Name]], Name_Master!$A:$E, 4, FALSE), "")</f>
        <v>CH930000000002616080</v>
      </c>
      <c r="H34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GRT-Jordan-202601-000345</v>
      </c>
      <c r="I346" s="1">
        <f>IF(RawTable[[#This Row],[Month]]="","",DATE(YEAR(RawTable[[#This Row],[Month]]),MONTH(RawTable[[#This Row],[Month]]),1))</f>
        <v>46023</v>
      </c>
      <c r="J34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46033</v>
      </c>
      <c r="K346" s="3" t="s">
        <v>11</v>
      </c>
      <c r="L346" s="4">
        <v>14091.84</v>
      </c>
      <c r="M346" s="2" t="str">
        <f>IF(RawTable[[#This Row],[Net_Amount]]="","",IF(RawTable[[#This Row],[Payment_Type]]="Vendor_Invoice","Yes","No"))</f>
        <v>No</v>
      </c>
      <c r="N346" s="6">
        <f>IF(D346="Vendor_Invoice",
     IFERROR(
         INDEX(System_Master_Data!$B$9:$B$14,
               MATCH(E346,System_Master_Data!$A$9:$A$14,0)
         ),
     0),
0)</f>
        <v>0</v>
      </c>
      <c r="O346" s="4">
        <f t="shared" si="11"/>
        <v>0</v>
      </c>
      <c r="P346" s="4">
        <f t="shared" si="13"/>
        <v>14091.84</v>
      </c>
      <c r="Q346" s="56">
        <f>IFERROR(VLOOKUP(RawTable[[#This Row],[Currency]], System_Master_Data!$A$24:$B$29, 2, FALSE), "")</f>
        <v>1.08643</v>
      </c>
      <c r="R346">
        <f>IF(RawTable[[#This Row],[Exchange_Rate]]="","",ROUND(RawTable[[#This Row],[Gross_Amount]]*RawTable[[#This Row],[Exchange_Rate]],2))</f>
        <v>15309.8</v>
      </c>
      <c r="S346" t="str">
        <f>IF(RawTable[[#This Row],[Entity_Type]]&lt;&gt;"Employee",RawTable[[#This Row],[Entity_Type]],
IF(RawTable[[#This Row],[Country]]="Switzerland","Direct","EOR")
)</f>
        <v>Sub-Grantee</v>
      </c>
      <c r="T346" t="str">
        <f>IF(RawTable[[#This Row],[Employment_Model]]&lt;&gt;"EOR","",
IFERROR(VLOOKUP(RawTable[[#This Row],[Country]],EORMap[#All],3,FALSE),"")
)</f>
        <v/>
      </c>
    </row>
    <row r="347" spans="1:20">
      <c r="A347" s="24">
        <v>346</v>
      </c>
      <c r="B347" s="1" t="s">
        <v>35</v>
      </c>
      <c r="C347" s="3" t="s">
        <v>21</v>
      </c>
      <c r="D347" s="3" t="str">
        <f>IFERROR(VLOOKUP(RawTable[[#This Row],[Entity_Type]], EntityMap[], 2, FALSE), "")</f>
        <v>Grant_Disbursement</v>
      </c>
      <c r="E347" s="3" t="s">
        <v>8</v>
      </c>
      <c r="F347" s="3" t="s">
        <v>133</v>
      </c>
      <c r="G347" s="3" t="str">
        <f>IFERROR(VLOOKUP(RawTable[[#This Row],[Name]], Name_Master!$A:$E, 4, FALSE), "")</f>
        <v>JO-IBAN-01296225</v>
      </c>
      <c r="H34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GRT-UAE-202601-000346</v>
      </c>
      <c r="I347" s="1">
        <f>IF(RawTable[[#This Row],[Month]]="","",DATE(YEAR(RawTable[[#This Row],[Month]]),MONTH(RawTable[[#This Row],[Month]]),1))</f>
        <v>46023</v>
      </c>
      <c r="J34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46033</v>
      </c>
      <c r="K347" s="3" t="s">
        <v>9</v>
      </c>
      <c r="L347" s="4">
        <v>175612.79999999999</v>
      </c>
      <c r="M347" s="2" t="str">
        <f>IF(RawTable[[#This Row],[Net_Amount]]="","",IF(RawTable[[#This Row],[Payment_Type]]="Vendor_Invoice","Yes","No"))</f>
        <v>No</v>
      </c>
      <c r="N347" s="6">
        <f>IF(D347="Vendor_Invoice",
     IFERROR(
         INDEX(System_Master_Data!$B$9:$B$14,
               MATCH(E347,System_Master_Data!$A$9:$A$14,0)
         ),
     0),
0)</f>
        <v>0</v>
      </c>
      <c r="O347" s="4">
        <f t="shared" si="11"/>
        <v>0</v>
      </c>
      <c r="P347" s="4">
        <f t="shared" si="13"/>
        <v>175612.79999999999</v>
      </c>
      <c r="Q347" s="56">
        <f>IFERROR(VLOOKUP(RawTable[[#This Row],[Currency]], System_Master_Data!$A$24:$B$29, 2, FALSE), "")</f>
        <v>0.21065</v>
      </c>
      <c r="R347">
        <f>IF(RawTable[[#This Row],[Exchange_Rate]]="","",ROUND(RawTable[[#This Row],[Gross_Amount]]*RawTable[[#This Row],[Exchange_Rate]],2))</f>
        <v>36992.839999999997</v>
      </c>
      <c r="S347" t="str">
        <f>IF(RawTable[[#This Row],[Entity_Type]]&lt;&gt;"Employee",RawTable[[#This Row],[Entity_Type]],
IF(RawTable[[#This Row],[Country]]="Switzerland","Direct","EOR")
)</f>
        <v>Sub-Grantee</v>
      </c>
      <c r="T347" t="str">
        <f>IF(RawTable[[#This Row],[Employment_Model]]&lt;&gt;"EOR","",
IFERROR(VLOOKUP(RawTable[[#This Row],[Country]],EORMap[#All],3,FALSE),"")
)</f>
        <v/>
      </c>
    </row>
    <row r="348" spans="1:20">
      <c r="A348" s="24">
        <v>347</v>
      </c>
      <c r="B348" s="1" t="s">
        <v>35</v>
      </c>
      <c r="C348" s="3" t="s">
        <v>21</v>
      </c>
      <c r="D348" s="3" t="str">
        <f>IFERROR(VLOOKUP(RawTable[[#This Row],[Entity_Type]], EntityMap[], 2, FALSE), "")</f>
        <v>Grant_Disbursement</v>
      </c>
      <c r="E348" s="3" t="s">
        <v>2</v>
      </c>
      <c r="F348" s="3" t="s">
        <v>129</v>
      </c>
      <c r="G348" s="3" t="str">
        <f>IFERROR(VLOOKUP(RawTable[[#This Row],[Name]], Name_Master!$A:$E, 4, FALSE), "")</f>
        <v>CH930000000002492680</v>
      </c>
      <c r="H34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GRT-Switzerland-202601-000347</v>
      </c>
      <c r="I348" s="1">
        <f>IF(RawTable[[#This Row],[Month]]="","",DATE(YEAR(RawTable[[#This Row],[Month]]),MONTH(RawTable[[#This Row],[Month]]),1))</f>
        <v>46023</v>
      </c>
      <c r="J34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46033</v>
      </c>
      <c r="K348" s="3" t="s">
        <v>3</v>
      </c>
      <c r="L348" s="4">
        <v>54496</v>
      </c>
      <c r="M348" s="2" t="str">
        <f>IF(RawTable[[#This Row],[Net_Amount]]="","",IF(RawTable[[#This Row],[Payment_Type]]="Vendor_Invoice","Yes","No"))</f>
        <v>No</v>
      </c>
      <c r="N348" s="6">
        <f>IF(D348="Vendor_Invoice",
     IFERROR(
         INDEX(System_Master_Data!$B$9:$B$14,
               MATCH(E348,System_Master_Data!$A$9:$A$14,0)
         ),
     0),
0)</f>
        <v>0</v>
      </c>
      <c r="O348" s="4">
        <f t="shared" si="11"/>
        <v>0</v>
      </c>
      <c r="P348" s="4">
        <f t="shared" si="13"/>
        <v>54496</v>
      </c>
      <c r="Q348" s="56">
        <f>IFERROR(VLOOKUP(RawTable[[#This Row],[Currency]], System_Master_Data!$A$24:$B$29, 2, FALSE), "")</f>
        <v>1</v>
      </c>
      <c r="R348">
        <f>IF(RawTable[[#This Row],[Exchange_Rate]]="","",ROUND(RawTable[[#This Row],[Gross_Amount]]*RawTable[[#This Row],[Exchange_Rate]],2))</f>
        <v>54496</v>
      </c>
      <c r="S348" t="str">
        <f>IF(RawTable[[#This Row],[Entity_Type]]&lt;&gt;"Employee",RawTable[[#This Row],[Entity_Type]],
IF(RawTable[[#This Row],[Country]]="Switzerland","Direct","EOR")
)</f>
        <v>Sub-Grantee</v>
      </c>
      <c r="T348" t="str">
        <f>IF(RawTable[[#This Row],[Employment_Model]]&lt;&gt;"EOR","",
IFERROR(VLOOKUP(RawTable[[#This Row],[Country]],EORMap[#All],3,FALSE),"")
)</f>
        <v/>
      </c>
    </row>
    <row r="349" spans="1:20">
      <c r="A349" s="24">
        <v>348</v>
      </c>
      <c r="B349" s="1" t="s">
        <v>28</v>
      </c>
      <c r="C349" s="3" t="s">
        <v>21</v>
      </c>
      <c r="D349" s="3" t="str">
        <f>IFERROR(VLOOKUP(RawTable[[#This Row],[Entity_Type]], EntityMap[], 2, FALSE), "")</f>
        <v>Grant_Disbursement</v>
      </c>
      <c r="E349" s="3" t="s">
        <v>2</v>
      </c>
      <c r="F349" s="3" t="s">
        <v>133</v>
      </c>
      <c r="G349" s="3" t="str">
        <f>IFERROR(VLOOKUP(RawTable[[#This Row],[Name]], Name_Master!$A:$E, 4, FALSE), "")</f>
        <v>JO-IBAN-01296225</v>
      </c>
      <c r="H34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GRT-Switzerland-202602-000348</v>
      </c>
      <c r="I349" s="1">
        <f>IF(RawTable[[#This Row],[Month]]="","",DATE(YEAR(RawTable[[#This Row],[Month]]),MONTH(RawTable[[#This Row],[Month]]),1))</f>
        <v>46054</v>
      </c>
      <c r="J34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46064</v>
      </c>
      <c r="K349" s="3" t="s">
        <v>3</v>
      </c>
      <c r="L349" s="4">
        <v>51885.599999999999</v>
      </c>
      <c r="M349" s="2" t="str">
        <f>IF(RawTable[[#This Row],[Net_Amount]]="","",IF(RawTable[[#This Row],[Payment_Type]]="Vendor_Invoice","Yes","No"))</f>
        <v>No</v>
      </c>
      <c r="N349" s="6">
        <f>IF(D349="Vendor_Invoice",
     IFERROR(
         INDEX(System_Master_Data!$B$9:$B$14,
               MATCH(E349,System_Master_Data!$A$9:$A$14,0)
         ),
     0),
0)</f>
        <v>0</v>
      </c>
      <c r="O349" s="4">
        <f t="shared" si="11"/>
        <v>0</v>
      </c>
      <c r="P349" s="4">
        <f t="shared" si="13"/>
        <v>51885.599999999999</v>
      </c>
      <c r="Q349" s="56">
        <f>IFERROR(VLOOKUP(RawTable[[#This Row],[Currency]], System_Master_Data!$A$24:$B$29, 2, FALSE), "")</f>
        <v>1</v>
      </c>
      <c r="R349">
        <f>IF(RawTable[[#This Row],[Exchange_Rate]]="","",ROUND(RawTable[[#This Row],[Gross_Amount]]*RawTable[[#This Row],[Exchange_Rate]],2))</f>
        <v>51885.599999999999</v>
      </c>
      <c r="S349" t="str">
        <f>IF(RawTable[[#This Row],[Entity_Type]]&lt;&gt;"Employee",RawTable[[#This Row],[Entity_Type]],
IF(RawTable[[#This Row],[Country]]="Switzerland","Direct","EOR")
)</f>
        <v>Sub-Grantee</v>
      </c>
      <c r="T349" t="str">
        <f>IF(RawTable[[#This Row],[Employment_Model]]&lt;&gt;"EOR","",
IFERROR(VLOOKUP(RawTable[[#This Row],[Country]],EORMap[#All],3,FALSE),"")
)</f>
        <v/>
      </c>
    </row>
    <row r="350" spans="1:20">
      <c r="A350" s="24">
        <v>349</v>
      </c>
      <c r="B350" s="1" t="s">
        <v>30</v>
      </c>
      <c r="C350" s="3" t="s">
        <v>21</v>
      </c>
      <c r="D350" s="3" t="str">
        <f>IFERROR(VLOOKUP(RawTable[[#This Row],[Entity_Type]], EntityMap[], 2, FALSE), "")</f>
        <v>Grant_Disbursement</v>
      </c>
      <c r="E350" s="3" t="s">
        <v>2</v>
      </c>
      <c r="F350" s="3" t="s">
        <v>133</v>
      </c>
      <c r="G350" s="3" t="str">
        <f>IFERROR(VLOOKUP(RawTable[[#This Row],[Name]], Name_Master!$A:$E, 4, FALSE), "")</f>
        <v>JO-IBAN-01296225</v>
      </c>
      <c r="H35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GRT-Switzerland-202603-000349</v>
      </c>
      <c r="I350" s="1">
        <f>IF(RawTable[[#This Row],[Month]]="","",DATE(YEAR(RawTable[[#This Row],[Month]]),MONTH(RawTable[[#This Row],[Month]]),1))</f>
        <v>46082</v>
      </c>
      <c r="J35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46092</v>
      </c>
      <c r="K350" s="3" t="s">
        <v>3</v>
      </c>
      <c r="L350" s="4">
        <v>51885.599999999999</v>
      </c>
      <c r="M350" s="2" t="str">
        <f>IF(RawTable[[#This Row],[Net_Amount]]="","",IF(RawTable[[#This Row],[Payment_Type]]="Vendor_Invoice","Yes","No"))</f>
        <v>No</v>
      </c>
      <c r="N350" s="6">
        <f>IF(D350="Vendor_Invoice",
     IFERROR(
         INDEX(System_Master_Data!$B$9:$B$14,
               MATCH(E350,System_Master_Data!$A$9:$A$14,0)
         ),
     0),
0)</f>
        <v>0</v>
      </c>
      <c r="O350" s="4">
        <f t="shared" si="11"/>
        <v>0</v>
      </c>
      <c r="P350" s="4">
        <f t="shared" si="13"/>
        <v>51885.599999999999</v>
      </c>
      <c r="Q350" s="56">
        <f>IFERROR(VLOOKUP(RawTable[[#This Row],[Currency]], System_Master_Data!$A$24:$B$29, 2, FALSE), "")</f>
        <v>1</v>
      </c>
      <c r="R350">
        <f>IF(RawTable[[#This Row],[Exchange_Rate]]="","",ROUND(RawTable[[#This Row],[Gross_Amount]]*RawTable[[#This Row],[Exchange_Rate]],2))</f>
        <v>51885.599999999999</v>
      </c>
      <c r="S350" t="str">
        <f>IF(RawTable[[#This Row],[Entity_Type]]&lt;&gt;"Employee",RawTable[[#This Row],[Entity_Type]],
IF(RawTable[[#This Row],[Country]]="Switzerland","Direct","EOR")
)</f>
        <v>Sub-Grantee</v>
      </c>
      <c r="T350" t="str">
        <f>IF(RawTable[[#This Row],[Employment_Model]]&lt;&gt;"EOR","",
IFERROR(VLOOKUP(RawTable[[#This Row],[Country]],EORMap[#All],3,FALSE),"")
)</f>
        <v/>
      </c>
    </row>
    <row r="351" spans="1:20">
      <c r="A351" s="24">
        <v>350</v>
      </c>
      <c r="B351" s="1"/>
      <c r="C351" s="3" t="s">
        <v>21</v>
      </c>
      <c r="D351" s="3" t="str">
        <f>IFERROR(VLOOKUP(RawTable[[#This Row],[Entity_Type]], EntityMap[], 2, FALSE), "")</f>
        <v>Grant_Disbursement</v>
      </c>
      <c r="E351" s="3" t="s">
        <v>10</v>
      </c>
      <c r="F351" s="3" t="s">
        <v>135</v>
      </c>
      <c r="G351" s="3" t="str">
        <f>IFERROR(VLOOKUP(RawTable[[#This Row],[Name]], Name_Master!$A:$E, 4, FALSE), "")</f>
        <v>DE890000000001452953</v>
      </c>
      <c r="H35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GRT-Jordan-190001-000350</v>
      </c>
      <c r="I351" s="1" t="str">
        <f>IF(RawTable[[#This Row],[Month]]="","",DATE(YEAR(RawTable[[#This Row],[Month]]),MONTH(RawTable[[#This Row],[Month]]),1))</f>
        <v/>
      </c>
      <c r="J351" s="1" t="str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/>
      </c>
      <c r="K351" s="3" t="s">
        <v>11</v>
      </c>
      <c r="L351" s="4">
        <v>15804</v>
      </c>
      <c r="M351" s="2" t="str">
        <f>IF(RawTable[[#This Row],[Net_Amount]]="","",IF(RawTable[[#This Row],[Payment_Type]]="Vendor_Invoice","Yes","No"))</f>
        <v>No</v>
      </c>
      <c r="N351" s="6">
        <f>IF(D351="Vendor_Invoice",
     IFERROR(
         INDEX(System_Master_Data!$B$9:$B$14,
               MATCH(E351,System_Master_Data!$A$9:$A$14,0)
         ),
     0),
0)</f>
        <v>0</v>
      </c>
      <c r="O351" s="4">
        <f t="shared" si="11"/>
        <v>0</v>
      </c>
      <c r="P351" s="4">
        <f t="shared" si="13"/>
        <v>15804</v>
      </c>
      <c r="Q351" s="56">
        <f>IFERROR(VLOOKUP(RawTable[[#This Row],[Currency]], System_Master_Data!$A$24:$B$29, 2, FALSE), "")</f>
        <v>1.08643</v>
      </c>
      <c r="R351">
        <f>IF(RawTable[[#This Row],[Exchange_Rate]]="","",ROUND(RawTable[[#This Row],[Gross_Amount]]*RawTable[[#This Row],[Exchange_Rate]],2))</f>
        <v>17169.939999999999</v>
      </c>
      <c r="S351" t="str">
        <f>IF(RawTable[[#This Row],[Entity_Type]]&lt;&gt;"Employee",RawTable[[#This Row],[Entity_Type]],
IF(RawTable[[#This Row],[Country]]="Switzerland","Direct","EOR")
)</f>
        <v>Sub-Grantee</v>
      </c>
      <c r="T351" t="str">
        <f>IF(RawTable[[#This Row],[Employment_Model]]&lt;&gt;"EOR","",
IFERROR(VLOOKUP(RawTable[[#This Row],[Country]],EORMap[#All],3,FALSE),"")
)</f>
        <v/>
      </c>
    </row>
  </sheetData>
  <dataValidations count="3">
    <dataValidation type="list" allowBlank="1" showInputMessage="1" showErrorMessage="1" sqref="M2:M351">
      <formula1>"Yes,No"</formula1>
    </dataValidation>
    <dataValidation type="list" allowBlank="1" showInputMessage="1" showErrorMessage="1" sqref="K2:K351">
      <formula1>"JOD, USD, EUR, CHF, AED"</formula1>
    </dataValidation>
    <dataValidation type="list" allowBlank="1" showInputMessage="1" showErrorMessage="1" sqref="D1:D1048576">
      <formula1>"Payroll,Contractor_Fee,Vendor_Invoice,Grant_Disbursement"</formula1>
    </dataValidation>
  </dataValidations>
  <pageMargins left="0.75" right="0.75" top="1" bottom="1" header="0.5" footer="0.5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System_Master_Data!$A$10:$A$14</xm:f>
          </x14:formula1>
          <xm:sqref>E2:E351</xm:sqref>
        </x14:dataValidation>
        <x14:dataValidation type="list" allowBlank="1" showInputMessage="1" showErrorMessage="1">
          <x14:formula1>
            <xm:f>System_Master_Data!$A$18:$A$21</xm:f>
          </x14:formula1>
          <xm:sqref>C2:C351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9.9978637043366805E-2"/>
  </sheetPr>
  <dimension ref="A1:C6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2.21875" bestFit="1" customWidth="1"/>
    <col min="2" max="2" width="22.88671875" bestFit="1" customWidth="1"/>
    <col min="3" max="3" width="17" bestFit="1" customWidth="1"/>
  </cols>
  <sheetData>
    <row r="1" spans="1:3">
      <c r="A1" s="10" t="s">
        <v>0</v>
      </c>
      <c r="B1" s="10" t="s">
        <v>290</v>
      </c>
      <c r="C1" s="10" t="s">
        <v>288</v>
      </c>
    </row>
    <row r="2" spans="1:3">
      <c r="A2" s="29" t="s">
        <v>2</v>
      </c>
      <c r="B2" s="25" t="s">
        <v>291</v>
      </c>
      <c r="C2" s="25"/>
    </row>
    <row r="3" spans="1:3">
      <c r="A3" s="29" t="s">
        <v>4</v>
      </c>
      <c r="B3" s="25" t="s">
        <v>292</v>
      </c>
      <c r="C3" s="25" t="s">
        <v>293</v>
      </c>
    </row>
    <row r="4" spans="1:3">
      <c r="A4" s="29" t="s">
        <v>8</v>
      </c>
      <c r="B4" s="25" t="s">
        <v>292</v>
      </c>
      <c r="C4" s="25" t="s">
        <v>294</v>
      </c>
    </row>
    <row r="5" spans="1:3">
      <c r="A5" s="29" t="s">
        <v>6</v>
      </c>
      <c r="B5" s="25" t="s">
        <v>292</v>
      </c>
      <c r="C5" s="25" t="s">
        <v>295</v>
      </c>
    </row>
    <row r="6" spans="1:3">
      <c r="A6" s="29" t="s">
        <v>10</v>
      </c>
      <c r="B6" s="25" t="s">
        <v>292</v>
      </c>
      <c r="C6" s="25" t="s">
        <v>293</v>
      </c>
    </row>
  </sheetData>
  <dataValidations count="2">
    <dataValidation type="list" allowBlank="1" showInputMessage="1" showErrorMessage="1" sqref="B2:B6">
      <formula1>"Direct,EOR"</formula1>
    </dataValidation>
    <dataValidation type="list" allowBlank="1" showInputMessage="1" showErrorMessage="1" sqref="C2:C6">
      <formula1>"Oyster,Deel,Remote"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9.9978637043366805E-2"/>
  </sheetPr>
  <dimension ref="A1:E107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27.33203125" bestFit="1" customWidth="1"/>
    <col min="2" max="2" width="13.21875" bestFit="1" customWidth="1"/>
    <col min="3" max="3" width="10.33203125" bestFit="1" customWidth="1"/>
    <col min="4" max="4" width="29.77734375" bestFit="1" customWidth="1"/>
    <col min="5" max="5" width="14.6640625" bestFit="1" customWidth="1"/>
  </cols>
  <sheetData>
    <row r="1" spans="1:5">
      <c r="A1" t="s">
        <v>23</v>
      </c>
      <c r="B1" t="s">
        <v>17</v>
      </c>
      <c r="C1" t="s">
        <v>0</v>
      </c>
      <c r="D1" t="s">
        <v>25</v>
      </c>
      <c r="E1" t="s">
        <v>313</v>
      </c>
    </row>
    <row r="2" spans="1:5">
      <c r="A2" s="8" t="s">
        <v>27</v>
      </c>
      <c r="B2" t="str">
        <f>INDEX('01_Raw_Input'!C:C, MATCH(A2, '01_Raw_Input'!F:F, 0))</f>
        <v>Employee</v>
      </c>
      <c r="C2" t="str">
        <f>INDEX('01_Raw_Input'!E:E, MATCH(A2, '01_Raw_Input'!F:F, 0))</f>
        <v>Jordan</v>
      </c>
      <c r="D2" t="str">
        <f>IF(C2="Germany","DE89"&amp;TEXT(ROW()*13579,"0000000000000000"),
IF(C2="Switzerland","CH93"&amp;TEXT(ROW()*24680,"0000000000000000"),
IF(C2="Jordan","JO-IBAN-"&amp;TEXT(ROW()*12345,"00000000"),
IF(C2="UAE","AE-IBAN-"&amp;TEXT(ROW()*54321,"00000000"),
IF(C2="USA","US-RT-"&amp;TEXT(ROW()*1234,"000000000")&amp;"-AC-"&amp;TEXT(ROW()*5678,"0000000000"),
"")))))</f>
        <v>JO-IBAN-00024690</v>
      </c>
      <c r="E2" t="s">
        <v>163</v>
      </c>
    </row>
    <row r="3" spans="1:5">
      <c r="A3" s="9" t="s">
        <v>29</v>
      </c>
      <c r="B3" s="2" t="str">
        <f>INDEX('01_Raw_Input'!C:C, MATCH(A3, '01_Raw_Input'!F:F, 0))</f>
        <v>Employee</v>
      </c>
      <c r="C3" s="2" t="str">
        <f>INDEX('01_Raw_Input'!E:E, MATCH(A3, '01_Raw_Input'!F:F, 0))</f>
        <v>USA</v>
      </c>
      <c r="D3" s="2" t="str">
        <f t="shared" ref="D3:D66" si="0">IF(C3="Germany","DE89"&amp;TEXT(ROW()*13579,"0000000000000000"),
IF(C3="Switzerland","CH93"&amp;TEXT(ROW()*24680,"0000000000000000"),
IF(C3="Jordan","JO-IBAN-"&amp;TEXT(ROW()*12345,"00000000"),
IF(C3="UAE","AE-IBAN-"&amp;TEXT(ROW()*54321,"00000000"),
IF(C3="USA","US-RT-"&amp;TEXT(ROW()*1234,"000000000")&amp;"-AC-"&amp;TEXT(ROW()*5678,"0000000000"),
"")))))</f>
        <v>US-RT-000003702-AC-0000017034</v>
      </c>
      <c r="E3" t="s">
        <v>163</v>
      </c>
    </row>
    <row r="4" spans="1:5">
      <c r="A4" s="8" t="s">
        <v>31</v>
      </c>
      <c r="B4" s="2" t="str">
        <f>INDEX('01_Raw_Input'!C:C, MATCH(A4, '01_Raw_Input'!F:F, 0))</f>
        <v>Employee</v>
      </c>
      <c r="C4" s="2" t="str">
        <f>INDEX('01_Raw_Input'!E:E, MATCH(A4, '01_Raw_Input'!F:F, 0))</f>
        <v>USA</v>
      </c>
      <c r="D4" s="2" t="str">
        <f t="shared" si="0"/>
        <v>US-RT-000004936-AC-0000022712</v>
      </c>
      <c r="E4" s="2" t="s">
        <v>163</v>
      </c>
    </row>
    <row r="5" spans="1:5">
      <c r="A5" s="9" t="s">
        <v>32</v>
      </c>
      <c r="B5" s="2" t="str">
        <f>INDEX('01_Raw_Input'!C:C, MATCH(A5, '01_Raw_Input'!F:F, 0))</f>
        <v>Employee</v>
      </c>
      <c r="C5" s="2" t="str">
        <f>INDEX('01_Raw_Input'!E:E, MATCH(A5, '01_Raw_Input'!F:F, 0))</f>
        <v>USA</v>
      </c>
      <c r="D5" s="2" t="str">
        <f t="shared" si="0"/>
        <v>US-RT-000006170-AC-0000028390</v>
      </c>
      <c r="E5" s="2" t="s">
        <v>163</v>
      </c>
    </row>
    <row r="6" spans="1:5">
      <c r="A6" s="8" t="s">
        <v>33</v>
      </c>
      <c r="B6" s="2" t="str">
        <f>INDEX('01_Raw_Input'!C:C, MATCH(A6, '01_Raw_Input'!F:F, 0))</f>
        <v>Employee</v>
      </c>
      <c r="C6" s="2" t="str">
        <f>INDEX('01_Raw_Input'!E:E, MATCH(A6, '01_Raw_Input'!F:F, 0))</f>
        <v>Germany</v>
      </c>
      <c r="D6" s="2" t="str">
        <f t="shared" si="0"/>
        <v>DE890000000000081474</v>
      </c>
      <c r="E6" s="2" t="s">
        <v>163</v>
      </c>
    </row>
    <row r="7" spans="1:5">
      <c r="A7" s="9" t="s">
        <v>34</v>
      </c>
      <c r="B7" s="2" t="str">
        <f>INDEX('01_Raw_Input'!C:C, MATCH(A7, '01_Raw_Input'!F:F, 0))</f>
        <v>Employee</v>
      </c>
      <c r="C7" s="2" t="str">
        <f>INDEX('01_Raw_Input'!E:E, MATCH(A7, '01_Raw_Input'!F:F, 0))</f>
        <v>Germany</v>
      </c>
      <c r="D7" s="2" t="str">
        <f t="shared" si="0"/>
        <v>DE890000000000095053</v>
      </c>
      <c r="E7" s="2" t="s">
        <v>163</v>
      </c>
    </row>
    <row r="8" spans="1:5">
      <c r="A8" s="8" t="s">
        <v>36</v>
      </c>
      <c r="B8" s="2" t="str">
        <f>INDEX('01_Raw_Input'!C:C, MATCH(A8, '01_Raw_Input'!F:F, 0))</f>
        <v>Employee</v>
      </c>
      <c r="C8" s="2" t="str">
        <f>INDEX('01_Raw_Input'!E:E, MATCH(A8, '01_Raw_Input'!F:F, 0))</f>
        <v>Jordan</v>
      </c>
      <c r="D8" s="2" t="str">
        <f t="shared" si="0"/>
        <v>JO-IBAN-00098760</v>
      </c>
      <c r="E8" s="2" t="s">
        <v>163</v>
      </c>
    </row>
    <row r="9" spans="1:5">
      <c r="A9" s="9" t="s">
        <v>37</v>
      </c>
      <c r="B9" s="2" t="str">
        <f>INDEX('01_Raw_Input'!C:C, MATCH(A9, '01_Raw_Input'!F:F, 0))</f>
        <v>Employee</v>
      </c>
      <c r="C9" s="2" t="str">
        <f>INDEX('01_Raw_Input'!E:E, MATCH(A9, '01_Raw_Input'!F:F, 0))</f>
        <v>Germany</v>
      </c>
      <c r="D9" s="2" t="str">
        <f t="shared" si="0"/>
        <v>DE890000000000122211</v>
      </c>
      <c r="E9" s="2" t="s">
        <v>163</v>
      </c>
    </row>
    <row r="10" spans="1:5">
      <c r="A10" s="8" t="s">
        <v>38</v>
      </c>
      <c r="B10" s="2" t="str">
        <f>INDEX('01_Raw_Input'!C:C, MATCH(A10, '01_Raw_Input'!F:F, 0))</f>
        <v>Employee</v>
      </c>
      <c r="C10" s="2" t="str">
        <f>INDEX('01_Raw_Input'!E:E, MATCH(A10, '01_Raw_Input'!F:F, 0))</f>
        <v>USA</v>
      </c>
      <c r="D10" s="2" t="str">
        <f t="shared" si="0"/>
        <v>US-RT-000012340-AC-0000056780</v>
      </c>
      <c r="E10" s="2" t="s">
        <v>163</v>
      </c>
    </row>
    <row r="11" spans="1:5">
      <c r="A11" s="9" t="s">
        <v>39</v>
      </c>
      <c r="B11" s="2" t="str">
        <f>INDEX('01_Raw_Input'!C:C, MATCH(A11, '01_Raw_Input'!F:F, 0))</f>
        <v>Employee</v>
      </c>
      <c r="C11" s="2" t="str">
        <f>INDEX('01_Raw_Input'!E:E, MATCH(A11, '01_Raw_Input'!F:F, 0))</f>
        <v>USA</v>
      </c>
      <c r="D11" s="2" t="str">
        <f t="shared" si="0"/>
        <v>US-RT-000013574-AC-0000062458</v>
      </c>
      <c r="E11" s="2" t="s">
        <v>163</v>
      </c>
    </row>
    <row r="12" spans="1:5">
      <c r="A12" s="8" t="s">
        <v>40</v>
      </c>
      <c r="B12" s="2" t="str">
        <f>INDEX('01_Raw_Input'!C:C, MATCH(A12, '01_Raw_Input'!F:F, 0))</f>
        <v>Employee</v>
      </c>
      <c r="C12" s="2" t="str">
        <f>INDEX('01_Raw_Input'!E:E, MATCH(A12, '01_Raw_Input'!F:F, 0))</f>
        <v>Jordan</v>
      </c>
      <c r="D12" s="2" t="str">
        <f t="shared" si="0"/>
        <v>JO-IBAN-00148140</v>
      </c>
      <c r="E12" s="2" t="s">
        <v>163</v>
      </c>
    </row>
    <row r="13" spans="1:5">
      <c r="A13" s="8" t="s">
        <v>41</v>
      </c>
      <c r="B13" s="2" t="str">
        <f>INDEX('01_Raw_Input'!C:C, MATCH(A13, '01_Raw_Input'!F:F, 0))</f>
        <v>Employee</v>
      </c>
      <c r="C13" s="2" t="str">
        <f>INDEX('01_Raw_Input'!E:E, MATCH(A13, '01_Raw_Input'!F:F, 0))</f>
        <v>Switzerland</v>
      </c>
      <c r="D13" s="2" t="str">
        <f t="shared" si="0"/>
        <v>CH930000000000320840</v>
      </c>
      <c r="E13" s="2" t="s">
        <v>163</v>
      </c>
    </row>
    <row r="14" spans="1:5">
      <c r="A14" s="9" t="s">
        <v>42</v>
      </c>
      <c r="B14" s="2" t="str">
        <f>INDEX('01_Raw_Input'!C:C, MATCH(A14, '01_Raw_Input'!F:F, 0))</f>
        <v>Employee</v>
      </c>
      <c r="C14" s="2" t="str">
        <f>INDEX('01_Raw_Input'!E:E, MATCH(A14, '01_Raw_Input'!F:F, 0))</f>
        <v>Germany</v>
      </c>
      <c r="D14" s="2" t="str">
        <f t="shared" si="0"/>
        <v>DE890000000000190106</v>
      </c>
      <c r="E14" s="2" t="s">
        <v>163</v>
      </c>
    </row>
    <row r="15" spans="1:5">
      <c r="A15" s="8" t="s">
        <v>43</v>
      </c>
      <c r="B15" s="2" t="str">
        <f>INDEX('01_Raw_Input'!C:C, MATCH(A15, '01_Raw_Input'!F:F, 0))</f>
        <v>Employee</v>
      </c>
      <c r="C15" s="2" t="str">
        <f>INDEX('01_Raw_Input'!E:E, MATCH(A15, '01_Raw_Input'!F:F, 0))</f>
        <v>Germany</v>
      </c>
      <c r="D15" s="2" t="str">
        <f t="shared" si="0"/>
        <v>DE890000000000203685</v>
      </c>
      <c r="E15" s="2" t="s">
        <v>163</v>
      </c>
    </row>
    <row r="16" spans="1:5">
      <c r="A16" s="9" t="s">
        <v>44</v>
      </c>
      <c r="B16" s="2" t="str">
        <f>INDEX('01_Raw_Input'!C:C, MATCH(A16, '01_Raw_Input'!F:F, 0))</f>
        <v>Employee</v>
      </c>
      <c r="C16" s="2" t="str">
        <f>INDEX('01_Raw_Input'!E:E, MATCH(A16, '01_Raw_Input'!F:F, 0))</f>
        <v>UAE</v>
      </c>
      <c r="D16" s="2" t="str">
        <f t="shared" si="0"/>
        <v>AE-IBAN-00869136</v>
      </c>
      <c r="E16" s="2" t="s">
        <v>163</v>
      </c>
    </row>
    <row r="17" spans="1:5">
      <c r="A17" s="8" t="s">
        <v>45</v>
      </c>
      <c r="B17" s="2" t="str">
        <f>INDEX('01_Raw_Input'!C:C, MATCH(A17, '01_Raw_Input'!F:F, 0))</f>
        <v>Employee</v>
      </c>
      <c r="C17" s="2" t="str">
        <f>INDEX('01_Raw_Input'!E:E, MATCH(A17, '01_Raw_Input'!F:F, 0))</f>
        <v>Jordan</v>
      </c>
      <c r="D17" s="2" t="str">
        <f t="shared" si="0"/>
        <v>JO-IBAN-00209865</v>
      </c>
      <c r="E17" s="2" t="s">
        <v>163</v>
      </c>
    </row>
    <row r="18" spans="1:5">
      <c r="A18" s="9" t="s">
        <v>46</v>
      </c>
      <c r="B18" s="2" t="str">
        <f>INDEX('01_Raw_Input'!C:C, MATCH(A18, '01_Raw_Input'!F:F, 0))</f>
        <v>Employee</v>
      </c>
      <c r="C18" s="2" t="str">
        <f>INDEX('01_Raw_Input'!E:E, MATCH(A18, '01_Raw_Input'!F:F, 0))</f>
        <v>Switzerland</v>
      </c>
      <c r="D18" s="2" t="str">
        <f t="shared" si="0"/>
        <v>CH930000000000444240</v>
      </c>
      <c r="E18" s="2" t="s">
        <v>163</v>
      </c>
    </row>
    <row r="19" spans="1:5">
      <c r="A19" s="9" t="s">
        <v>47</v>
      </c>
      <c r="B19" s="2" t="str">
        <f>INDEX('01_Raw_Input'!C:C, MATCH(A19, '01_Raw_Input'!F:F, 0))</f>
        <v>Employee</v>
      </c>
      <c r="C19" s="2" t="str">
        <f>INDEX('01_Raw_Input'!E:E, MATCH(A19, '01_Raw_Input'!F:F, 0))</f>
        <v>Jordan</v>
      </c>
      <c r="D19" s="2" t="str">
        <f t="shared" si="0"/>
        <v>JO-IBAN-00234555</v>
      </c>
      <c r="E19" s="2" t="s">
        <v>163</v>
      </c>
    </row>
    <row r="20" spans="1:5">
      <c r="A20" s="9" t="s">
        <v>48</v>
      </c>
      <c r="B20" s="2" t="str">
        <f>INDEX('01_Raw_Input'!C:C, MATCH(A20, '01_Raw_Input'!F:F, 0))</f>
        <v>Employee</v>
      </c>
      <c r="C20" s="2" t="str">
        <f>INDEX('01_Raw_Input'!E:E, MATCH(A20, '01_Raw_Input'!F:F, 0))</f>
        <v>USA</v>
      </c>
      <c r="D20" s="2" t="str">
        <f t="shared" si="0"/>
        <v>US-RT-000024680-AC-0000113560</v>
      </c>
      <c r="E20" s="2" t="s">
        <v>163</v>
      </c>
    </row>
    <row r="21" spans="1:5">
      <c r="A21" s="8" t="s">
        <v>49</v>
      </c>
      <c r="B21" s="2" t="str">
        <f>INDEX('01_Raw_Input'!C:C, MATCH(A21, '01_Raw_Input'!F:F, 0))</f>
        <v>Employee</v>
      </c>
      <c r="C21" s="2" t="str">
        <f>INDEX('01_Raw_Input'!E:E, MATCH(A21, '01_Raw_Input'!F:F, 0))</f>
        <v>Switzerland</v>
      </c>
      <c r="D21" s="2" t="str">
        <f t="shared" si="0"/>
        <v>CH930000000000518280</v>
      </c>
      <c r="E21" s="2" t="s">
        <v>163</v>
      </c>
    </row>
    <row r="22" spans="1:5">
      <c r="A22" s="9" t="s">
        <v>50</v>
      </c>
      <c r="B22" s="2" t="str">
        <f>INDEX('01_Raw_Input'!C:C, MATCH(A22, '01_Raw_Input'!F:F, 0))</f>
        <v>Employee</v>
      </c>
      <c r="C22" s="2" t="str">
        <f>INDEX('01_Raw_Input'!E:E, MATCH(A22, '01_Raw_Input'!F:F, 0))</f>
        <v>Germany</v>
      </c>
      <c r="D22" s="2" t="str">
        <f t="shared" si="0"/>
        <v>DE890000000000298738</v>
      </c>
      <c r="E22" s="2" t="s">
        <v>163</v>
      </c>
    </row>
    <row r="23" spans="1:5">
      <c r="A23" s="8" t="s">
        <v>51</v>
      </c>
      <c r="B23" s="2" t="str">
        <f>INDEX('01_Raw_Input'!C:C, MATCH(A23, '01_Raw_Input'!F:F, 0))</f>
        <v>Employee</v>
      </c>
      <c r="C23" s="2" t="str">
        <f>INDEX('01_Raw_Input'!E:E, MATCH(A23, '01_Raw_Input'!F:F, 0))</f>
        <v>Germany</v>
      </c>
      <c r="D23" s="2" t="str">
        <f t="shared" si="0"/>
        <v>DE890000000000312317</v>
      </c>
      <c r="E23" s="2" t="s">
        <v>163</v>
      </c>
    </row>
    <row r="24" spans="1:5">
      <c r="A24" s="8" t="s">
        <v>52</v>
      </c>
      <c r="B24" s="2" t="str">
        <f>INDEX('01_Raw_Input'!C:C, MATCH(A24, '01_Raw_Input'!F:F, 0))</f>
        <v>Employee</v>
      </c>
      <c r="C24" s="2" t="str">
        <f>INDEX('01_Raw_Input'!E:E, MATCH(A24, '01_Raw_Input'!F:F, 0))</f>
        <v>Switzerland</v>
      </c>
      <c r="D24" s="2" t="str">
        <f t="shared" si="0"/>
        <v>CH930000000000592320</v>
      </c>
      <c r="E24" s="2" t="s">
        <v>163</v>
      </c>
    </row>
    <row r="25" spans="1:5">
      <c r="A25" s="9" t="s">
        <v>53</v>
      </c>
      <c r="B25" s="2" t="str">
        <f>INDEX('01_Raw_Input'!C:C, MATCH(A25, '01_Raw_Input'!F:F, 0))</f>
        <v>Employee</v>
      </c>
      <c r="C25" s="2" t="str">
        <f>INDEX('01_Raw_Input'!E:E, MATCH(A25, '01_Raw_Input'!F:F, 0))</f>
        <v>Germany</v>
      </c>
      <c r="D25" s="2" t="str">
        <f t="shared" si="0"/>
        <v>DE890000000000339475</v>
      </c>
      <c r="E25" s="2" t="s">
        <v>163</v>
      </c>
    </row>
    <row r="26" spans="1:5">
      <c r="A26" s="8" t="s">
        <v>54</v>
      </c>
      <c r="B26" s="2" t="str">
        <f>INDEX('01_Raw_Input'!C:C, MATCH(A26, '01_Raw_Input'!F:F, 0))</f>
        <v>Employee</v>
      </c>
      <c r="C26" s="2" t="str">
        <f>INDEX('01_Raw_Input'!E:E, MATCH(A26, '01_Raw_Input'!F:F, 0))</f>
        <v>Switzerland</v>
      </c>
      <c r="D26" s="2" t="str">
        <f t="shared" si="0"/>
        <v>CH930000000000641680</v>
      </c>
      <c r="E26" s="2" t="s">
        <v>163</v>
      </c>
    </row>
    <row r="27" spans="1:5">
      <c r="A27" s="9" t="s">
        <v>55</v>
      </c>
      <c r="B27" s="2" t="str">
        <f>INDEX('01_Raw_Input'!C:C, MATCH(A27, '01_Raw_Input'!F:F, 0))</f>
        <v>Employee</v>
      </c>
      <c r="C27" s="2" t="str">
        <f>INDEX('01_Raw_Input'!E:E, MATCH(A27, '01_Raw_Input'!F:F, 0))</f>
        <v>Germany</v>
      </c>
      <c r="D27" s="2" t="str">
        <f t="shared" si="0"/>
        <v>DE890000000000366633</v>
      </c>
      <c r="E27" s="2" t="s">
        <v>163</v>
      </c>
    </row>
    <row r="28" spans="1:5">
      <c r="A28" s="8" t="s">
        <v>56</v>
      </c>
      <c r="B28" s="2" t="str">
        <f>INDEX('01_Raw_Input'!C:C, MATCH(A28, '01_Raw_Input'!F:F, 0))</f>
        <v>Employee</v>
      </c>
      <c r="C28" s="2" t="str">
        <f>INDEX('01_Raw_Input'!E:E, MATCH(A28, '01_Raw_Input'!F:F, 0))</f>
        <v>UAE</v>
      </c>
      <c r="D28" s="2" t="str">
        <f t="shared" si="0"/>
        <v>AE-IBAN-01520988</v>
      </c>
      <c r="E28" s="2" t="s">
        <v>163</v>
      </c>
    </row>
    <row r="29" spans="1:5">
      <c r="A29" s="9" t="s">
        <v>57</v>
      </c>
      <c r="B29" s="2" t="str">
        <f>INDEX('01_Raw_Input'!C:C, MATCH(A29, '01_Raw_Input'!F:F, 0))</f>
        <v>Employee</v>
      </c>
      <c r="C29" s="2" t="str">
        <f>INDEX('01_Raw_Input'!E:E, MATCH(A29, '01_Raw_Input'!F:F, 0))</f>
        <v>Switzerland</v>
      </c>
      <c r="D29" s="2" t="str">
        <f t="shared" si="0"/>
        <v>CH930000000000715720</v>
      </c>
      <c r="E29" s="2" t="s">
        <v>163</v>
      </c>
    </row>
    <row r="30" spans="1:5">
      <c r="A30" s="8" t="s">
        <v>58</v>
      </c>
      <c r="B30" s="2" t="str">
        <f>INDEX('01_Raw_Input'!C:C, MATCH(A30, '01_Raw_Input'!F:F, 0))</f>
        <v>Employee</v>
      </c>
      <c r="C30" s="2" t="str">
        <f>INDEX('01_Raw_Input'!E:E, MATCH(A30, '01_Raw_Input'!F:F, 0))</f>
        <v>Switzerland</v>
      </c>
      <c r="D30" s="2" t="str">
        <f t="shared" si="0"/>
        <v>CH930000000000740400</v>
      </c>
      <c r="E30" s="2" t="s">
        <v>163</v>
      </c>
    </row>
    <row r="31" spans="1:5">
      <c r="A31" s="9" t="s">
        <v>59</v>
      </c>
      <c r="B31" s="2" t="str">
        <f>INDEX('01_Raw_Input'!C:C, MATCH(A31, '01_Raw_Input'!F:F, 0))</f>
        <v>Employee</v>
      </c>
      <c r="C31" s="2" t="str">
        <f>INDEX('01_Raw_Input'!E:E, MATCH(A31, '01_Raw_Input'!F:F, 0))</f>
        <v>Jordan</v>
      </c>
      <c r="D31" s="2" t="str">
        <f t="shared" si="0"/>
        <v>JO-IBAN-00382695</v>
      </c>
      <c r="E31" s="2" t="s">
        <v>163</v>
      </c>
    </row>
    <row r="32" spans="1:5">
      <c r="A32" s="9" t="s">
        <v>60</v>
      </c>
      <c r="B32" s="2" t="str">
        <f>INDEX('01_Raw_Input'!C:C, MATCH(A32, '01_Raw_Input'!F:F, 0))</f>
        <v>Employee</v>
      </c>
      <c r="C32" s="2" t="str">
        <f>INDEX('01_Raw_Input'!E:E, MATCH(A32, '01_Raw_Input'!F:F, 0))</f>
        <v>UAE</v>
      </c>
      <c r="D32" s="2" t="str">
        <f t="shared" si="0"/>
        <v>AE-IBAN-01738272</v>
      </c>
      <c r="E32" s="2" t="s">
        <v>163</v>
      </c>
    </row>
    <row r="33" spans="1:5">
      <c r="A33" s="8" t="s">
        <v>61</v>
      </c>
      <c r="B33" s="2" t="str">
        <f>INDEX('01_Raw_Input'!C:C, MATCH(A33, '01_Raw_Input'!F:F, 0))</f>
        <v>Employee</v>
      </c>
      <c r="C33" s="2" t="str">
        <f>INDEX('01_Raw_Input'!E:E, MATCH(A33, '01_Raw_Input'!F:F, 0))</f>
        <v>UAE</v>
      </c>
      <c r="D33" s="2" t="str">
        <f t="shared" si="0"/>
        <v>AE-IBAN-01792593</v>
      </c>
      <c r="E33" s="2" t="s">
        <v>163</v>
      </c>
    </row>
    <row r="34" spans="1:5">
      <c r="A34" s="9" t="s">
        <v>62</v>
      </c>
      <c r="B34" s="2" t="str">
        <f>INDEX('01_Raw_Input'!C:C, MATCH(A34, '01_Raw_Input'!F:F, 0))</f>
        <v>Employee</v>
      </c>
      <c r="C34" s="2" t="str">
        <f>INDEX('01_Raw_Input'!E:E, MATCH(A34, '01_Raw_Input'!F:F, 0))</f>
        <v>USA</v>
      </c>
      <c r="D34" s="2" t="str">
        <f t="shared" si="0"/>
        <v>US-RT-000041956-AC-0000193052</v>
      </c>
      <c r="E34" s="2" t="s">
        <v>163</v>
      </c>
    </row>
    <row r="35" spans="1:5">
      <c r="A35" s="8" t="s">
        <v>63</v>
      </c>
      <c r="B35" s="2" t="str">
        <f>INDEX('01_Raw_Input'!C:C, MATCH(A35, '01_Raw_Input'!F:F, 0))</f>
        <v>Employee</v>
      </c>
      <c r="C35" s="2" t="str">
        <f>INDEX('01_Raw_Input'!E:E, MATCH(A35, '01_Raw_Input'!F:F, 0))</f>
        <v>Switzerland</v>
      </c>
      <c r="D35" s="2" t="str">
        <f t="shared" si="0"/>
        <v>CH930000000000863800</v>
      </c>
      <c r="E35" s="2" t="s">
        <v>163</v>
      </c>
    </row>
    <row r="36" spans="1:5">
      <c r="A36" s="9" t="s">
        <v>64</v>
      </c>
      <c r="B36" s="2" t="str">
        <f>INDEX('01_Raw_Input'!C:C, MATCH(A36, '01_Raw_Input'!F:F, 0))</f>
        <v>Employee</v>
      </c>
      <c r="C36" s="2" t="str">
        <f>INDEX('01_Raw_Input'!E:E, MATCH(A36, '01_Raw_Input'!F:F, 0))</f>
        <v>Jordan</v>
      </c>
      <c r="D36" s="2" t="str">
        <f t="shared" si="0"/>
        <v>JO-IBAN-00444420</v>
      </c>
      <c r="E36" s="2" t="s">
        <v>163</v>
      </c>
    </row>
    <row r="37" spans="1:5">
      <c r="A37" s="8" t="s">
        <v>65</v>
      </c>
      <c r="B37" s="2" t="str">
        <f>INDEX('01_Raw_Input'!C:C, MATCH(A37, '01_Raw_Input'!F:F, 0))</f>
        <v>Employee</v>
      </c>
      <c r="C37" s="2" t="str">
        <f>INDEX('01_Raw_Input'!E:E, MATCH(A37, '01_Raw_Input'!F:F, 0))</f>
        <v>UAE</v>
      </c>
      <c r="D37" s="2" t="str">
        <f t="shared" si="0"/>
        <v>AE-IBAN-02009877</v>
      </c>
      <c r="E37" s="2" t="s">
        <v>163</v>
      </c>
    </row>
    <row r="38" spans="1:5">
      <c r="A38" s="9" t="s">
        <v>66</v>
      </c>
      <c r="B38" s="2" t="str">
        <f>INDEX('01_Raw_Input'!C:C, MATCH(A38, '01_Raw_Input'!F:F, 0))</f>
        <v>Employee</v>
      </c>
      <c r="C38" s="2" t="str">
        <f>INDEX('01_Raw_Input'!E:E, MATCH(A38, '01_Raw_Input'!F:F, 0))</f>
        <v>Jordan</v>
      </c>
      <c r="D38" s="2" t="str">
        <f t="shared" si="0"/>
        <v>JO-IBAN-00469110</v>
      </c>
      <c r="E38" s="2" t="s">
        <v>163</v>
      </c>
    </row>
    <row r="39" spans="1:5">
      <c r="A39" s="8" t="s">
        <v>67</v>
      </c>
      <c r="B39" s="2" t="str">
        <f>INDEX('01_Raw_Input'!C:C, MATCH(A39, '01_Raw_Input'!F:F, 0))</f>
        <v>Employee</v>
      </c>
      <c r="C39" s="2" t="str">
        <f>INDEX('01_Raw_Input'!E:E, MATCH(A39, '01_Raw_Input'!F:F, 0))</f>
        <v>Switzerland</v>
      </c>
      <c r="D39" s="2" t="str">
        <f t="shared" si="0"/>
        <v>CH930000000000962520</v>
      </c>
      <c r="E39" s="2" t="s">
        <v>163</v>
      </c>
    </row>
    <row r="40" spans="1:5">
      <c r="A40" s="9" t="s">
        <v>68</v>
      </c>
      <c r="B40" s="2" t="str">
        <f>INDEX('01_Raw_Input'!C:C, MATCH(A40, '01_Raw_Input'!F:F, 0))</f>
        <v>Employee</v>
      </c>
      <c r="C40" s="2" t="str">
        <f>INDEX('01_Raw_Input'!E:E, MATCH(A40, '01_Raw_Input'!F:F, 0))</f>
        <v>UAE</v>
      </c>
      <c r="D40" s="2" t="str">
        <f t="shared" si="0"/>
        <v>AE-IBAN-02172840</v>
      </c>
      <c r="E40" s="2" t="s">
        <v>163</v>
      </c>
    </row>
    <row r="41" spans="1:5">
      <c r="A41" s="8" t="s">
        <v>69</v>
      </c>
      <c r="B41" s="2" t="str">
        <f>INDEX('01_Raw_Input'!C:C, MATCH(A41, '01_Raw_Input'!F:F, 0))</f>
        <v>Employee</v>
      </c>
      <c r="C41" s="2" t="str">
        <f>INDEX('01_Raw_Input'!E:E, MATCH(A41, '01_Raw_Input'!F:F, 0))</f>
        <v>USA</v>
      </c>
      <c r="D41" s="2" t="str">
        <f t="shared" si="0"/>
        <v>US-RT-000050594-AC-0000232798</v>
      </c>
      <c r="E41" s="2" t="s">
        <v>163</v>
      </c>
    </row>
    <row r="42" spans="1:5">
      <c r="A42" s="8" t="s">
        <v>70</v>
      </c>
      <c r="B42" s="2" t="str">
        <f>INDEX('01_Raw_Input'!C:C, MATCH(A42, '01_Raw_Input'!F:F, 0))</f>
        <v>Employee</v>
      </c>
      <c r="C42" s="2" t="str">
        <f>INDEX('01_Raw_Input'!E:E, MATCH(A42, '01_Raw_Input'!F:F, 0))</f>
        <v>USA</v>
      </c>
      <c r="D42" s="2" t="str">
        <f t="shared" si="0"/>
        <v>US-RT-000051828-AC-0000238476</v>
      </c>
      <c r="E42" s="2" t="s">
        <v>163</v>
      </c>
    </row>
    <row r="43" spans="1:5">
      <c r="A43" s="8" t="s">
        <v>71</v>
      </c>
      <c r="B43" s="2" t="str">
        <f>INDEX('01_Raw_Input'!C:C, MATCH(A43, '01_Raw_Input'!F:F, 0))</f>
        <v>Employee</v>
      </c>
      <c r="C43" s="2" t="str">
        <f>INDEX('01_Raw_Input'!E:E, MATCH(A43, '01_Raw_Input'!F:F, 0))</f>
        <v>USA</v>
      </c>
      <c r="D43" s="2" t="str">
        <f t="shared" si="0"/>
        <v>US-RT-000053062-AC-0000244154</v>
      </c>
      <c r="E43" s="2" t="s">
        <v>163</v>
      </c>
    </row>
    <row r="44" spans="1:5">
      <c r="A44" s="9" t="s">
        <v>72</v>
      </c>
      <c r="B44" s="2" t="str">
        <f>INDEX('01_Raw_Input'!C:C, MATCH(A44, '01_Raw_Input'!F:F, 0))</f>
        <v>Employee</v>
      </c>
      <c r="C44" s="2" t="str">
        <f>INDEX('01_Raw_Input'!E:E, MATCH(A44, '01_Raw_Input'!F:F, 0))</f>
        <v>USA</v>
      </c>
      <c r="D44" s="2" t="str">
        <f t="shared" si="0"/>
        <v>US-RT-000054296-AC-0000249832</v>
      </c>
      <c r="E44" s="2" t="s">
        <v>163</v>
      </c>
    </row>
    <row r="45" spans="1:5">
      <c r="A45" s="8" t="s">
        <v>73</v>
      </c>
      <c r="B45" s="2" t="str">
        <f>INDEX('01_Raw_Input'!C:C, MATCH(A45, '01_Raw_Input'!F:F, 0))</f>
        <v>Employee</v>
      </c>
      <c r="C45" s="2" t="str">
        <f>INDEX('01_Raw_Input'!E:E, MATCH(A45, '01_Raw_Input'!F:F, 0))</f>
        <v>Germany</v>
      </c>
      <c r="D45" s="2" t="str">
        <f t="shared" si="0"/>
        <v>DE890000000000611055</v>
      </c>
      <c r="E45" s="2" t="s">
        <v>163</v>
      </c>
    </row>
    <row r="46" spans="1:5">
      <c r="A46" s="9" t="s">
        <v>74</v>
      </c>
      <c r="B46" s="2" t="str">
        <f>INDEX('01_Raw_Input'!C:C, MATCH(A46, '01_Raw_Input'!F:F, 0))</f>
        <v>Employee</v>
      </c>
      <c r="C46" s="2" t="str">
        <f>INDEX('01_Raw_Input'!E:E, MATCH(A46, '01_Raw_Input'!F:F, 0))</f>
        <v>UAE</v>
      </c>
      <c r="D46" s="2" t="str">
        <f t="shared" si="0"/>
        <v>AE-IBAN-02498766</v>
      </c>
      <c r="E46" s="2" t="s">
        <v>163</v>
      </c>
    </row>
    <row r="47" spans="1:5">
      <c r="A47" s="8" t="s">
        <v>75</v>
      </c>
      <c r="B47" s="2" t="str">
        <f>INDEX('01_Raw_Input'!C:C, MATCH(A47, '01_Raw_Input'!F:F, 0))</f>
        <v>Employee</v>
      </c>
      <c r="C47" s="2" t="str">
        <f>INDEX('01_Raw_Input'!E:E, MATCH(A47, '01_Raw_Input'!F:F, 0))</f>
        <v>Switzerland</v>
      </c>
      <c r="D47" s="2" t="str">
        <f t="shared" si="0"/>
        <v>CH930000000001159960</v>
      </c>
      <c r="E47" s="2" t="s">
        <v>163</v>
      </c>
    </row>
    <row r="48" spans="1:5">
      <c r="A48" s="9" t="s">
        <v>76</v>
      </c>
      <c r="B48" s="2" t="str">
        <f>INDEX('01_Raw_Input'!C:C, MATCH(A48, '01_Raw_Input'!F:F, 0))</f>
        <v>Employee</v>
      </c>
      <c r="C48" s="2" t="str">
        <f>INDEX('01_Raw_Input'!E:E, MATCH(A48, '01_Raw_Input'!F:F, 0))</f>
        <v>UAE</v>
      </c>
      <c r="D48" s="2" t="str">
        <f t="shared" si="0"/>
        <v>AE-IBAN-02607408</v>
      </c>
      <c r="E48" s="2" t="s">
        <v>163</v>
      </c>
    </row>
    <row r="49" spans="1:5">
      <c r="A49" s="8" t="s">
        <v>77</v>
      </c>
      <c r="B49" s="2" t="str">
        <f>INDEX('01_Raw_Input'!C:C, MATCH(A49, '01_Raw_Input'!F:F, 0))</f>
        <v>Employee</v>
      </c>
      <c r="C49" s="2" t="str">
        <f>INDEX('01_Raw_Input'!E:E, MATCH(A49, '01_Raw_Input'!F:F, 0))</f>
        <v>Switzerland</v>
      </c>
      <c r="D49" s="2" t="str">
        <f t="shared" si="0"/>
        <v>CH930000000001209320</v>
      </c>
      <c r="E49" s="2" t="s">
        <v>163</v>
      </c>
    </row>
    <row r="50" spans="1:5">
      <c r="A50" s="9" t="s">
        <v>78</v>
      </c>
      <c r="B50" s="2" t="str">
        <f>INDEX('01_Raw_Input'!C:C, MATCH(A50, '01_Raw_Input'!F:F, 0))</f>
        <v>Employee</v>
      </c>
      <c r="C50" s="2" t="str">
        <f>INDEX('01_Raw_Input'!E:E, MATCH(A50, '01_Raw_Input'!F:F, 0))</f>
        <v>Jordan</v>
      </c>
      <c r="D50" s="2" t="str">
        <f t="shared" si="0"/>
        <v>JO-IBAN-00617250</v>
      </c>
      <c r="E50" s="2" t="s">
        <v>163</v>
      </c>
    </row>
    <row r="51" spans="1:5">
      <c r="A51" s="8" t="s">
        <v>79</v>
      </c>
      <c r="B51" s="2" t="str">
        <f>INDEX('01_Raw_Input'!C:C, MATCH(A51, '01_Raw_Input'!F:F, 0))</f>
        <v>Employee</v>
      </c>
      <c r="C51" s="2" t="str">
        <f>INDEX('01_Raw_Input'!E:E, MATCH(A51, '01_Raw_Input'!F:F, 0))</f>
        <v>USA</v>
      </c>
      <c r="D51" s="2" t="str">
        <f t="shared" si="0"/>
        <v>US-RT-000062934-AC-0000289578</v>
      </c>
      <c r="E51" s="2" t="s">
        <v>163</v>
      </c>
    </row>
    <row r="52" spans="1:5">
      <c r="A52" s="8" t="s">
        <v>80</v>
      </c>
      <c r="B52" s="2" t="str">
        <f>INDEX('01_Raw_Input'!C:C, MATCH(A52, '01_Raw_Input'!F:F, 0))</f>
        <v>Employee</v>
      </c>
      <c r="C52" s="2" t="str">
        <f>INDEX('01_Raw_Input'!E:E, MATCH(A52, '01_Raw_Input'!F:F, 0))</f>
        <v>Jordan</v>
      </c>
      <c r="D52" s="2" t="str">
        <f t="shared" si="0"/>
        <v>JO-IBAN-00641940</v>
      </c>
      <c r="E52" s="2" t="s">
        <v>163</v>
      </c>
    </row>
    <row r="53" spans="1:5">
      <c r="A53" s="9" t="s">
        <v>81</v>
      </c>
      <c r="B53" s="2" t="str">
        <f>INDEX('01_Raw_Input'!C:C, MATCH(A53, '01_Raw_Input'!F:F, 0))</f>
        <v>Employee</v>
      </c>
      <c r="C53" s="2" t="str">
        <f>INDEX('01_Raw_Input'!E:E, MATCH(A53, '01_Raw_Input'!F:F, 0))</f>
        <v>USA</v>
      </c>
      <c r="D53" s="2" t="str">
        <f t="shared" si="0"/>
        <v>US-RT-000065402-AC-0000300934</v>
      </c>
      <c r="E53" s="2" t="s">
        <v>163</v>
      </c>
    </row>
    <row r="54" spans="1:5">
      <c r="A54" s="9" t="s">
        <v>82</v>
      </c>
      <c r="B54" s="2" t="str">
        <f>INDEX('01_Raw_Input'!C:C, MATCH(A54, '01_Raw_Input'!F:F, 0))</f>
        <v>Employee</v>
      </c>
      <c r="C54" s="2" t="str">
        <f>INDEX('01_Raw_Input'!E:E, MATCH(A54, '01_Raw_Input'!F:F, 0))</f>
        <v>USA</v>
      </c>
      <c r="D54" s="2" t="str">
        <f t="shared" si="0"/>
        <v>US-RT-000066636-AC-0000306612</v>
      </c>
      <c r="E54" s="2" t="s">
        <v>163</v>
      </c>
    </row>
    <row r="55" spans="1:5">
      <c r="A55" s="8" t="s">
        <v>83</v>
      </c>
      <c r="B55" s="2" t="str">
        <f>INDEX('01_Raw_Input'!C:C, MATCH(A55, '01_Raw_Input'!F:F, 0))</f>
        <v>Employee</v>
      </c>
      <c r="C55" s="2" t="str">
        <f>INDEX('01_Raw_Input'!E:E, MATCH(A55, '01_Raw_Input'!F:F, 0))</f>
        <v>Germany</v>
      </c>
      <c r="D55" s="2" t="str">
        <f t="shared" si="0"/>
        <v>DE890000000000746845</v>
      </c>
      <c r="E55" s="2" t="s">
        <v>163</v>
      </c>
    </row>
    <row r="56" spans="1:5">
      <c r="A56" s="9" t="s">
        <v>84</v>
      </c>
      <c r="B56" s="2" t="str">
        <f>INDEX('01_Raw_Input'!C:C, MATCH(A56, '01_Raw_Input'!F:F, 0))</f>
        <v>Employee</v>
      </c>
      <c r="C56" s="2" t="str">
        <f>INDEX('01_Raw_Input'!E:E, MATCH(A56, '01_Raw_Input'!F:F, 0))</f>
        <v>Switzerland</v>
      </c>
      <c r="D56" s="2" t="str">
        <f t="shared" si="0"/>
        <v>CH930000000001382080</v>
      </c>
      <c r="E56" s="2" t="s">
        <v>163</v>
      </c>
    </row>
    <row r="57" spans="1:5">
      <c r="A57" s="8" t="s">
        <v>85</v>
      </c>
      <c r="B57" s="2" t="str">
        <f>INDEX('01_Raw_Input'!C:C, MATCH(A57, '01_Raw_Input'!F:F, 0))</f>
        <v>Employee</v>
      </c>
      <c r="C57" s="2" t="str">
        <f>INDEX('01_Raw_Input'!E:E, MATCH(A57, '01_Raw_Input'!F:F, 0))</f>
        <v>Jordan</v>
      </c>
      <c r="D57" s="2" t="str">
        <f t="shared" si="0"/>
        <v>JO-IBAN-00703665</v>
      </c>
      <c r="E57" s="2" t="s">
        <v>163</v>
      </c>
    </row>
    <row r="58" spans="1:5">
      <c r="A58" s="9" t="s">
        <v>86</v>
      </c>
      <c r="B58" s="2" t="str">
        <f>INDEX('01_Raw_Input'!C:C, MATCH(A58, '01_Raw_Input'!F:F, 0))</f>
        <v>Employee</v>
      </c>
      <c r="C58" s="2" t="str">
        <f>INDEX('01_Raw_Input'!E:E, MATCH(A58, '01_Raw_Input'!F:F, 0))</f>
        <v>USA</v>
      </c>
      <c r="D58" s="2" t="str">
        <f t="shared" si="0"/>
        <v>US-RT-000071572-AC-0000329324</v>
      </c>
      <c r="E58" s="2" t="s">
        <v>163</v>
      </c>
    </row>
    <row r="59" spans="1:5">
      <c r="A59" s="9" t="s">
        <v>87</v>
      </c>
      <c r="B59" s="2" t="str">
        <f>INDEX('01_Raw_Input'!C:C, MATCH(A59, '01_Raw_Input'!F:F, 0))</f>
        <v>Employee</v>
      </c>
      <c r="C59" s="2" t="str">
        <f>INDEX('01_Raw_Input'!E:E, MATCH(A59, '01_Raw_Input'!F:F, 0))</f>
        <v>Jordan</v>
      </c>
      <c r="D59" s="2" t="str">
        <f t="shared" si="0"/>
        <v>JO-IBAN-00728355</v>
      </c>
      <c r="E59" s="2" t="s">
        <v>163</v>
      </c>
    </row>
    <row r="60" spans="1:5">
      <c r="A60" s="8" t="s">
        <v>88</v>
      </c>
      <c r="B60" s="2" t="str">
        <f>INDEX('01_Raw_Input'!C:C, MATCH(A60, '01_Raw_Input'!F:F, 0))</f>
        <v>Employee</v>
      </c>
      <c r="C60" s="2" t="str">
        <f>INDEX('01_Raw_Input'!E:E, MATCH(A60, '01_Raw_Input'!F:F, 0))</f>
        <v>UAE</v>
      </c>
      <c r="D60" s="2" t="str">
        <f t="shared" si="0"/>
        <v>AE-IBAN-03259260</v>
      </c>
      <c r="E60" s="2" t="s">
        <v>163</v>
      </c>
    </row>
    <row r="61" spans="1:5">
      <c r="A61" s="8" t="s">
        <v>89</v>
      </c>
      <c r="B61" s="2" t="str">
        <f>INDEX('01_Raw_Input'!C:C, MATCH(A61, '01_Raw_Input'!F:F, 0))</f>
        <v>Employee</v>
      </c>
      <c r="C61" s="2" t="str">
        <f>INDEX('01_Raw_Input'!E:E, MATCH(A61, '01_Raw_Input'!F:F, 0))</f>
        <v>UAE</v>
      </c>
      <c r="D61" s="2" t="str">
        <f t="shared" si="0"/>
        <v>AE-IBAN-03313581</v>
      </c>
      <c r="E61" s="2" t="s">
        <v>163</v>
      </c>
    </row>
    <row r="62" spans="1:5">
      <c r="A62" s="8" t="s">
        <v>90</v>
      </c>
      <c r="B62" s="2" t="str">
        <f>INDEX('01_Raw_Input'!C:C, MATCH(A62, '01_Raw_Input'!F:F, 0))</f>
        <v>Employee</v>
      </c>
      <c r="C62" s="2" t="str">
        <f>INDEX('01_Raw_Input'!E:E, MATCH(A62, '01_Raw_Input'!F:F, 0))</f>
        <v>USA</v>
      </c>
      <c r="D62" s="2" t="str">
        <f t="shared" si="0"/>
        <v>US-RT-000076508-AC-0000352036</v>
      </c>
      <c r="E62" s="2" t="s">
        <v>163</v>
      </c>
    </row>
    <row r="63" spans="1:5">
      <c r="A63" s="8" t="s">
        <v>91</v>
      </c>
      <c r="B63" s="2" t="str">
        <f>INDEX('01_Raw_Input'!C:C, MATCH(A63, '01_Raw_Input'!F:F, 0))</f>
        <v>Employee</v>
      </c>
      <c r="C63" s="2" t="str">
        <f>INDEX('01_Raw_Input'!E:E, MATCH(A63, '01_Raw_Input'!F:F, 0))</f>
        <v>Jordan</v>
      </c>
      <c r="D63" s="2" t="str">
        <f t="shared" si="0"/>
        <v>JO-IBAN-00777735</v>
      </c>
      <c r="E63" s="2" t="s">
        <v>163</v>
      </c>
    </row>
    <row r="64" spans="1:5">
      <c r="A64" s="9" t="s">
        <v>92</v>
      </c>
      <c r="B64" s="2" t="str">
        <f>INDEX('01_Raw_Input'!C:C, MATCH(A64, '01_Raw_Input'!F:F, 0))</f>
        <v>Employee</v>
      </c>
      <c r="C64" s="2" t="str">
        <f>INDEX('01_Raw_Input'!E:E, MATCH(A64, '01_Raw_Input'!F:F, 0))</f>
        <v>Jordan</v>
      </c>
      <c r="D64" s="2" t="str">
        <f t="shared" si="0"/>
        <v>JO-IBAN-00790080</v>
      </c>
      <c r="E64" s="2" t="s">
        <v>163</v>
      </c>
    </row>
    <row r="65" spans="1:5">
      <c r="A65" s="8" t="s">
        <v>93</v>
      </c>
      <c r="B65" s="2" t="str">
        <f>INDEX('01_Raw_Input'!C:C, MATCH(A65, '01_Raw_Input'!F:F, 0))</f>
        <v>Employee</v>
      </c>
      <c r="C65" s="2" t="str">
        <f>INDEX('01_Raw_Input'!E:E, MATCH(A65, '01_Raw_Input'!F:F, 0))</f>
        <v>UAE</v>
      </c>
      <c r="D65" s="2" t="str">
        <f t="shared" si="0"/>
        <v>AE-IBAN-03530865</v>
      </c>
      <c r="E65" s="2" t="s">
        <v>163</v>
      </c>
    </row>
    <row r="66" spans="1:5">
      <c r="A66" s="9" t="s">
        <v>94</v>
      </c>
      <c r="B66" s="2" t="str">
        <f>INDEX('01_Raw_Input'!C:C, MATCH(A66, '01_Raw_Input'!F:F, 0))</f>
        <v>Employee</v>
      </c>
      <c r="C66" s="2" t="str">
        <f>INDEX('01_Raw_Input'!E:E, MATCH(A66, '01_Raw_Input'!F:F, 0))</f>
        <v>Switzerland</v>
      </c>
      <c r="D66" s="2" t="str">
        <f t="shared" si="0"/>
        <v>CH930000000001628880</v>
      </c>
      <c r="E66" s="2" t="s">
        <v>163</v>
      </c>
    </row>
    <row r="67" spans="1:5">
      <c r="A67" s="9" t="s">
        <v>95</v>
      </c>
      <c r="B67" s="2" t="str">
        <f>INDEX('01_Raw_Input'!C:C, MATCH(A67, '01_Raw_Input'!F:F, 0))</f>
        <v>Employee</v>
      </c>
      <c r="C67" s="2" t="str">
        <f>INDEX('01_Raw_Input'!E:E, MATCH(A67, '01_Raw_Input'!F:F, 0))</f>
        <v>Jordan</v>
      </c>
      <c r="D67" s="2" t="str">
        <f t="shared" ref="D67:D107" si="1">IF(C67="Germany","DE89"&amp;TEXT(ROW()*13579,"0000000000000000"),
IF(C67="Switzerland","CH93"&amp;TEXT(ROW()*24680,"0000000000000000"),
IF(C67="Jordan","JO-IBAN-"&amp;TEXT(ROW()*12345,"00000000"),
IF(C67="UAE","AE-IBAN-"&amp;TEXT(ROW()*54321,"00000000"),
IF(C67="USA","US-RT-"&amp;TEXT(ROW()*1234,"000000000")&amp;"-AC-"&amp;TEXT(ROW()*5678,"0000000000"),
"")))))</f>
        <v>JO-IBAN-00827115</v>
      </c>
      <c r="E67" s="2" t="s">
        <v>163</v>
      </c>
    </row>
    <row r="68" spans="1:5">
      <c r="A68" s="8" t="s">
        <v>96</v>
      </c>
      <c r="B68" s="2" t="str">
        <f>INDEX('01_Raw_Input'!C:C, MATCH(A68, '01_Raw_Input'!F:F, 0))</f>
        <v>Employee</v>
      </c>
      <c r="C68" s="2" t="str">
        <f>INDEX('01_Raw_Input'!E:E, MATCH(A68, '01_Raw_Input'!F:F, 0))</f>
        <v>USA</v>
      </c>
      <c r="D68" s="2" t="str">
        <f t="shared" si="1"/>
        <v>US-RT-000083912-AC-0000386104</v>
      </c>
      <c r="E68" s="2" t="s">
        <v>163</v>
      </c>
    </row>
    <row r="69" spans="1:5">
      <c r="A69" s="9" t="s">
        <v>97</v>
      </c>
      <c r="B69" s="2" t="str">
        <f>INDEX('01_Raw_Input'!C:C, MATCH(A69, '01_Raw_Input'!F:F, 0))</f>
        <v>Employee</v>
      </c>
      <c r="C69" s="2" t="str">
        <f>INDEX('01_Raw_Input'!E:E, MATCH(A69, '01_Raw_Input'!F:F, 0))</f>
        <v>USA</v>
      </c>
      <c r="D69" s="2" t="str">
        <f t="shared" si="1"/>
        <v>US-RT-000085146-AC-0000391782</v>
      </c>
      <c r="E69" s="2" t="s">
        <v>163</v>
      </c>
    </row>
    <row r="70" spans="1:5">
      <c r="A70" s="8" t="s">
        <v>98</v>
      </c>
      <c r="B70" s="2" t="str">
        <f>INDEX('01_Raw_Input'!C:C, MATCH(A70, '01_Raw_Input'!F:F, 0))</f>
        <v>Employee</v>
      </c>
      <c r="C70" s="2" t="str">
        <f>INDEX('01_Raw_Input'!E:E, MATCH(A70, '01_Raw_Input'!F:F, 0))</f>
        <v>Germany</v>
      </c>
      <c r="D70" s="2" t="str">
        <f t="shared" si="1"/>
        <v>DE890000000000950530</v>
      </c>
      <c r="E70" s="2" t="s">
        <v>163</v>
      </c>
    </row>
    <row r="71" spans="1:5">
      <c r="A71" s="9" t="s">
        <v>99</v>
      </c>
      <c r="B71" s="2" t="str">
        <f>INDEX('01_Raw_Input'!C:C, MATCH(A71, '01_Raw_Input'!F:F, 0))</f>
        <v>Employee</v>
      </c>
      <c r="C71" s="2" t="str">
        <f>INDEX('01_Raw_Input'!E:E, MATCH(A71, '01_Raw_Input'!F:F, 0))</f>
        <v>Switzerland</v>
      </c>
      <c r="D71" s="2" t="str">
        <f t="shared" si="1"/>
        <v>CH930000000001752280</v>
      </c>
      <c r="E71" s="2" t="s">
        <v>163</v>
      </c>
    </row>
    <row r="72" spans="1:5">
      <c r="A72" s="8" t="s">
        <v>100</v>
      </c>
      <c r="B72" s="2" t="str">
        <f>INDEX('01_Raw_Input'!C:C, MATCH(A72, '01_Raw_Input'!F:F, 0))</f>
        <v>Employee</v>
      </c>
      <c r="C72" s="2" t="str">
        <f>INDEX('01_Raw_Input'!E:E, MATCH(A72, '01_Raw_Input'!F:F, 0))</f>
        <v>Germany</v>
      </c>
      <c r="D72" s="2" t="str">
        <f t="shared" si="1"/>
        <v>DE890000000000977688</v>
      </c>
      <c r="E72" s="2" t="s">
        <v>163</v>
      </c>
    </row>
    <row r="73" spans="1:5">
      <c r="A73" s="8" t="s">
        <v>101</v>
      </c>
      <c r="B73" s="2" t="str">
        <f>INDEX('01_Raw_Input'!C:C, MATCH(A73, '01_Raw_Input'!F:F, 0))</f>
        <v>Employee</v>
      </c>
      <c r="C73" s="2" t="str">
        <f>INDEX('01_Raw_Input'!E:E, MATCH(A73, '01_Raw_Input'!F:F, 0))</f>
        <v>USA</v>
      </c>
      <c r="D73" s="2" t="str">
        <f t="shared" si="1"/>
        <v>US-RT-000090082-AC-0000414494</v>
      </c>
      <c r="E73" s="2" t="s">
        <v>163</v>
      </c>
    </row>
    <row r="74" spans="1:5">
      <c r="A74" s="8" t="s">
        <v>102</v>
      </c>
      <c r="B74" s="2" t="str">
        <f>INDEX('01_Raw_Input'!C:C, MATCH(A74, '01_Raw_Input'!F:F, 0))</f>
        <v>Employee</v>
      </c>
      <c r="C74" s="2" t="str">
        <f>INDEX('01_Raw_Input'!E:E, MATCH(A74, '01_Raw_Input'!F:F, 0))</f>
        <v>Germany</v>
      </c>
      <c r="D74" s="2" t="str">
        <f t="shared" si="1"/>
        <v>DE890000000001004846</v>
      </c>
      <c r="E74" s="2" t="s">
        <v>163</v>
      </c>
    </row>
    <row r="75" spans="1:5">
      <c r="A75" s="8" t="s">
        <v>103</v>
      </c>
      <c r="B75" s="2" t="str">
        <f>INDEX('01_Raw_Input'!C:C, MATCH(A75, '01_Raw_Input'!F:F, 0))</f>
        <v>Employee</v>
      </c>
      <c r="C75" s="2" t="str">
        <f>INDEX('01_Raw_Input'!E:E, MATCH(A75, '01_Raw_Input'!F:F, 0))</f>
        <v>Jordan</v>
      </c>
      <c r="D75" s="2" t="str">
        <f t="shared" si="1"/>
        <v>JO-IBAN-00925875</v>
      </c>
      <c r="E75" s="2" t="s">
        <v>163</v>
      </c>
    </row>
    <row r="76" spans="1:5">
      <c r="A76" s="9" t="s">
        <v>104</v>
      </c>
      <c r="B76" s="2" t="str">
        <f>INDEX('01_Raw_Input'!C:C, MATCH(A76, '01_Raw_Input'!F:F, 0))</f>
        <v>Employee</v>
      </c>
      <c r="C76" s="2" t="str">
        <f>INDEX('01_Raw_Input'!E:E, MATCH(A76, '01_Raw_Input'!F:F, 0))</f>
        <v>Jordan</v>
      </c>
      <c r="D76" s="2" t="str">
        <f t="shared" si="1"/>
        <v>JO-IBAN-00938220</v>
      </c>
      <c r="E76" s="2" t="s">
        <v>163</v>
      </c>
    </row>
    <row r="77" spans="1:5">
      <c r="A77" s="9" t="s">
        <v>105</v>
      </c>
      <c r="B77" s="2" t="str">
        <f>INDEX('01_Raw_Input'!C:C, MATCH(A77, '01_Raw_Input'!F:F, 0))</f>
        <v>Employee</v>
      </c>
      <c r="C77" s="2" t="str">
        <f>INDEX('01_Raw_Input'!E:E, MATCH(A77, '01_Raw_Input'!F:F, 0))</f>
        <v>USA</v>
      </c>
      <c r="D77" s="2" t="str">
        <f t="shared" si="1"/>
        <v>US-RT-000095018-AC-0000437206</v>
      </c>
      <c r="E77" s="2" t="s">
        <v>163</v>
      </c>
    </row>
    <row r="78" spans="1:5">
      <c r="A78" s="8" t="s">
        <v>106</v>
      </c>
      <c r="B78" s="2" t="str">
        <f>INDEX('01_Raw_Input'!C:C, MATCH(A78, '01_Raw_Input'!F:F, 0))</f>
        <v>Employee</v>
      </c>
      <c r="C78" s="2" t="str">
        <f>INDEX('01_Raw_Input'!E:E, MATCH(A78, '01_Raw_Input'!F:F, 0))</f>
        <v>USA</v>
      </c>
      <c r="D78" s="2" t="str">
        <f t="shared" si="1"/>
        <v>US-RT-000096252-AC-0000442884</v>
      </c>
      <c r="E78" s="2" t="s">
        <v>163</v>
      </c>
    </row>
    <row r="79" spans="1:5">
      <c r="A79" s="9" t="s">
        <v>107</v>
      </c>
      <c r="B79" s="2" t="str">
        <f>INDEX('01_Raw_Input'!C:C, MATCH(A79, '01_Raw_Input'!F:F, 0))</f>
        <v>Employee</v>
      </c>
      <c r="C79" s="2" t="str">
        <f>INDEX('01_Raw_Input'!E:E, MATCH(A79, '01_Raw_Input'!F:F, 0))</f>
        <v>Germany</v>
      </c>
      <c r="D79" s="2" t="str">
        <f t="shared" si="1"/>
        <v>DE890000000001072741</v>
      </c>
      <c r="E79" s="2" t="s">
        <v>163</v>
      </c>
    </row>
    <row r="80" spans="1:5">
      <c r="A80" s="9" t="s">
        <v>108</v>
      </c>
      <c r="B80" s="2" t="str">
        <f>INDEX('01_Raw_Input'!C:C, MATCH(A80, '01_Raw_Input'!F:F, 0))</f>
        <v>Employee</v>
      </c>
      <c r="C80" s="2" t="str">
        <f>INDEX('01_Raw_Input'!E:E, MATCH(A80, '01_Raw_Input'!F:F, 0))</f>
        <v>Jordan</v>
      </c>
      <c r="D80" s="2" t="str">
        <f t="shared" si="1"/>
        <v>JO-IBAN-00987600</v>
      </c>
      <c r="E80" s="2" t="s">
        <v>163</v>
      </c>
    </row>
    <row r="81" spans="1:5">
      <c r="A81" s="8" t="s">
        <v>109</v>
      </c>
      <c r="B81" s="2" t="str">
        <f>INDEX('01_Raw_Input'!C:C, MATCH(A81, '01_Raw_Input'!F:F, 0))</f>
        <v>Employee</v>
      </c>
      <c r="C81" s="2" t="str">
        <f>INDEX('01_Raw_Input'!E:E, MATCH(A81, '01_Raw_Input'!F:F, 0))</f>
        <v>UAE</v>
      </c>
      <c r="D81" s="2" t="str">
        <f t="shared" si="1"/>
        <v>AE-IBAN-04400001</v>
      </c>
      <c r="E81" s="2" t="s">
        <v>163</v>
      </c>
    </row>
    <row r="82" spans="1:5">
      <c r="A82" s="9" t="s">
        <v>110</v>
      </c>
      <c r="B82" s="2" t="str">
        <f>INDEX('01_Raw_Input'!C:C, MATCH(A82, '01_Raw_Input'!F:F, 0))</f>
        <v>Contractor</v>
      </c>
      <c r="C82" s="2" t="str">
        <f>INDEX('01_Raw_Input'!E:E, MATCH(A82, '01_Raw_Input'!F:F, 0))</f>
        <v>Switzerland</v>
      </c>
      <c r="D82" s="2" t="str">
        <f t="shared" si="1"/>
        <v>CH930000000002023760</v>
      </c>
      <c r="E82" s="2" t="s">
        <v>163</v>
      </c>
    </row>
    <row r="83" spans="1:5">
      <c r="A83" s="9" t="s">
        <v>111</v>
      </c>
      <c r="B83" s="2" t="str">
        <f>INDEX('01_Raw_Input'!C:C, MATCH(A83, '01_Raw_Input'!F:F, 0))</f>
        <v>Contractor</v>
      </c>
      <c r="C83" s="2" t="str">
        <f>INDEX('01_Raw_Input'!E:E, MATCH(A83, '01_Raw_Input'!F:F, 0))</f>
        <v>USA</v>
      </c>
      <c r="D83" s="2" t="str">
        <f t="shared" si="1"/>
        <v>US-RT-000102422-AC-0000471274</v>
      </c>
      <c r="E83" s="2" t="s">
        <v>163</v>
      </c>
    </row>
    <row r="84" spans="1:5">
      <c r="A84" s="9" t="s">
        <v>112</v>
      </c>
      <c r="B84" s="2" t="str">
        <f>INDEX('01_Raw_Input'!C:C, MATCH(A84, '01_Raw_Input'!F:F, 0))</f>
        <v>Contractor</v>
      </c>
      <c r="C84" s="2" t="str">
        <f>INDEX('01_Raw_Input'!E:E, MATCH(A84, '01_Raw_Input'!F:F, 0))</f>
        <v>Germany</v>
      </c>
      <c r="D84" s="2" t="str">
        <f t="shared" si="1"/>
        <v>DE890000000001140636</v>
      </c>
      <c r="E84" s="2" t="s">
        <v>163</v>
      </c>
    </row>
    <row r="85" spans="1:5">
      <c r="A85" s="8" t="s">
        <v>113</v>
      </c>
      <c r="B85" s="2" t="str">
        <f>INDEX('01_Raw_Input'!C:C, MATCH(A85, '01_Raw_Input'!F:F, 0))</f>
        <v>Contractor</v>
      </c>
      <c r="C85" s="2" t="str">
        <f>INDEX('01_Raw_Input'!E:E, MATCH(A85, '01_Raw_Input'!F:F, 0))</f>
        <v>USA</v>
      </c>
      <c r="D85" s="2" t="str">
        <f t="shared" si="1"/>
        <v>US-RT-000104890-AC-0000482630</v>
      </c>
      <c r="E85" s="2" t="s">
        <v>163</v>
      </c>
    </row>
    <row r="86" spans="1:5">
      <c r="A86" s="8" t="s">
        <v>114</v>
      </c>
      <c r="B86" s="2" t="str">
        <f>INDEX('01_Raw_Input'!C:C, MATCH(A86, '01_Raw_Input'!F:F, 0))</f>
        <v>Contractor</v>
      </c>
      <c r="C86" s="2" t="str">
        <f>INDEX('01_Raw_Input'!E:E, MATCH(A86, '01_Raw_Input'!F:F, 0))</f>
        <v>Germany</v>
      </c>
      <c r="D86" s="2" t="str">
        <f t="shared" si="1"/>
        <v>DE890000000001167794</v>
      </c>
      <c r="E86" s="2" t="s">
        <v>163</v>
      </c>
    </row>
    <row r="87" spans="1:5">
      <c r="A87" s="8" t="s">
        <v>115</v>
      </c>
      <c r="B87" s="2" t="str">
        <f>INDEX('01_Raw_Input'!C:C, MATCH(A87, '01_Raw_Input'!F:F, 0))</f>
        <v>Contractor</v>
      </c>
      <c r="C87" s="2" t="str">
        <f>INDEX('01_Raw_Input'!E:E, MATCH(A87, '01_Raw_Input'!F:F, 0))</f>
        <v>Jordan</v>
      </c>
      <c r="D87" s="2" t="str">
        <f t="shared" si="1"/>
        <v>JO-IBAN-01074015</v>
      </c>
      <c r="E87" s="2" t="s">
        <v>163</v>
      </c>
    </row>
    <row r="88" spans="1:5">
      <c r="A88" s="9" t="s">
        <v>116</v>
      </c>
      <c r="B88" s="2" t="str">
        <f>INDEX('01_Raw_Input'!C:C, MATCH(A88, '01_Raw_Input'!F:F, 0))</f>
        <v>Contractor</v>
      </c>
      <c r="C88" s="2" t="str">
        <f>INDEX('01_Raw_Input'!E:E, MATCH(A88, '01_Raw_Input'!F:F, 0))</f>
        <v>UAE</v>
      </c>
      <c r="D88" s="2" t="str">
        <f t="shared" si="1"/>
        <v>AE-IBAN-04780248</v>
      </c>
      <c r="E88" s="2" t="s">
        <v>163</v>
      </c>
    </row>
    <row r="89" spans="1:5">
      <c r="A89" s="8" t="s">
        <v>117</v>
      </c>
      <c r="B89" s="2" t="str">
        <f>INDEX('01_Raw_Input'!C:C, MATCH(A89, '01_Raw_Input'!F:F, 0))</f>
        <v>Contractor</v>
      </c>
      <c r="C89" s="2" t="str">
        <f>INDEX('01_Raw_Input'!E:E, MATCH(A89, '01_Raw_Input'!F:F, 0))</f>
        <v>Germany</v>
      </c>
      <c r="D89" s="2" t="str">
        <f t="shared" si="1"/>
        <v>DE890000000001208531</v>
      </c>
      <c r="E89" s="2" t="s">
        <v>163</v>
      </c>
    </row>
    <row r="90" spans="1:5">
      <c r="A90" s="8" t="s">
        <v>118</v>
      </c>
      <c r="B90" s="2" t="str">
        <f>INDEX('01_Raw_Input'!C:C, MATCH(A90, '01_Raw_Input'!F:F, 0))</f>
        <v>Contractor</v>
      </c>
      <c r="C90" s="2" t="str">
        <f>INDEX('01_Raw_Input'!E:E, MATCH(A90, '01_Raw_Input'!F:F, 0))</f>
        <v>Switzerland</v>
      </c>
      <c r="D90" s="2" t="str">
        <f t="shared" si="1"/>
        <v>CH930000000002221200</v>
      </c>
      <c r="E90" s="2" t="s">
        <v>163</v>
      </c>
    </row>
    <row r="91" spans="1:5">
      <c r="A91" s="8" t="s">
        <v>119</v>
      </c>
      <c r="B91" s="2" t="str">
        <f>INDEX('01_Raw_Input'!C:C, MATCH(A91, '01_Raw_Input'!F:F, 0))</f>
        <v>Contractor</v>
      </c>
      <c r="C91" s="2" t="str">
        <f>INDEX('01_Raw_Input'!E:E, MATCH(A91, '01_Raw_Input'!F:F, 0))</f>
        <v>UAE</v>
      </c>
      <c r="D91" s="2" t="str">
        <f t="shared" si="1"/>
        <v>AE-IBAN-04943211</v>
      </c>
      <c r="E91" s="2" t="s">
        <v>163</v>
      </c>
    </row>
    <row r="92" spans="1:5">
      <c r="A92" s="9" t="s">
        <v>120</v>
      </c>
      <c r="B92" s="2" t="str">
        <f>INDEX('01_Raw_Input'!C:C, MATCH(A92, '01_Raw_Input'!F:F, 0))</f>
        <v>Contractor</v>
      </c>
      <c r="C92" s="2" t="str">
        <f>INDEX('01_Raw_Input'!E:E, MATCH(A92, '01_Raw_Input'!F:F, 0))</f>
        <v>Switzerland</v>
      </c>
      <c r="D92" s="2" t="str">
        <f t="shared" si="1"/>
        <v>CH930000000002270560</v>
      </c>
      <c r="E92" s="2" t="s">
        <v>163</v>
      </c>
    </row>
    <row r="93" spans="1:5">
      <c r="A93" s="8" t="s">
        <v>121</v>
      </c>
      <c r="B93" s="2" t="str">
        <f>INDEX('01_Raw_Input'!C:C, MATCH(A93, '01_Raw_Input'!F:F, 0))</f>
        <v>Vendor</v>
      </c>
      <c r="C93" s="2" t="str">
        <f>INDEX('01_Raw_Input'!E:E, MATCH(A93, '01_Raw_Input'!F:F, 0))</f>
        <v>Switzerland</v>
      </c>
      <c r="D93" s="2" t="str">
        <f t="shared" si="1"/>
        <v>CH930000000002295240</v>
      </c>
      <c r="E93" s="2" t="s">
        <v>163</v>
      </c>
    </row>
    <row r="94" spans="1:5">
      <c r="A94" s="8" t="s">
        <v>122</v>
      </c>
      <c r="B94" s="2" t="str">
        <f>INDEX('01_Raw_Input'!C:C, MATCH(A94, '01_Raw_Input'!F:F, 0))</f>
        <v>Vendor</v>
      </c>
      <c r="C94" s="2" t="str">
        <f>INDEX('01_Raw_Input'!E:E, MATCH(A94, '01_Raw_Input'!F:F, 0))</f>
        <v>Jordan</v>
      </c>
      <c r="D94" s="2" t="str">
        <f t="shared" si="1"/>
        <v>JO-IBAN-01160430</v>
      </c>
      <c r="E94" s="2" t="s">
        <v>163</v>
      </c>
    </row>
    <row r="95" spans="1:5">
      <c r="A95" s="9" t="s">
        <v>123</v>
      </c>
      <c r="B95" s="2" t="str">
        <f>INDEX('01_Raw_Input'!C:C, MATCH(A95, '01_Raw_Input'!F:F, 0))</f>
        <v>Vendor</v>
      </c>
      <c r="C95" s="2" t="str">
        <f>INDEX('01_Raw_Input'!E:E, MATCH(A95, '01_Raw_Input'!F:F, 0))</f>
        <v>Switzerland</v>
      </c>
      <c r="D95" s="2" t="str">
        <f t="shared" si="1"/>
        <v>CH930000000002344600</v>
      </c>
      <c r="E95" s="2" t="s">
        <v>163</v>
      </c>
    </row>
    <row r="96" spans="1:5">
      <c r="A96" s="8" t="s">
        <v>124</v>
      </c>
      <c r="B96" s="2" t="str">
        <f>INDEX('01_Raw_Input'!C:C, MATCH(A96, '01_Raw_Input'!F:F, 0))</f>
        <v>Vendor</v>
      </c>
      <c r="C96" s="2" t="str">
        <f>INDEX('01_Raw_Input'!E:E, MATCH(A96, '01_Raw_Input'!F:F, 0))</f>
        <v>USA</v>
      </c>
      <c r="D96" s="2" t="str">
        <f t="shared" si="1"/>
        <v>US-RT-000118464-AC-0000545088</v>
      </c>
      <c r="E96" s="2" t="s">
        <v>163</v>
      </c>
    </row>
    <row r="97" spans="1:5">
      <c r="A97" s="9" t="s">
        <v>125</v>
      </c>
      <c r="B97" s="2" t="str">
        <f>INDEX('01_Raw_Input'!C:C, MATCH(A97, '01_Raw_Input'!F:F, 0))</f>
        <v>Vendor</v>
      </c>
      <c r="C97" s="2" t="str">
        <f>INDEX('01_Raw_Input'!E:E, MATCH(A97, '01_Raw_Input'!F:F, 0))</f>
        <v>Jordan</v>
      </c>
      <c r="D97" s="2" t="str">
        <f t="shared" si="1"/>
        <v>JO-IBAN-01197465</v>
      </c>
      <c r="E97" s="2" t="s">
        <v>163</v>
      </c>
    </row>
    <row r="98" spans="1:5">
      <c r="A98" s="9" t="s">
        <v>126</v>
      </c>
      <c r="B98" s="2" t="str">
        <f>INDEX('01_Raw_Input'!C:C, MATCH(A98, '01_Raw_Input'!F:F, 0))</f>
        <v>Vendor</v>
      </c>
      <c r="C98" s="2" t="str">
        <f>INDEX('01_Raw_Input'!E:E, MATCH(A98, '01_Raw_Input'!F:F, 0))</f>
        <v>USA</v>
      </c>
      <c r="D98" s="2" t="str">
        <f t="shared" si="1"/>
        <v>US-RT-000120932-AC-0000556444</v>
      </c>
      <c r="E98" s="2" t="s">
        <v>163</v>
      </c>
    </row>
    <row r="99" spans="1:5">
      <c r="A99" s="9" t="s">
        <v>127</v>
      </c>
      <c r="B99" s="2" t="str">
        <f>INDEX('01_Raw_Input'!C:C, MATCH(A99, '01_Raw_Input'!F:F, 0))</f>
        <v>Vendor</v>
      </c>
      <c r="C99" s="2" t="str">
        <f>INDEX('01_Raw_Input'!E:E, MATCH(A99, '01_Raw_Input'!F:F, 0))</f>
        <v>Jordan</v>
      </c>
      <c r="D99" s="2" t="str">
        <f t="shared" si="1"/>
        <v>JO-IBAN-01222155</v>
      </c>
      <c r="E99" s="2" t="s">
        <v>163</v>
      </c>
    </row>
    <row r="100" spans="1:5">
      <c r="A100" s="9" t="s">
        <v>128</v>
      </c>
      <c r="B100" s="2" t="str">
        <f>INDEX('01_Raw_Input'!C:C, MATCH(A100, '01_Raw_Input'!F:F, 0))</f>
        <v>Vendor</v>
      </c>
      <c r="C100" s="2" t="str">
        <f>INDEX('01_Raw_Input'!E:E, MATCH(A100, '01_Raw_Input'!F:F, 0))</f>
        <v>UAE</v>
      </c>
      <c r="D100" s="2" t="str">
        <f t="shared" si="1"/>
        <v>AE-IBAN-05432100</v>
      </c>
      <c r="E100" s="2" t="s">
        <v>163</v>
      </c>
    </row>
    <row r="101" spans="1:5">
      <c r="A101" s="8" t="s">
        <v>129</v>
      </c>
      <c r="B101" s="2" t="str">
        <f>INDEX('01_Raw_Input'!C:C, MATCH(A101, '01_Raw_Input'!F:F, 0))</f>
        <v>Sub-Grantee</v>
      </c>
      <c r="C101" s="2" t="str">
        <f>INDEX('01_Raw_Input'!E:E, MATCH(A101, '01_Raw_Input'!F:F, 0))</f>
        <v>Switzerland</v>
      </c>
      <c r="D101" s="2" t="str">
        <f t="shared" si="1"/>
        <v>CH930000000002492680</v>
      </c>
      <c r="E101" s="2" t="s">
        <v>163</v>
      </c>
    </row>
    <row r="102" spans="1:5">
      <c r="A102" s="9" t="s">
        <v>130</v>
      </c>
      <c r="B102" s="2" t="str">
        <f>INDEX('01_Raw_Input'!C:C, MATCH(A102, '01_Raw_Input'!F:F, 0))</f>
        <v>Sub-Grantee</v>
      </c>
      <c r="C102" s="2" t="str">
        <f>INDEX('01_Raw_Input'!E:E, MATCH(A102, '01_Raw_Input'!F:F, 0))</f>
        <v>USA</v>
      </c>
      <c r="D102" s="2" t="str">
        <f t="shared" si="1"/>
        <v>US-RT-000125868-AC-0000579156</v>
      </c>
      <c r="E102" s="2" t="s">
        <v>163</v>
      </c>
    </row>
    <row r="103" spans="1:5">
      <c r="A103" s="8" t="s">
        <v>131</v>
      </c>
      <c r="B103" s="2" t="str">
        <f>INDEX('01_Raw_Input'!C:C, MATCH(A103, '01_Raw_Input'!F:F, 0))</f>
        <v>Sub-Grantee</v>
      </c>
      <c r="C103" s="2" t="str">
        <f>INDEX('01_Raw_Input'!E:E, MATCH(A103, '01_Raw_Input'!F:F, 0))</f>
        <v>Germany</v>
      </c>
      <c r="D103" s="2" t="str">
        <f t="shared" si="1"/>
        <v>DE890000000001398637</v>
      </c>
      <c r="E103" s="2" t="s">
        <v>163</v>
      </c>
    </row>
    <row r="104" spans="1:5">
      <c r="A104" s="9" t="s">
        <v>132</v>
      </c>
      <c r="B104" s="2" t="str">
        <f>INDEX('01_Raw_Input'!C:C, MATCH(A104, '01_Raw_Input'!F:F, 0))</f>
        <v>Sub-Grantee</v>
      </c>
      <c r="C104" s="2" t="str">
        <f>INDEX('01_Raw_Input'!E:E, MATCH(A104, '01_Raw_Input'!F:F, 0))</f>
        <v>Switzerland</v>
      </c>
      <c r="D104" s="2" t="str">
        <f t="shared" si="1"/>
        <v>CH930000000002566720</v>
      </c>
      <c r="E104" s="2" t="s">
        <v>163</v>
      </c>
    </row>
    <row r="105" spans="1:5">
      <c r="A105" s="9" t="s">
        <v>133</v>
      </c>
      <c r="B105" s="2" t="str">
        <f>INDEX('01_Raw_Input'!C:C, MATCH(A105, '01_Raw_Input'!F:F, 0))</f>
        <v>Sub-Grantee</v>
      </c>
      <c r="C105" s="2" t="str">
        <f>INDEX('01_Raw_Input'!E:E, MATCH(A105, '01_Raw_Input'!F:F, 0))</f>
        <v>Jordan</v>
      </c>
      <c r="D105" s="2" t="str">
        <f t="shared" si="1"/>
        <v>JO-IBAN-01296225</v>
      </c>
      <c r="E105" s="2" t="s">
        <v>163</v>
      </c>
    </row>
    <row r="106" spans="1:5">
      <c r="A106" s="8" t="s">
        <v>134</v>
      </c>
      <c r="B106" s="2" t="str">
        <f>INDEX('01_Raw_Input'!C:C, MATCH(A106, '01_Raw_Input'!F:F, 0))</f>
        <v>Sub-Grantee</v>
      </c>
      <c r="C106" s="2" t="str">
        <f>INDEX('01_Raw_Input'!E:E, MATCH(A106, '01_Raw_Input'!F:F, 0))</f>
        <v>Switzerland</v>
      </c>
      <c r="D106" s="2" t="str">
        <f t="shared" si="1"/>
        <v>CH930000000002616080</v>
      </c>
      <c r="E106" s="2" t="s">
        <v>163</v>
      </c>
    </row>
    <row r="107" spans="1:5">
      <c r="A107" s="9" t="s">
        <v>135</v>
      </c>
      <c r="B107" s="2" t="str">
        <f>INDEX('01_Raw_Input'!C:C, MATCH(A107, '01_Raw_Input'!F:F, 0))</f>
        <v>Sub-Grantee</v>
      </c>
      <c r="C107" s="2" t="str">
        <f>INDEX('01_Raw_Input'!E:E, MATCH(A107, '01_Raw_Input'!F:F, 0))</f>
        <v>Germany</v>
      </c>
      <c r="D107" s="2" t="str">
        <f t="shared" si="1"/>
        <v>DE890000000001452953</v>
      </c>
      <c r="E107" s="2" t="s">
        <v>163</v>
      </c>
    </row>
  </sheetData>
  <dataValidations count="1">
    <dataValidation type="list" allowBlank="1" showInputMessage="1" showErrorMessage="1" sqref="E2:E107">
      <formula1>"Yes,No"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System_Master_Data!$A$10:$A$14</xm:f>
          </x14:formula1>
          <xm:sqref>C2:C107</xm:sqref>
        </x14:dataValidation>
        <x14:dataValidation type="list" allowBlank="1" showInputMessage="1" showErrorMessage="1">
          <x14:formula1>
            <xm:f>System_Master_Data!$A$18:$A$21</xm:f>
          </x14:formula1>
          <xm:sqref>B2:B107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9.9978637043366805E-2"/>
  </sheetPr>
  <dimension ref="A1:C36"/>
  <sheetViews>
    <sheetView workbookViewId="0">
      <selection sqref="A1:C1"/>
    </sheetView>
  </sheetViews>
  <sheetFormatPr defaultRowHeight="14.4"/>
  <cols>
    <col min="1" max="1" width="22.33203125" bestFit="1" customWidth="1"/>
    <col min="2" max="2" width="23.88671875" bestFit="1" customWidth="1"/>
    <col min="3" max="3" width="23.6640625" customWidth="1"/>
  </cols>
  <sheetData>
    <row r="1" spans="1:3" s="2" customFormat="1" ht="14.4" customHeight="1">
      <c r="A1" s="58" t="s">
        <v>314</v>
      </c>
      <c r="B1" s="58"/>
      <c r="C1" s="58"/>
    </row>
    <row r="2" spans="1:3">
      <c r="A2" s="10" t="s">
        <v>138</v>
      </c>
      <c r="B2" s="10" t="s">
        <v>143</v>
      </c>
      <c r="C2" s="10" t="s">
        <v>148</v>
      </c>
    </row>
    <row r="3" spans="1:3">
      <c r="A3" s="25" t="s">
        <v>141</v>
      </c>
      <c r="B3" s="25" t="s">
        <v>144</v>
      </c>
      <c r="C3" s="25" t="s">
        <v>149</v>
      </c>
    </row>
    <row r="4" spans="1:3">
      <c r="A4" s="25" t="s">
        <v>139</v>
      </c>
      <c r="B4" s="25" t="s">
        <v>145</v>
      </c>
      <c r="C4" s="25" t="s">
        <v>150</v>
      </c>
    </row>
    <row r="5" spans="1:3">
      <c r="A5" s="25" t="s">
        <v>140</v>
      </c>
      <c r="B5" s="25" t="s">
        <v>146</v>
      </c>
      <c r="C5" s="25" t="s">
        <v>151</v>
      </c>
    </row>
    <row r="6" spans="1:3">
      <c r="A6" s="25" t="s">
        <v>142</v>
      </c>
      <c r="B6" s="25" t="s">
        <v>147</v>
      </c>
      <c r="C6" s="25" t="s">
        <v>152</v>
      </c>
    </row>
    <row r="7" spans="1:3" s="2" customFormat="1">
      <c r="A7" s="5"/>
      <c r="B7" s="5"/>
      <c r="C7" s="5"/>
    </row>
    <row r="8" spans="1:3" ht="17.399999999999999">
      <c r="A8" s="58" t="s">
        <v>315</v>
      </c>
      <c r="B8" s="58"/>
    </row>
    <row r="9" spans="1:3" ht="15" thickBot="1">
      <c r="A9" s="26" t="s">
        <v>0</v>
      </c>
      <c r="B9" s="23" t="s">
        <v>162</v>
      </c>
    </row>
    <row r="10" spans="1:3" ht="15" thickTop="1">
      <c r="A10" s="31" t="s">
        <v>6</v>
      </c>
      <c r="B10" s="32">
        <v>0.05</v>
      </c>
    </row>
    <row r="11" spans="1:3">
      <c r="A11" s="33" t="s">
        <v>2</v>
      </c>
      <c r="B11" s="34">
        <v>8.1000000000000003E-2</v>
      </c>
    </row>
    <row r="12" spans="1:3">
      <c r="A12" s="31" t="s">
        <v>4</v>
      </c>
      <c r="B12" s="32">
        <v>0.19</v>
      </c>
    </row>
    <row r="13" spans="1:3">
      <c r="A13" s="33" t="s">
        <v>8</v>
      </c>
      <c r="B13" s="34">
        <v>0</v>
      </c>
    </row>
    <row r="14" spans="1:3">
      <c r="A14" s="35" t="s">
        <v>10</v>
      </c>
      <c r="B14" s="36">
        <v>0.16</v>
      </c>
    </row>
    <row r="16" spans="1:3" s="2" customFormat="1" ht="17.399999999999999">
      <c r="A16" s="58" t="s">
        <v>316</v>
      </c>
      <c r="B16" s="58"/>
    </row>
    <row r="17" spans="1:2">
      <c r="A17" s="10" t="s">
        <v>17</v>
      </c>
      <c r="B17" s="10" t="s">
        <v>12</v>
      </c>
    </row>
    <row r="18" spans="1:2">
      <c r="A18" s="25" t="s">
        <v>18</v>
      </c>
      <c r="B18" s="25" t="s">
        <v>13</v>
      </c>
    </row>
    <row r="19" spans="1:2">
      <c r="A19" s="25" t="s">
        <v>19</v>
      </c>
      <c r="B19" s="25" t="s">
        <v>14</v>
      </c>
    </row>
    <row r="20" spans="1:2">
      <c r="A20" s="25" t="s">
        <v>20</v>
      </c>
      <c r="B20" s="25" t="s">
        <v>15</v>
      </c>
    </row>
    <row r="21" spans="1:2">
      <c r="A21" s="25" t="s">
        <v>21</v>
      </c>
      <c r="B21" s="25" t="s">
        <v>16</v>
      </c>
    </row>
    <row r="23" spans="1:2" s="2" customFormat="1" ht="17.399999999999999">
      <c r="A23" s="58" t="s">
        <v>317</v>
      </c>
      <c r="B23" s="58"/>
    </row>
    <row r="24" spans="1:2">
      <c r="A24" s="10" t="s">
        <v>1</v>
      </c>
      <c r="B24" s="10" t="s">
        <v>164</v>
      </c>
    </row>
    <row r="25" spans="1:2">
      <c r="A25" s="25" t="s">
        <v>7</v>
      </c>
      <c r="B25" s="37">
        <v>0.77017999999999998</v>
      </c>
    </row>
    <row r="26" spans="1:2">
      <c r="A26" s="25" t="s">
        <v>5</v>
      </c>
      <c r="B26" s="37">
        <v>0.90888000000000002</v>
      </c>
    </row>
    <row r="27" spans="1:2">
      <c r="A27" s="25" t="s">
        <v>11</v>
      </c>
      <c r="B27" s="37">
        <v>1.08643</v>
      </c>
    </row>
    <row r="28" spans="1:2">
      <c r="A28" s="25" t="s">
        <v>9</v>
      </c>
      <c r="B28" s="37">
        <v>0.21065</v>
      </c>
    </row>
    <row r="29" spans="1:2">
      <c r="A29" s="25" t="s">
        <v>3</v>
      </c>
      <c r="B29" s="37">
        <v>1</v>
      </c>
    </row>
    <row r="31" spans="1:2" s="2" customFormat="1" ht="17.399999999999999">
      <c r="A31" s="30" t="s">
        <v>318</v>
      </c>
    </row>
    <row r="32" spans="1:2">
      <c r="A32" s="10" t="s">
        <v>165</v>
      </c>
    </row>
    <row r="33" spans="1:1">
      <c r="A33" s="25" t="s">
        <v>166</v>
      </c>
    </row>
    <row r="34" spans="1:1">
      <c r="A34" s="25" t="s">
        <v>167</v>
      </c>
    </row>
    <row r="35" spans="1:1">
      <c r="A35" s="25" t="s">
        <v>168</v>
      </c>
    </row>
    <row r="36" spans="1:1">
      <c r="A36" s="25" t="s">
        <v>169</v>
      </c>
    </row>
  </sheetData>
  <mergeCells count="4">
    <mergeCell ref="A1:C1"/>
    <mergeCell ref="A8:B8"/>
    <mergeCell ref="A16:B16"/>
    <mergeCell ref="A23:B23"/>
  </mergeCells>
  <dataValidations count="5">
    <dataValidation type="list" allowBlank="1" showInputMessage="1" showErrorMessage="1" sqref="A3">
      <formula1>$A$3:$A$6</formula1>
    </dataValidation>
    <dataValidation type="list" allowBlank="1" showInputMessage="1" showErrorMessage="1" sqref="A10:A14">
      <formula1>$A$10:$A$14</formula1>
    </dataValidation>
    <dataValidation type="list" allowBlank="1" showInputMessage="1" showErrorMessage="1" sqref="A25:A29">
      <formula1>$A$25:$A$29</formula1>
    </dataValidation>
    <dataValidation type="list" allowBlank="1" showInputMessage="1" showErrorMessage="1" sqref="A18:A21">
      <formula1>$A$18:$A$21</formula1>
    </dataValidation>
    <dataValidation type="list" allowBlank="1" showInputMessage="1" showErrorMessage="1" sqref="B18:B21">
      <formula1>$B$18:$B$21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05_Control_Dashboard</vt:lpstr>
      <vt:lpstr>04_EOR_Reconciliation</vt:lpstr>
      <vt:lpstr>03_Payment_Batch</vt:lpstr>
      <vt:lpstr>02_Validation_Engine</vt:lpstr>
      <vt:lpstr>01_Raw_Input</vt:lpstr>
      <vt:lpstr>EOR_Map</vt:lpstr>
      <vt:lpstr>Name_Master</vt:lpstr>
      <vt:lpstr>System_Master_Data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Waleed</cp:lastModifiedBy>
  <dcterms:created xsi:type="dcterms:W3CDTF">2026-02-25T17:33:50Z</dcterms:created>
  <dcterms:modified xsi:type="dcterms:W3CDTF">2026-02-28T19:48:19Z</dcterms:modified>
</cp:coreProperties>
</file>