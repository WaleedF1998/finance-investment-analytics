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aleed Portfolio\"/>
    </mc:Choice>
  </mc:AlternateContent>
  <xr:revisionPtr revIDLastSave="0" documentId="8_{3DA2D374-C044-427C-A654-DAEF9E71DD4D}" xr6:coauthVersionLast="47" xr6:coauthVersionMax="47" xr10:uidLastSave="{00000000-0000-0000-0000-000000000000}"/>
  <bookViews>
    <workbookView xWindow="11424" yWindow="0" windowWidth="11712" windowHeight="13776" xr2:uid="{28657072-EA62-45B6-9959-6307ADF907B2}"/>
  </bookViews>
  <sheets>
    <sheet name="Data" sheetId="1" r:id="rId1"/>
    <sheet name="Che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" i="1"/>
  <c r="J4" i="1"/>
  <c r="Q41" i="1"/>
  <c r="Q42" i="1"/>
  <c r="Q43" i="1"/>
  <c r="Q44" i="1"/>
  <c r="Q45" i="1"/>
  <c r="Q46" i="1"/>
  <c r="Q47" i="1"/>
  <c r="Q48" i="1"/>
  <c r="Q49" i="1"/>
  <c r="Q50" i="1"/>
  <c r="Q51" i="1"/>
  <c r="Q40" i="1"/>
  <c r="P51" i="1"/>
  <c r="P41" i="1"/>
  <c r="P42" i="1"/>
  <c r="P43" i="1"/>
  <c r="P44" i="1"/>
  <c r="P45" i="1"/>
  <c r="P46" i="1"/>
  <c r="P47" i="1"/>
  <c r="P48" i="1"/>
  <c r="P49" i="1"/>
  <c r="P50" i="1"/>
  <c r="P40" i="1"/>
  <c r="O41" i="1"/>
  <c r="O42" i="1"/>
  <c r="O43" i="1"/>
  <c r="O44" i="1"/>
  <c r="O45" i="1"/>
  <c r="O46" i="1"/>
  <c r="O47" i="1"/>
  <c r="O48" i="1"/>
  <c r="O49" i="1"/>
  <c r="O50" i="1"/>
  <c r="O51" i="1"/>
  <c r="O40" i="1"/>
  <c r="N40" i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M40" i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L40" i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4" i="1"/>
  <c r="I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4" i="1"/>
  <c r="H4" i="1" s="1"/>
  <c r="D4" i="1"/>
  <c r="D5" i="1"/>
  <c r="D6" i="1"/>
  <c r="D7" i="1"/>
  <c r="G7" i="1" s="1"/>
  <c r="D8" i="1"/>
  <c r="D9" i="1"/>
  <c r="D10" i="1"/>
  <c r="D11" i="1"/>
  <c r="D12" i="1"/>
  <c r="D13" i="1"/>
  <c r="D14" i="1"/>
  <c r="D15" i="1"/>
  <c r="D16" i="1"/>
  <c r="D17" i="1"/>
  <c r="D18" i="1"/>
  <c r="D19" i="1"/>
  <c r="G19" i="1" s="1"/>
  <c r="D20" i="1"/>
  <c r="D21" i="1"/>
  <c r="G21" i="1" s="1"/>
  <c r="D22" i="1"/>
  <c r="D23" i="1"/>
  <c r="D24" i="1"/>
  <c r="D25" i="1"/>
  <c r="D26" i="1"/>
  <c r="D27" i="1"/>
  <c r="D28" i="1"/>
  <c r="D29" i="1"/>
  <c r="G29" i="1" s="1"/>
  <c r="D30" i="1"/>
  <c r="D31" i="1"/>
  <c r="D32" i="1"/>
  <c r="D33" i="1"/>
  <c r="D34" i="1"/>
  <c r="D35" i="1"/>
  <c r="D36" i="1"/>
  <c r="D37" i="1"/>
  <c r="D38" i="1"/>
  <c r="D3" i="1"/>
  <c r="G34" i="1" l="1"/>
  <c r="G12" i="1"/>
  <c r="G28" i="1"/>
  <c r="G6" i="1"/>
  <c r="G37" i="1"/>
  <c r="G15" i="1"/>
  <c r="G23" i="1"/>
  <c r="S51" i="1"/>
  <c r="T50" i="1"/>
  <c r="R44" i="1"/>
  <c r="T43" i="1"/>
  <c r="R51" i="1"/>
  <c r="T51" i="1"/>
  <c r="S43" i="1"/>
  <c r="S50" i="1"/>
  <c r="R43" i="1"/>
  <c r="R50" i="1"/>
  <c r="T42" i="1"/>
  <c r="T49" i="1"/>
  <c r="S42" i="1"/>
  <c r="S49" i="1"/>
  <c r="R42" i="1"/>
  <c r="R49" i="1"/>
  <c r="T41" i="1"/>
  <c r="T48" i="1"/>
  <c r="S41" i="1"/>
  <c r="S48" i="1"/>
  <c r="R41" i="1"/>
  <c r="R48" i="1"/>
  <c r="T47" i="1"/>
  <c r="S47" i="1"/>
  <c r="R47" i="1"/>
  <c r="T46" i="1"/>
  <c r="S46" i="1"/>
  <c r="R46" i="1"/>
  <c r="T45" i="1"/>
  <c r="R40" i="1"/>
  <c r="S45" i="1"/>
  <c r="S40" i="1"/>
  <c r="R45" i="1"/>
  <c r="T40" i="1"/>
  <c r="T44" i="1"/>
  <c r="G18" i="1"/>
  <c r="S44" i="1"/>
  <c r="G32" i="1"/>
  <c r="G10" i="1"/>
  <c r="G27" i="1"/>
  <c r="G5" i="1"/>
  <c r="G25" i="1"/>
  <c r="G22" i="1"/>
  <c r="G17" i="1"/>
  <c r="G36" i="1"/>
  <c r="G14" i="1"/>
  <c r="G24" i="1"/>
  <c r="G20" i="1"/>
  <c r="G35" i="1"/>
  <c r="G13" i="1"/>
  <c r="G31" i="1"/>
  <c r="G9" i="1"/>
  <c r="J17" i="1"/>
  <c r="J16" i="1"/>
  <c r="G38" i="1"/>
  <c r="G16" i="1"/>
  <c r="J29" i="1"/>
  <c r="J28" i="1"/>
  <c r="J27" i="1"/>
  <c r="J38" i="1"/>
  <c r="J26" i="1"/>
  <c r="J25" i="1"/>
  <c r="J36" i="1"/>
  <c r="J35" i="1"/>
  <c r="J24" i="1"/>
  <c r="J23" i="1"/>
  <c r="J22" i="1"/>
  <c r="J21" i="1"/>
  <c r="J20" i="1"/>
  <c r="J19" i="1"/>
  <c r="G26" i="1"/>
  <c r="G4" i="1"/>
  <c r="J18" i="1"/>
  <c r="J37" i="1"/>
  <c r="J15" i="1"/>
  <c r="J14" i="1"/>
  <c r="J13" i="1"/>
  <c r="G11" i="1"/>
  <c r="G33" i="1"/>
  <c r="J7" i="1"/>
  <c r="J6" i="1"/>
  <c r="J5" i="1"/>
  <c r="V6" i="1"/>
  <c r="J12" i="1"/>
  <c r="J11" i="1"/>
  <c r="J10" i="1"/>
  <c r="J9" i="1"/>
  <c r="J8" i="1"/>
  <c r="J34" i="1"/>
  <c r="J33" i="1"/>
  <c r="J32" i="1"/>
  <c r="V7" i="1"/>
  <c r="J31" i="1"/>
  <c r="J30" i="1"/>
  <c r="G30" i="1"/>
  <c r="G8" i="1"/>
  <c r="V8" i="1" l="1"/>
</calcChain>
</file>

<file path=xl/sharedStrings.xml><?xml version="1.0" encoding="utf-8"?>
<sst xmlns="http://schemas.openxmlformats.org/spreadsheetml/2006/main" count="41" uniqueCount="41">
  <si>
    <t>Month</t>
  </si>
  <si>
    <t>Paying_Customers</t>
  </si>
  <si>
    <t>ARPU</t>
  </si>
  <si>
    <t>Revenue</t>
  </si>
  <si>
    <t>Δ Customers</t>
  </si>
  <si>
    <t>Δ ARPU</t>
  </si>
  <si>
    <t>Δ Revenue</t>
  </si>
  <si>
    <t>Check</t>
  </si>
  <si>
    <t>Revenue impact — Customers (Volume)</t>
  </si>
  <si>
    <t>Revenue impact — ARPU (Price)</t>
  </si>
  <si>
    <t>Driver Decomposition Summary</t>
  </si>
  <si>
    <t>Customer-driven impact</t>
  </si>
  <si>
    <t>----------------------------</t>
  </si>
  <si>
    <t>ARPU-driven impact</t>
  </si>
  <si>
    <t>Customer share</t>
  </si>
  <si>
    <t>Forecast</t>
  </si>
  <si>
    <t>Forecast Assumptions</t>
  </si>
  <si>
    <t>Scenario</t>
  </si>
  <si>
    <t>Base</t>
  </si>
  <si>
    <t>Upside</t>
  </si>
  <si>
    <t>Downside</t>
  </si>
  <si>
    <t>Monthly customer growth</t>
  </si>
  <si>
    <t>ARPU change month</t>
  </si>
  <si>
    <t>None</t>
  </si>
  <si>
    <t>ARPU change %</t>
  </si>
  <si>
    <t>Customers – Base</t>
  </si>
  <si>
    <t>Customers – Upside</t>
  </si>
  <si>
    <t>Customers – Downside</t>
  </si>
  <si>
    <t>ARPU – Base</t>
  </si>
  <si>
    <t>ARPU – Upside</t>
  </si>
  <si>
    <t>ARPU – Downside</t>
  </si>
  <si>
    <t>Revenue – Base</t>
  </si>
  <si>
    <t>Revenue – Upside</t>
  </si>
  <si>
    <t>Revenue – Downside</t>
  </si>
  <si>
    <t>Actuals</t>
  </si>
  <si>
    <t>Changes</t>
  </si>
  <si>
    <t>Driver Decomposition</t>
  </si>
  <si>
    <t>Forecast – Customers</t>
  </si>
  <si>
    <t>Forecast – ARPU</t>
  </si>
  <si>
    <t>Forecast – Revenue</t>
  </si>
  <si>
    <t>Total_Driver_Impact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</si>
</sst>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mmm\-yyyy"/>
    <numFmt numFmtId="172" formatCode="0.0%"/>
    <numFmt numFmtId="174" formatCode="_(* #,##0_);_(* \(#,##0\);_(* &quot;-&quot;??_);_(@_)"/>
    <numFmt numFmtId="179" formatCode="&quot;$&quot;#,##0"/>
    <numFmt numFmtId="180" formatCode="0.00_);[Red]\(0.00\)"/>
    <numFmt numFmtId="182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0" fillId="0" borderId="4" xfId="0" applyNumberFormat="1" applyBorder="1"/>
    <xf numFmtId="0" fontId="0" fillId="0" borderId="5" xfId="0" applyBorder="1"/>
    <xf numFmtId="9" fontId="0" fillId="0" borderId="6" xfId="0" applyNumberFormat="1" applyBorder="1"/>
    <xf numFmtId="17" fontId="3" fillId="0" borderId="0" xfId="0" applyNumberFormat="1" applyFont="1"/>
    <xf numFmtId="0" fontId="0" fillId="0" borderId="0" xfId="0" applyBorder="1"/>
    <xf numFmtId="0" fontId="2" fillId="0" borderId="0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0" xfId="0" applyFont="1" applyBorder="1"/>
    <xf numFmtId="0" fontId="2" fillId="0" borderId="11" xfId="0" applyFont="1" applyBorder="1"/>
    <xf numFmtId="0" fontId="0" fillId="0" borderId="12" xfId="0" applyBorder="1"/>
    <xf numFmtId="0" fontId="2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5" xfId="0" applyFont="1" applyFill="1" applyBorder="1" applyAlignment="1">
      <alignment horizontal="center" vertical="center"/>
    </xf>
    <xf numFmtId="174" fontId="0" fillId="0" borderId="0" xfId="1" applyNumberFormat="1" applyFont="1"/>
    <xf numFmtId="170" fontId="0" fillId="0" borderId="0" xfId="0" applyNumberFormat="1" applyAlignment="1">
      <alignment horizontal="left"/>
    </xf>
    <xf numFmtId="179" fontId="0" fillId="0" borderId="0" xfId="1" applyNumberFormat="1" applyFont="1"/>
    <xf numFmtId="2" fontId="0" fillId="0" borderId="0" xfId="1" applyNumberFormat="1" applyFont="1"/>
    <xf numFmtId="180" fontId="0" fillId="0" borderId="0" xfId="1" applyNumberFormat="1" applyFont="1"/>
    <xf numFmtId="38" fontId="0" fillId="0" borderId="0" xfId="1" applyNumberFormat="1" applyFont="1"/>
    <xf numFmtId="44" fontId="0" fillId="0" borderId="0" xfId="2" applyFont="1"/>
    <xf numFmtId="182" fontId="0" fillId="0" borderId="0" xfId="2" applyNumberFormat="1" applyFont="1"/>
    <xf numFmtId="172" fontId="0" fillId="0" borderId="0" xfId="0" applyNumberFormat="1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0" xfId="0" applyNumberFormat="1" applyBorder="1" applyAlignment="1">
      <alignment horizontal="center"/>
    </xf>
    <xf numFmtId="17" fontId="0" fillId="0" borderId="11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200" baseline="0">
                <a:latin typeface="Calibri" panose="020F0502020204030204" pitchFamily="34" charset="0"/>
              </a:rPr>
              <a:t>Revenue Trend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Data!$D$2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Data!$A$3:$A$38</c:f>
              <c:numCache>
                <c:formatCode>mmm\-yyyy</c:formatCode>
                <c:ptCount val="3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</c:numCache>
            </c:numRef>
          </c:cat>
          <c:val>
            <c:numRef>
              <c:f>Data!$D$3:$D$38</c:f>
              <c:numCache>
                <c:formatCode>_("$"* #,##0_);_("$"* \(#,##0\);_("$"* "-"??_);_(@_)</c:formatCode>
                <c:ptCount val="36"/>
                <c:pt idx="0">
                  <c:v>9360</c:v>
                </c:pt>
                <c:pt idx="1">
                  <c:v>9630</c:v>
                </c:pt>
                <c:pt idx="2">
                  <c:v>9864</c:v>
                </c:pt>
                <c:pt idx="3">
                  <c:v>10080</c:v>
                </c:pt>
                <c:pt idx="4">
                  <c:v>9990</c:v>
                </c:pt>
                <c:pt idx="5">
                  <c:v>10350</c:v>
                </c:pt>
                <c:pt idx="6">
                  <c:v>10620</c:v>
                </c:pt>
                <c:pt idx="7">
                  <c:v>10980</c:v>
                </c:pt>
                <c:pt idx="8">
                  <c:v>11304</c:v>
                </c:pt>
                <c:pt idx="9">
                  <c:v>11520</c:v>
                </c:pt>
                <c:pt idx="10">
                  <c:v>12772.5</c:v>
                </c:pt>
                <c:pt idx="11">
                  <c:v>13065</c:v>
                </c:pt>
                <c:pt idx="12">
                  <c:v>13357.5</c:v>
                </c:pt>
                <c:pt idx="13">
                  <c:v>13650</c:v>
                </c:pt>
                <c:pt idx="14">
                  <c:v>13845</c:v>
                </c:pt>
                <c:pt idx="15">
                  <c:v>14137.5</c:v>
                </c:pt>
                <c:pt idx="16">
                  <c:v>14040</c:v>
                </c:pt>
                <c:pt idx="17">
                  <c:v>14430</c:v>
                </c:pt>
                <c:pt idx="18">
                  <c:v>14722.5</c:v>
                </c:pt>
                <c:pt idx="19">
                  <c:v>15015</c:v>
                </c:pt>
                <c:pt idx="20">
                  <c:v>15405</c:v>
                </c:pt>
                <c:pt idx="21">
                  <c:v>15697.5</c:v>
                </c:pt>
                <c:pt idx="22">
                  <c:v>17220</c:v>
                </c:pt>
                <c:pt idx="23">
                  <c:v>17535</c:v>
                </c:pt>
                <c:pt idx="24">
                  <c:v>17745</c:v>
                </c:pt>
                <c:pt idx="25">
                  <c:v>17955</c:v>
                </c:pt>
                <c:pt idx="26">
                  <c:v>18270</c:v>
                </c:pt>
                <c:pt idx="27">
                  <c:v>18480</c:v>
                </c:pt>
                <c:pt idx="28">
                  <c:v>16910</c:v>
                </c:pt>
                <c:pt idx="29">
                  <c:v>19005</c:v>
                </c:pt>
                <c:pt idx="30">
                  <c:v>19215</c:v>
                </c:pt>
                <c:pt idx="31">
                  <c:v>19530</c:v>
                </c:pt>
                <c:pt idx="32">
                  <c:v>19740</c:v>
                </c:pt>
                <c:pt idx="33">
                  <c:v>20055</c:v>
                </c:pt>
                <c:pt idx="34">
                  <c:v>20265</c:v>
                </c:pt>
                <c:pt idx="35">
                  <c:v>20580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51-43BC-A44B-F66A5F83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777039"/>
        <c:axId val="2121384927"/>
      </c:lineChart>
      <c:dateAx>
        <c:axId val="2079777039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384927"/>
        <c:crosses val="autoZero"/>
        <c:auto val="1"/>
        <c:lblOffset val="100"/>
        <c:baseTimeUnit val="months"/>
      </c:dateAx>
      <c:valAx>
        <c:axId val="212138492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7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3810</xdr:rowOff>
    </xdr:from>
    <xdr:to>
      <xdr:col>10</xdr:col>
      <xdr:colOff>22860</xdr:colOff>
      <xdr:row>16</xdr:row>
      <xdr:rowOff>30480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6BC5B33-3B22-9C93-4211-5DD5F0746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567C-69AE-4F59-BDCF-89B03F4C6506}">
  <dimension ref="A1:X5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Y4" sqref="A4:Y15"/>
    </sheetView>
  </sheetViews>
  <sheetFormatPr defaultRowHeight="14.4" x14ac:dyDescent="0.3"/>
  <cols>
    <col min="1" max="1" width="8.77734375" bestFit="1" customWidth="1"/>
    <col min="2" max="2" width="15.5546875" bestFit="1" customWidth="1"/>
    <col min="3" max="3" width="6.6640625" bestFit="1" customWidth="1"/>
    <col min="4" max="4" width="11.109375" bestFit="1" customWidth="1"/>
    <col min="5" max="5" width="10.109375" bestFit="1" customWidth="1"/>
    <col min="6" max="6" width="7.109375" bestFit="1" customWidth="1"/>
    <col min="7" max="7" width="11.77734375" bestFit="1" customWidth="1"/>
    <col min="8" max="8" width="26.21875" bestFit="1" customWidth="1"/>
    <col min="9" max="9" width="21.6640625" bestFit="1" customWidth="1"/>
    <col min="10" max="10" width="9.44140625" bestFit="1" customWidth="1"/>
    <col min="11" max="11" width="9.44140625" customWidth="1"/>
    <col min="12" max="14" width="12" customWidth="1"/>
    <col min="15" max="15" width="11" customWidth="1"/>
    <col min="16" max="16" width="12.88671875" customWidth="1"/>
    <col min="17" max="17" width="15.21875" customWidth="1"/>
    <col min="18" max="20" width="19.33203125" customWidth="1"/>
    <col min="21" max="21" width="27.77734375" bestFit="1" customWidth="1"/>
  </cols>
  <sheetData>
    <row r="1" spans="1:24" x14ac:dyDescent="0.3">
      <c r="B1" s="19" t="s">
        <v>34</v>
      </c>
      <c r="C1" s="19"/>
      <c r="D1" s="19"/>
      <c r="E1" s="19" t="s">
        <v>35</v>
      </c>
      <c r="F1" s="19"/>
      <c r="G1" s="19"/>
      <c r="H1" s="19" t="s">
        <v>36</v>
      </c>
      <c r="I1" s="19"/>
      <c r="J1" s="19"/>
      <c r="K1" s="22"/>
      <c r="L1" s="19" t="s">
        <v>37</v>
      </c>
      <c r="M1" s="19"/>
      <c r="N1" s="19"/>
      <c r="O1" s="19" t="s">
        <v>38</v>
      </c>
      <c r="P1" s="19"/>
      <c r="Q1" s="19"/>
      <c r="R1" s="19" t="s">
        <v>39</v>
      </c>
      <c r="S1" s="19"/>
      <c r="T1" s="19"/>
    </row>
    <row r="2" spans="1:24" s="20" customFormat="1" ht="28.8" x14ac:dyDescent="0.3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8</v>
      </c>
      <c r="I2" s="21" t="s">
        <v>9</v>
      </c>
      <c r="J2" s="21" t="s">
        <v>40</v>
      </c>
      <c r="K2" s="21" t="s">
        <v>7</v>
      </c>
      <c r="L2" s="21" t="s">
        <v>25</v>
      </c>
      <c r="M2" s="21" t="s">
        <v>26</v>
      </c>
      <c r="N2" s="21" t="s">
        <v>27</v>
      </c>
      <c r="O2" s="21" t="s">
        <v>28</v>
      </c>
      <c r="P2" s="21" t="s">
        <v>29</v>
      </c>
      <c r="Q2" s="21" t="s">
        <v>30</v>
      </c>
      <c r="R2" s="21" t="s">
        <v>31</v>
      </c>
      <c r="S2" s="21" t="s">
        <v>32</v>
      </c>
      <c r="T2" s="21" t="s">
        <v>33</v>
      </c>
    </row>
    <row r="3" spans="1:24" x14ac:dyDescent="0.3">
      <c r="A3" s="24">
        <v>44927</v>
      </c>
      <c r="B3" s="23">
        <v>520</v>
      </c>
      <c r="C3" s="26">
        <v>18</v>
      </c>
      <c r="D3" s="30">
        <f>B3*C3</f>
        <v>9360</v>
      </c>
      <c r="E3" s="23"/>
      <c r="F3" s="27"/>
      <c r="G3" s="25"/>
      <c r="H3" s="23"/>
      <c r="I3" s="23"/>
      <c r="J3" s="23"/>
      <c r="K3" s="23"/>
    </row>
    <row r="4" spans="1:24" x14ac:dyDescent="0.3">
      <c r="A4" s="24">
        <v>44958</v>
      </c>
      <c r="B4" s="23">
        <v>535</v>
      </c>
      <c r="C4" s="26">
        <v>18</v>
      </c>
      <c r="D4" s="30">
        <f t="shared" ref="D4:D38" si="0">B4*C4</f>
        <v>9630</v>
      </c>
      <c r="E4" s="28">
        <f>B4-B3</f>
        <v>15</v>
      </c>
      <c r="F4" s="27">
        <f>C4-C3</f>
        <v>0</v>
      </c>
      <c r="G4" s="30">
        <f>D4-D3</f>
        <v>270</v>
      </c>
      <c r="H4" s="30">
        <f>E4*C3</f>
        <v>270</v>
      </c>
      <c r="I4" s="30">
        <f>F4*B4</f>
        <v>0</v>
      </c>
      <c r="J4" s="23">
        <f>H4+I4</f>
        <v>270</v>
      </c>
      <c r="K4" s="23">
        <f>ROUND(G4-J4,2)</f>
        <v>0</v>
      </c>
      <c r="U4" s="1" t="s">
        <v>10</v>
      </c>
      <c r="V4" s="2"/>
    </row>
    <row r="5" spans="1:24" x14ac:dyDescent="0.3">
      <c r="A5" s="24">
        <v>44986</v>
      </c>
      <c r="B5" s="23">
        <v>548</v>
      </c>
      <c r="C5" s="26">
        <v>18</v>
      </c>
      <c r="D5" s="30">
        <f t="shared" si="0"/>
        <v>9864</v>
      </c>
      <c r="E5" s="28">
        <f t="shared" ref="E5:E38" si="1">B5-B4</f>
        <v>13</v>
      </c>
      <c r="F5" s="27">
        <f t="shared" ref="F5:F38" si="2">C5-C4</f>
        <v>0</v>
      </c>
      <c r="G5" s="30">
        <f t="shared" ref="G5:G38" si="3">D5-D4</f>
        <v>234</v>
      </c>
      <c r="H5" s="30">
        <f t="shared" ref="H5:H38" si="4">E5*C4</f>
        <v>234</v>
      </c>
      <c r="I5" s="30">
        <f t="shared" ref="I5:I38" si="5">F5*B5</f>
        <v>0</v>
      </c>
      <c r="J5" s="23">
        <f t="shared" ref="J5:J38" si="6">H5+I5</f>
        <v>234</v>
      </c>
      <c r="K5" s="23">
        <f t="shared" ref="K5:K51" si="7">ROUND(G5-J5,2)</f>
        <v>0</v>
      </c>
      <c r="U5" s="3" t="s">
        <v>12</v>
      </c>
      <c r="V5" s="4"/>
    </row>
    <row r="6" spans="1:24" x14ac:dyDescent="0.3">
      <c r="A6" s="24">
        <v>45017</v>
      </c>
      <c r="B6" s="23">
        <v>560</v>
      </c>
      <c r="C6" s="26">
        <v>18</v>
      </c>
      <c r="D6" s="30">
        <f t="shared" si="0"/>
        <v>10080</v>
      </c>
      <c r="E6" s="28">
        <f t="shared" si="1"/>
        <v>12</v>
      </c>
      <c r="F6" s="27">
        <f t="shared" si="2"/>
        <v>0</v>
      </c>
      <c r="G6" s="30">
        <f t="shared" si="3"/>
        <v>216</v>
      </c>
      <c r="H6" s="30">
        <f t="shared" si="4"/>
        <v>216</v>
      </c>
      <c r="I6" s="30">
        <f t="shared" si="5"/>
        <v>0</v>
      </c>
      <c r="J6" s="23">
        <f t="shared" si="6"/>
        <v>216</v>
      </c>
      <c r="K6" s="23">
        <f t="shared" si="7"/>
        <v>0</v>
      </c>
      <c r="U6" s="3" t="s">
        <v>11</v>
      </c>
      <c r="V6" s="5">
        <f>SUM(H4:H40)</f>
        <v>8977.5</v>
      </c>
    </row>
    <row r="7" spans="1:24" x14ac:dyDescent="0.3">
      <c r="A7" s="24">
        <v>45047</v>
      </c>
      <c r="B7" s="23">
        <v>555</v>
      </c>
      <c r="C7" s="26">
        <v>18</v>
      </c>
      <c r="D7" s="30">
        <f t="shared" si="0"/>
        <v>9990</v>
      </c>
      <c r="E7" s="28">
        <f t="shared" si="1"/>
        <v>-5</v>
      </c>
      <c r="F7" s="27">
        <f t="shared" si="2"/>
        <v>0</v>
      </c>
      <c r="G7" s="30">
        <f t="shared" si="3"/>
        <v>-90</v>
      </c>
      <c r="H7" s="30">
        <f t="shared" si="4"/>
        <v>-90</v>
      </c>
      <c r="I7" s="30">
        <f t="shared" si="5"/>
        <v>0</v>
      </c>
      <c r="J7" s="23">
        <f t="shared" si="6"/>
        <v>-90</v>
      </c>
      <c r="K7" s="23">
        <f t="shared" si="7"/>
        <v>0</v>
      </c>
      <c r="U7" s="3" t="s">
        <v>13</v>
      </c>
      <c r="V7" s="5">
        <f>SUM(I4:I40)</f>
        <v>2242.5</v>
      </c>
    </row>
    <row r="8" spans="1:24" x14ac:dyDescent="0.3">
      <c r="A8" s="24">
        <v>45078</v>
      </c>
      <c r="B8" s="23">
        <v>575</v>
      </c>
      <c r="C8" s="26">
        <v>18</v>
      </c>
      <c r="D8" s="30">
        <f t="shared" si="0"/>
        <v>10350</v>
      </c>
      <c r="E8" s="28">
        <f t="shared" si="1"/>
        <v>20</v>
      </c>
      <c r="F8" s="27">
        <f t="shared" si="2"/>
        <v>0</v>
      </c>
      <c r="G8" s="30">
        <f t="shared" si="3"/>
        <v>360</v>
      </c>
      <c r="H8" s="30">
        <f t="shared" si="4"/>
        <v>360</v>
      </c>
      <c r="I8" s="30">
        <f t="shared" si="5"/>
        <v>0</v>
      </c>
      <c r="J8" s="23">
        <f t="shared" si="6"/>
        <v>360</v>
      </c>
      <c r="K8" s="23">
        <f t="shared" si="7"/>
        <v>0</v>
      </c>
      <c r="U8" s="6" t="s">
        <v>14</v>
      </c>
      <c r="V8" s="7">
        <f>V6 / (V6 + V7)</f>
        <v>0.80013368983957223</v>
      </c>
    </row>
    <row r="9" spans="1:24" x14ac:dyDescent="0.3">
      <c r="A9" s="24">
        <v>45108</v>
      </c>
      <c r="B9" s="23">
        <v>590</v>
      </c>
      <c r="C9" s="26">
        <v>18</v>
      </c>
      <c r="D9" s="30">
        <f t="shared" si="0"/>
        <v>10620</v>
      </c>
      <c r="E9" s="28">
        <f t="shared" si="1"/>
        <v>15</v>
      </c>
      <c r="F9" s="27">
        <f t="shared" si="2"/>
        <v>0</v>
      </c>
      <c r="G9" s="30">
        <f t="shared" si="3"/>
        <v>270</v>
      </c>
      <c r="H9" s="30">
        <f t="shared" si="4"/>
        <v>270</v>
      </c>
      <c r="I9" s="30">
        <f t="shared" si="5"/>
        <v>0</v>
      </c>
      <c r="J9" s="23">
        <f t="shared" si="6"/>
        <v>270</v>
      </c>
      <c r="K9" s="23">
        <f t="shared" si="7"/>
        <v>0</v>
      </c>
    </row>
    <row r="10" spans="1:24" x14ac:dyDescent="0.3">
      <c r="A10" s="24">
        <v>45139</v>
      </c>
      <c r="B10" s="23">
        <v>610</v>
      </c>
      <c r="C10" s="26">
        <v>18</v>
      </c>
      <c r="D10" s="30">
        <f t="shared" si="0"/>
        <v>10980</v>
      </c>
      <c r="E10" s="28">
        <f t="shared" si="1"/>
        <v>20</v>
      </c>
      <c r="F10" s="27">
        <f t="shared" si="2"/>
        <v>0</v>
      </c>
      <c r="G10" s="30">
        <f t="shared" si="3"/>
        <v>360</v>
      </c>
      <c r="H10" s="30">
        <f t="shared" si="4"/>
        <v>360</v>
      </c>
      <c r="I10" s="30">
        <f t="shared" si="5"/>
        <v>0</v>
      </c>
      <c r="J10" s="23">
        <f t="shared" si="6"/>
        <v>360</v>
      </c>
      <c r="K10" s="23">
        <f t="shared" si="7"/>
        <v>0</v>
      </c>
    </row>
    <row r="11" spans="1:24" x14ac:dyDescent="0.3">
      <c r="A11" s="24">
        <v>45170</v>
      </c>
      <c r="B11" s="23">
        <v>628</v>
      </c>
      <c r="C11" s="26">
        <v>18</v>
      </c>
      <c r="D11" s="30">
        <f t="shared" si="0"/>
        <v>11304</v>
      </c>
      <c r="E11" s="28">
        <f t="shared" si="1"/>
        <v>18</v>
      </c>
      <c r="F11" s="27">
        <f t="shared" si="2"/>
        <v>0</v>
      </c>
      <c r="G11" s="30">
        <f t="shared" si="3"/>
        <v>324</v>
      </c>
      <c r="H11" s="30">
        <f t="shared" si="4"/>
        <v>324</v>
      </c>
      <c r="I11" s="30">
        <f t="shared" si="5"/>
        <v>0</v>
      </c>
      <c r="J11" s="23">
        <f t="shared" si="6"/>
        <v>324</v>
      </c>
      <c r="K11" s="23">
        <f t="shared" si="7"/>
        <v>0</v>
      </c>
      <c r="U11" s="11" t="s">
        <v>16</v>
      </c>
      <c r="V11" s="12"/>
      <c r="W11" s="12"/>
      <c r="X11" s="13"/>
    </row>
    <row r="12" spans="1:24" x14ac:dyDescent="0.3">
      <c r="A12" s="24">
        <v>45200</v>
      </c>
      <c r="B12" s="23">
        <v>640</v>
      </c>
      <c r="C12" s="26">
        <v>18</v>
      </c>
      <c r="D12" s="30">
        <f t="shared" si="0"/>
        <v>11520</v>
      </c>
      <c r="E12" s="28">
        <f t="shared" si="1"/>
        <v>12</v>
      </c>
      <c r="F12" s="27">
        <f t="shared" si="2"/>
        <v>0</v>
      </c>
      <c r="G12" s="30">
        <f t="shared" si="3"/>
        <v>216</v>
      </c>
      <c r="H12" s="30">
        <f t="shared" si="4"/>
        <v>216</v>
      </c>
      <c r="I12" s="30">
        <f t="shared" si="5"/>
        <v>0</v>
      </c>
      <c r="J12" s="23">
        <f t="shared" si="6"/>
        <v>216</v>
      </c>
      <c r="K12" s="23">
        <f t="shared" si="7"/>
        <v>0</v>
      </c>
      <c r="U12" s="14"/>
      <c r="V12" s="9"/>
      <c r="W12" s="9"/>
      <c r="X12" s="15"/>
    </row>
    <row r="13" spans="1:24" x14ac:dyDescent="0.3">
      <c r="A13" s="24">
        <v>45231</v>
      </c>
      <c r="B13" s="23">
        <v>655</v>
      </c>
      <c r="C13" s="26">
        <v>19.5</v>
      </c>
      <c r="D13" s="30">
        <f t="shared" si="0"/>
        <v>12772.5</v>
      </c>
      <c r="E13" s="28">
        <f t="shared" si="1"/>
        <v>15</v>
      </c>
      <c r="F13" s="27">
        <f t="shared" si="2"/>
        <v>1.5</v>
      </c>
      <c r="G13" s="30">
        <f t="shared" si="3"/>
        <v>1252.5</v>
      </c>
      <c r="H13" s="30">
        <f t="shared" si="4"/>
        <v>270</v>
      </c>
      <c r="I13" s="30">
        <f t="shared" si="5"/>
        <v>982.5</v>
      </c>
      <c r="J13" s="23">
        <f t="shared" si="6"/>
        <v>1252.5</v>
      </c>
      <c r="K13" s="23">
        <f t="shared" si="7"/>
        <v>0</v>
      </c>
      <c r="U13" s="16" t="s">
        <v>17</v>
      </c>
      <c r="V13" s="10" t="s">
        <v>18</v>
      </c>
      <c r="W13" s="10" t="s">
        <v>19</v>
      </c>
      <c r="X13" s="17" t="s">
        <v>20</v>
      </c>
    </row>
    <row r="14" spans="1:24" x14ac:dyDescent="0.3">
      <c r="A14" s="24">
        <v>45261</v>
      </c>
      <c r="B14" s="23">
        <v>670</v>
      </c>
      <c r="C14" s="26">
        <v>19.5</v>
      </c>
      <c r="D14" s="30">
        <f t="shared" si="0"/>
        <v>13065</v>
      </c>
      <c r="E14" s="28">
        <f t="shared" si="1"/>
        <v>15</v>
      </c>
      <c r="F14" s="27">
        <f t="shared" si="2"/>
        <v>0</v>
      </c>
      <c r="G14" s="30">
        <f t="shared" si="3"/>
        <v>292.5</v>
      </c>
      <c r="H14" s="30">
        <f t="shared" si="4"/>
        <v>292.5</v>
      </c>
      <c r="I14" s="30">
        <f t="shared" si="5"/>
        <v>0</v>
      </c>
      <c r="J14" s="23">
        <f t="shared" si="6"/>
        <v>292.5</v>
      </c>
      <c r="K14" s="23">
        <f t="shared" si="7"/>
        <v>0</v>
      </c>
      <c r="U14" s="14" t="s">
        <v>21</v>
      </c>
      <c r="V14" s="31">
        <v>0.01</v>
      </c>
      <c r="W14" s="31">
        <v>1.4999999999999999E-2</v>
      </c>
      <c r="X14" s="32">
        <v>5.0000000000000001E-3</v>
      </c>
    </row>
    <row r="15" spans="1:24" x14ac:dyDescent="0.3">
      <c r="A15" s="24">
        <v>45292</v>
      </c>
      <c r="B15" s="23">
        <v>685</v>
      </c>
      <c r="C15" s="26">
        <v>19.5</v>
      </c>
      <c r="D15" s="30">
        <f t="shared" si="0"/>
        <v>13357.5</v>
      </c>
      <c r="E15" s="28">
        <f t="shared" si="1"/>
        <v>15</v>
      </c>
      <c r="F15" s="27">
        <f t="shared" si="2"/>
        <v>0</v>
      </c>
      <c r="G15" s="30">
        <f t="shared" si="3"/>
        <v>292.5</v>
      </c>
      <c r="H15" s="30">
        <f t="shared" si="4"/>
        <v>292.5</v>
      </c>
      <c r="I15" s="30">
        <f t="shared" si="5"/>
        <v>0</v>
      </c>
      <c r="J15" s="23">
        <f t="shared" si="6"/>
        <v>292.5</v>
      </c>
      <c r="K15" s="23">
        <f t="shared" si="7"/>
        <v>0</v>
      </c>
      <c r="U15" s="14" t="s">
        <v>22</v>
      </c>
      <c r="V15" s="33" t="s">
        <v>23</v>
      </c>
      <c r="W15" s="34">
        <v>46225</v>
      </c>
      <c r="X15" s="35">
        <v>46225</v>
      </c>
    </row>
    <row r="16" spans="1:24" x14ac:dyDescent="0.3">
      <c r="A16" s="24">
        <v>45323</v>
      </c>
      <c r="B16" s="23">
        <v>700</v>
      </c>
      <c r="C16" s="26">
        <v>19.5</v>
      </c>
      <c r="D16" s="30">
        <f t="shared" si="0"/>
        <v>13650</v>
      </c>
      <c r="E16" s="28">
        <f t="shared" si="1"/>
        <v>15</v>
      </c>
      <c r="F16" s="27">
        <f t="shared" si="2"/>
        <v>0</v>
      </c>
      <c r="G16" s="30">
        <f t="shared" si="3"/>
        <v>292.5</v>
      </c>
      <c r="H16" s="30">
        <f t="shared" si="4"/>
        <v>292.5</v>
      </c>
      <c r="I16" s="30">
        <f t="shared" si="5"/>
        <v>0</v>
      </c>
      <c r="J16" s="23">
        <f t="shared" si="6"/>
        <v>292.5</v>
      </c>
      <c r="K16" s="23">
        <f t="shared" si="7"/>
        <v>0</v>
      </c>
      <c r="U16" s="18" t="s">
        <v>24</v>
      </c>
      <c r="V16" s="36">
        <v>0</v>
      </c>
      <c r="W16" s="36">
        <v>0.05</v>
      </c>
      <c r="X16" s="37">
        <v>-0.05</v>
      </c>
    </row>
    <row r="17" spans="1:11" x14ac:dyDescent="0.3">
      <c r="A17" s="24">
        <v>45352</v>
      </c>
      <c r="B17" s="23">
        <v>710</v>
      </c>
      <c r="C17" s="26">
        <v>19.5</v>
      </c>
      <c r="D17" s="30">
        <f t="shared" si="0"/>
        <v>13845</v>
      </c>
      <c r="E17" s="28">
        <f t="shared" si="1"/>
        <v>10</v>
      </c>
      <c r="F17" s="27">
        <f t="shared" si="2"/>
        <v>0</v>
      </c>
      <c r="G17" s="30">
        <f t="shared" si="3"/>
        <v>195</v>
      </c>
      <c r="H17" s="30">
        <f t="shared" si="4"/>
        <v>195</v>
      </c>
      <c r="I17" s="30">
        <f t="shared" si="5"/>
        <v>0</v>
      </c>
      <c r="J17" s="23">
        <f t="shared" si="6"/>
        <v>195</v>
      </c>
      <c r="K17" s="23">
        <f t="shared" si="7"/>
        <v>0</v>
      </c>
    </row>
    <row r="18" spans="1:11" x14ac:dyDescent="0.3">
      <c r="A18" s="24">
        <v>45383</v>
      </c>
      <c r="B18" s="23">
        <v>725</v>
      </c>
      <c r="C18" s="26">
        <v>19.5</v>
      </c>
      <c r="D18" s="30">
        <f t="shared" si="0"/>
        <v>14137.5</v>
      </c>
      <c r="E18" s="28">
        <f t="shared" si="1"/>
        <v>15</v>
      </c>
      <c r="F18" s="27">
        <f t="shared" si="2"/>
        <v>0</v>
      </c>
      <c r="G18" s="30">
        <f t="shared" si="3"/>
        <v>292.5</v>
      </c>
      <c r="H18" s="30">
        <f t="shared" si="4"/>
        <v>292.5</v>
      </c>
      <c r="I18" s="30">
        <f t="shared" si="5"/>
        <v>0</v>
      </c>
      <c r="J18" s="23">
        <f t="shared" si="6"/>
        <v>292.5</v>
      </c>
      <c r="K18" s="23">
        <f t="shared" si="7"/>
        <v>0</v>
      </c>
    </row>
    <row r="19" spans="1:11" x14ac:dyDescent="0.3">
      <c r="A19" s="24">
        <v>45413</v>
      </c>
      <c r="B19" s="23">
        <v>720</v>
      </c>
      <c r="C19" s="26">
        <v>19.5</v>
      </c>
      <c r="D19" s="30">
        <f t="shared" si="0"/>
        <v>14040</v>
      </c>
      <c r="E19" s="28">
        <f t="shared" si="1"/>
        <v>-5</v>
      </c>
      <c r="F19" s="27">
        <f t="shared" si="2"/>
        <v>0</v>
      </c>
      <c r="G19" s="30">
        <f t="shared" si="3"/>
        <v>-97.5</v>
      </c>
      <c r="H19" s="30">
        <f t="shared" si="4"/>
        <v>-97.5</v>
      </c>
      <c r="I19" s="30">
        <f t="shared" si="5"/>
        <v>0</v>
      </c>
      <c r="J19" s="23">
        <f t="shared" si="6"/>
        <v>-97.5</v>
      </c>
      <c r="K19" s="23">
        <f t="shared" si="7"/>
        <v>0</v>
      </c>
    </row>
    <row r="20" spans="1:11" x14ac:dyDescent="0.3">
      <c r="A20" s="24">
        <v>45444</v>
      </c>
      <c r="B20" s="23">
        <v>740</v>
      </c>
      <c r="C20" s="26">
        <v>19.5</v>
      </c>
      <c r="D20" s="30">
        <f t="shared" si="0"/>
        <v>14430</v>
      </c>
      <c r="E20" s="28">
        <f t="shared" si="1"/>
        <v>20</v>
      </c>
      <c r="F20" s="27">
        <f t="shared" si="2"/>
        <v>0</v>
      </c>
      <c r="G20" s="30">
        <f t="shared" si="3"/>
        <v>390</v>
      </c>
      <c r="H20" s="30">
        <f t="shared" si="4"/>
        <v>390</v>
      </c>
      <c r="I20" s="30">
        <f t="shared" si="5"/>
        <v>0</v>
      </c>
      <c r="J20" s="23">
        <f t="shared" si="6"/>
        <v>390</v>
      </c>
      <c r="K20" s="23">
        <f t="shared" si="7"/>
        <v>0</v>
      </c>
    </row>
    <row r="21" spans="1:11" x14ac:dyDescent="0.3">
      <c r="A21" s="24">
        <v>45474</v>
      </c>
      <c r="B21" s="23">
        <v>755</v>
      </c>
      <c r="C21" s="26">
        <v>19.5</v>
      </c>
      <c r="D21" s="30">
        <f t="shared" si="0"/>
        <v>14722.5</v>
      </c>
      <c r="E21" s="28">
        <f t="shared" si="1"/>
        <v>15</v>
      </c>
      <c r="F21" s="27">
        <f t="shared" si="2"/>
        <v>0</v>
      </c>
      <c r="G21" s="30">
        <f t="shared" si="3"/>
        <v>292.5</v>
      </c>
      <c r="H21" s="30">
        <f t="shared" si="4"/>
        <v>292.5</v>
      </c>
      <c r="I21" s="30">
        <f t="shared" si="5"/>
        <v>0</v>
      </c>
      <c r="J21" s="23">
        <f t="shared" si="6"/>
        <v>292.5</v>
      </c>
      <c r="K21" s="23">
        <f t="shared" si="7"/>
        <v>0</v>
      </c>
    </row>
    <row r="22" spans="1:11" x14ac:dyDescent="0.3">
      <c r="A22" s="24">
        <v>45505</v>
      </c>
      <c r="B22" s="23">
        <v>770</v>
      </c>
      <c r="C22" s="26">
        <v>19.5</v>
      </c>
      <c r="D22" s="30">
        <f t="shared" si="0"/>
        <v>15015</v>
      </c>
      <c r="E22" s="28">
        <f t="shared" si="1"/>
        <v>15</v>
      </c>
      <c r="F22" s="27">
        <f t="shared" si="2"/>
        <v>0</v>
      </c>
      <c r="G22" s="30">
        <f t="shared" si="3"/>
        <v>292.5</v>
      </c>
      <c r="H22" s="30">
        <f t="shared" si="4"/>
        <v>292.5</v>
      </c>
      <c r="I22" s="30">
        <f t="shared" si="5"/>
        <v>0</v>
      </c>
      <c r="J22" s="23">
        <f t="shared" si="6"/>
        <v>292.5</v>
      </c>
      <c r="K22" s="23">
        <f t="shared" si="7"/>
        <v>0</v>
      </c>
    </row>
    <row r="23" spans="1:11" x14ac:dyDescent="0.3">
      <c r="A23" s="24">
        <v>45536</v>
      </c>
      <c r="B23" s="23">
        <v>790</v>
      </c>
      <c r="C23" s="26">
        <v>19.5</v>
      </c>
      <c r="D23" s="30">
        <f t="shared" si="0"/>
        <v>15405</v>
      </c>
      <c r="E23" s="28">
        <f t="shared" si="1"/>
        <v>20</v>
      </c>
      <c r="F23" s="27">
        <f t="shared" si="2"/>
        <v>0</v>
      </c>
      <c r="G23" s="30">
        <f t="shared" si="3"/>
        <v>390</v>
      </c>
      <c r="H23" s="30">
        <f t="shared" si="4"/>
        <v>390</v>
      </c>
      <c r="I23" s="30">
        <f t="shared" si="5"/>
        <v>0</v>
      </c>
      <c r="J23" s="23">
        <f t="shared" si="6"/>
        <v>390</v>
      </c>
      <c r="K23" s="23">
        <f t="shared" si="7"/>
        <v>0</v>
      </c>
    </row>
    <row r="24" spans="1:11" x14ac:dyDescent="0.3">
      <c r="A24" s="24">
        <v>45566</v>
      </c>
      <c r="B24" s="23">
        <v>805</v>
      </c>
      <c r="C24" s="26">
        <v>19.5</v>
      </c>
      <c r="D24" s="30">
        <f t="shared" si="0"/>
        <v>15697.5</v>
      </c>
      <c r="E24" s="28">
        <f t="shared" si="1"/>
        <v>15</v>
      </c>
      <c r="F24" s="27">
        <f t="shared" si="2"/>
        <v>0</v>
      </c>
      <c r="G24" s="30">
        <f t="shared" si="3"/>
        <v>292.5</v>
      </c>
      <c r="H24" s="30">
        <f t="shared" si="4"/>
        <v>292.5</v>
      </c>
      <c r="I24" s="30">
        <f t="shared" si="5"/>
        <v>0</v>
      </c>
      <c r="J24" s="23">
        <f t="shared" si="6"/>
        <v>292.5</v>
      </c>
      <c r="K24" s="23">
        <f t="shared" si="7"/>
        <v>0</v>
      </c>
    </row>
    <row r="25" spans="1:11" x14ac:dyDescent="0.3">
      <c r="A25" s="24">
        <v>45597</v>
      </c>
      <c r="B25" s="23">
        <v>820</v>
      </c>
      <c r="C25" s="26">
        <v>21</v>
      </c>
      <c r="D25" s="30">
        <f t="shared" si="0"/>
        <v>17220</v>
      </c>
      <c r="E25" s="28">
        <f t="shared" si="1"/>
        <v>15</v>
      </c>
      <c r="F25" s="27">
        <f t="shared" si="2"/>
        <v>1.5</v>
      </c>
      <c r="G25" s="30">
        <f t="shared" si="3"/>
        <v>1522.5</v>
      </c>
      <c r="H25" s="30">
        <f t="shared" si="4"/>
        <v>292.5</v>
      </c>
      <c r="I25" s="30">
        <f t="shared" si="5"/>
        <v>1230</v>
      </c>
      <c r="J25" s="23">
        <f t="shared" si="6"/>
        <v>1522.5</v>
      </c>
      <c r="K25" s="23">
        <f t="shared" si="7"/>
        <v>0</v>
      </c>
    </row>
    <row r="26" spans="1:11" x14ac:dyDescent="0.3">
      <c r="A26" s="24">
        <v>45627</v>
      </c>
      <c r="B26" s="23">
        <v>835</v>
      </c>
      <c r="C26" s="26">
        <v>21</v>
      </c>
      <c r="D26" s="30">
        <f t="shared" si="0"/>
        <v>17535</v>
      </c>
      <c r="E26" s="28">
        <f t="shared" si="1"/>
        <v>15</v>
      </c>
      <c r="F26" s="27">
        <f t="shared" si="2"/>
        <v>0</v>
      </c>
      <c r="G26" s="30">
        <f t="shared" si="3"/>
        <v>315</v>
      </c>
      <c r="H26" s="30">
        <f t="shared" si="4"/>
        <v>315</v>
      </c>
      <c r="I26" s="30">
        <f t="shared" si="5"/>
        <v>0</v>
      </c>
      <c r="J26" s="23">
        <f t="shared" si="6"/>
        <v>315</v>
      </c>
      <c r="K26" s="23">
        <f t="shared" si="7"/>
        <v>0</v>
      </c>
    </row>
    <row r="27" spans="1:11" x14ac:dyDescent="0.3">
      <c r="A27" s="24">
        <v>45658</v>
      </c>
      <c r="B27" s="23">
        <v>845</v>
      </c>
      <c r="C27" s="26">
        <v>21</v>
      </c>
      <c r="D27" s="30">
        <f t="shared" si="0"/>
        <v>17745</v>
      </c>
      <c r="E27" s="28">
        <f t="shared" si="1"/>
        <v>10</v>
      </c>
      <c r="F27" s="27">
        <f t="shared" si="2"/>
        <v>0</v>
      </c>
      <c r="G27" s="30">
        <f t="shared" si="3"/>
        <v>210</v>
      </c>
      <c r="H27" s="30">
        <f t="shared" si="4"/>
        <v>210</v>
      </c>
      <c r="I27" s="30">
        <f t="shared" si="5"/>
        <v>0</v>
      </c>
      <c r="J27" s="23">
        <f t="shared" si="6"/>
        <v>210</v>
      </c>
      <c r="K27" s="23">
        <f t="shared" si="7"/>
        <v>0</v>
      </c>
    </row>
    <row r="28" spans="1:11" x14ac:dyDescent="0.3">
      <c r="A28" s="24">
        <v>45689</v>
      </c>
      <c r="B28" s="23">
        <v>855</v>
      </c>
      <c r="C28" s="26">
        <v>21</v>
      </c>
      <c r="D28" s="30">
        <f t="shared" si="0"/>
        <v>17955</v>
      </c>
      <c r="E28" s="28">
        <f t="shared" si="1"/>
        <v>10</v>
      </c>
      <c r="F28" s="27">
        <f t="shared" si="2"/>
        <v>0</v>
      </c>
      <c r="G28" s="30">
        <f t="shared" si="3"/>
        <v>210</v>
      </c>
      <c r="H28" s="30">
        <f t="shared" si="4"/>
        <v>210</v>
      </c>
      <c r="I28" s="30">
        <f t="shared" si="5"/>
        <v>0</v>
      </c>
      <c r="J28" s="23">
        <f t="shared" si="6"/>
        <v>210</v>
      </c>
      <c r="K28" s="23">
        <f t="shared" si="7"/>
        <v>0</v>
      </c>
    </row>
    <row r="29" spans="1:11" x14ac:dyDescent="0.3">
      <c r="A29" s="24">
        <v>45717</v>
      </c>
      <c r="B29" s="23">
        <v>870</v>
      </c>
      <c r="C29" s="26">
        <v>21</v>
      </c>
      <c r="D29" s="30">
        <f t="shared" si="0"/>
        <v>18270</v>
      </c>
      <c r="E29" s="28">
        <f t="shared" si="1"/>
        <v>15</v>
      </c>
      <c r="F29" s="27">
        <f t="shared" si="2"/>
        <v>0</v>
      </c>
      <c r="G29" s="30">
        <f t="shared" si="3"/>
        <v>315</v>
      </c>
      <c r="H29" s="30">
        <f t="shared" si="4"/>
        <v>315</v>
      </c>
      <c r="I29" s="30">
        <f t="shared" si="5"/>
        <v>0</v>
      </c>
      <c r="J29" s="23">
        <f t="shared" si="6"/>
        <v>315</v>
      </c>
      <c r="K29" s="23">
        <f t="shared" si="7"/>
        <v>0</v>
      </c>
    </row>
    <row r="30" spans="1:11" x14ac:dyDescent="0.3">
      <c r="A30" s="24">
        <v>45748</v>
      </c>
      <c r="B30" s="23">
        <v>880</v>
      </c>
      <c r="C30" s="26">
        <v>21</v>
      </c>
      <c r="D30" s="30">
        <f t="shared" si="0"/>
        <v>18480</v>
      </c>
      <c r="E30" s="28">
        <f t="shared" si="1"/>
        <v>10</v>
      </c>
      <c r="F30" s="27">
        <f t="shared" si="2"/>
        <v>0</v>
      </c>
      <c r="G30" s="30">
        <f t="shared" si="3"/>
        <v>210</v>
      </c>
      <c r="H30" s="30">
        <f t="shared" si="4"/>
        <v>210</v>
      </c>
      <c r="I30" s="30">
        <f t="shared" si="5"/>
        <v>0</v>
      </c>
      <c r="J30" s="23">
        <f t="shared" si="6"/>
        <v>210</v>
      </c>
      <c r="K30" s="23">
        <f t="shared" si="7"/>
        <v>0</v>
      </c>
    </row>
    <row r="31" spans="1:11" x14ac:dyDescent="0.3">
      <c r="A31" s="24">
        <v>45778</v>
      </c>
      <c r="B31" s="23">
        <v>890</v>
      </c>
      <c r="C31" s="26">
        <v>19</v>
      </c>
      <c r="D31" s="30">
        <f t="shared" si="0"/>
        <v>16910</v>
      </c>
      <c r="E31" s="28">
        <f t="shared" si="1"/>
        <v>10</v>
      </c>
      <c r="F31" s="27">
        <f t="shared" si="2"/>
        <v>-2</v>
      </c>
      <c r="G31" s="30">
        <f t="shared" si="3"/>
        <v>-1570</v>
      </c>
      <c r="H31" s="30">
        <f t="shared" si="4"/>
        <v>210</v>
      </c>
      <c r="I31" s="30">
        <f t="shared" si="5"/>
        <v>-1780</v>
      </c>
      <c r="J31" s="23">
        <f t="shared" si="6"/>
        <v>-1570</v>
      </c>
      <c r="K31" s="23">
        <f t="shared" si="7"/>
        <v>0</v>
      </c>
    </row>
    <row r="32" spans="1:11" x14ac:dyDescent="0.3">
      <c r="A32" s="24">
        <v>45809</v>
      </c>
      <c r="B32" s="23">
        <v>905</v>
      </c>
      <c r="C32" s="26">
        <v>21</v>
      </c>
      <c r="D32" s="30">
        <f t="shared" si="0"/>
        <v>19005</v>
      </c>
      <c r="E32" s="28">
        <f t="shared" si="1"/>
        <v>15</v>
      </c>
      <c r="F32" s="27">
        <f t="shared" si="2"/>
        <v>2</v>
      </c>
      <c r="G32" s="30">
        <f t="shared" si="3"/>
        <v>2095</v>
      </c>
      <c r="H32" s="30">
        <f t="shared" si="4"/>
        <v>285</v>
      </c>
      <c r="I32" s="30">
        <f t="shared" si="5"/>
        <v>1810</v>
      </c>
      <c r="J32" s="23">
        <f t="shared" si="6"/>
        <v>2095</v>
      </c>
      <c r="K32" s="23">
        <f t="shared" si="7"/>
        <v>0</v>
      </c>
    </row>
    <row r="33" spans="1:20" x14ac:dyDescent="0.3">
      <c r="A33" s="24">
        <v>45839</v>
      </c>
      <c r="B33" s="23">
        <v>915</v>
      </c>
      <c r="C33" s="26">
        <v>21</v>
      </c>
      <c r="D33" s="30">
        <f t="shared" si="0"/>
        <v>19215</v>
      </c>
      <c r="E33" s="28">
        <f t="shared" si="1"/>
        <v>10</v>
      </c>
      <c r="F33" s="27">
        <f t="shared" si="2"/>
        <v>0</v>
      </c>
      <c r="G33" s="30">
        <f t="shared" si="3"/>
        <v>210</v>
      </c>
      <c r="H33" s="30">
        <f t="shared" si="4"/>
        <v>210</v>
      </c>
      <c r="I33" s="30">
        <f t="shared" si="5"/>
        <v>0</v>
      </c>
      <c r="J33" s="23">
        <f t="shared" si="6"/>
        <v>210</v>
      </c>
      <c r="K33" s="23">
        <f t="shared" si="7"/>
        <v>0</v>
      </c>
    </row>
    <row r="34" spans="1:20" x14ac:dyDescent="0.3">
      <c r="A34" s="24">
        <v>45870</v>
      </c>
      <c r="B34" s="23">
        <v>930</v>
      </c>
      <c r="C34" s="26">
        <v>21</v>
      </c>
      <c r="D34" s="30">
        <f t="shared" si="0"/>
        <v>19530</v>
      </c>
      <c r="E34" s="28">
        <f t="shared" si="1"/>
        <v>15</v>
      </c>
      <c r="F34" s="27">
        <f t="shared" si="2"/>
        <v>0</v>
      </c>
      <c r="G34" s="30">
        <f t="shared" si="3"/>
        <v>315</v>
      </c>
      <c r="H34" s="30">
        <f t="shared" si="4"/>
        <v>315</v>
      </c>
      <c r="I34" s="30">
        <f t="shared" si="5"/>
        <v>0</v>
      </c>
      <c r="J34" s="23">
        <f t="shared" si="6"/>
        <v>315</v>
      </c>
      <c r="K34" s="23">
        <f t="shared" si="7"/>
        <v>0</v>
      </c>
    </row>
    <row r="35" spans="1:20" x14ac:dyDescent="0.3">
      <c r="A35" s="24">
        <v>45901</v>
      </c>
      <c r="B35" s="23">
        <v>940</v>
      </c>
      <c r="C35" s="26">
        <v>21</v>
      </c>
      <c r="D35" s="30">
        <f t="shared" si="0"/>
        <v>19740</v>
      </c>
      <c r="E35" s="28">
        <f t="shared" si="1"/>
        <v>10</v>
      </c>
      <c r="F35" s="27">
        <f t="shared" si="2"/>
        <v>0</v>
      </c>
      <c r="G35" s="30">
        <f t="shared" si="3"/>
        <v>210</v>
      </c>
      <c r="H35" s="30">
        <f t="shared" si="4"/>
        <v>210</v>
      </c>
      <c r="I35" s="30">
        <f t="shared" si="5"/>
        <v>0</v>
      </c>
      <c r="J35" s="23">
        <f t="shared" si="6"/>
        <v>210</v>
      </c>
      <c r="K35" s="23">
        <f t="shared" si="7"/>
        <v>0</v>
      </c>
    </row>
    <row r="36" spans="1:20" x14ac:dyDescent="0.3">
      <c r="A36" s="24">
        <v>45931</v>
      </c>
      <c r="B36" s="23">
        <v>955</v>
      </c>
      <c r="C36" s="26">
        <v>21</v>
      </c>
      <c r="D36" s="30">
        <f t="shared" si="0"/>
        <v>20055</v>
      </c>
      <c r="E36" s="28">
        <f t="shared" si="1"/>
        <v>15</v>
      </c>
      <c r="F36" s="27">
        <f t="shared" si="2"/>
        <v>0</v>
      </c>
      <c r="G36" s="30">
        <f t="shared" si="3"/>
        <v>315</v>
      </c>
      <c r="H36" s="30">
        <f t="shared" si="4"/>
        <v>315</v>
      </c>
      <c r="I36" s="30">
        <f t="shared" si="5"/>
        <v>0</v>
      </c>
      <c r="J36" s="23">
        <f t="shared" si="6"/>
        <v>315</v>
      </c>
      <c r="K36" s="23">
        <f t="shared" si="7"/>
        <v>0</v>
      </c>
    </row>
    <row r="37" spans="1:20" x14ac:dyDescent="0.3">
      <c r="A37" s="24">
        <v>45962</v>
      </c>
      <c r="B37" s="23">
        <v>965</v>
      </c>
      <c r="C37" s="26">
        <v>21</v>
      </c>
      <c r="D37" s="30">
        <f t="shared" si="0"/>
        <v>20265</v>
      </c>
      <c r="E37" s="28">
        <f t="shared" si="1"/>
        <v>10</v>
      </c>
      <c r="F37" s="27">
        <f t="shared" si="2"/>
        <v>0</v>
      </c>
      <c r="G37" s="30">
        <f t="shared" si="3"/>
        <v>210</v>
      </c>
      <c r="H37" s="30">
        <f t="shared" si="4"/>
        <v>210</v>
      </c>
      <c r="I37" s="30">
        <f t="shared" si="5"/>
        <v>0</v>
      </c>
      <c r="J37" s="23">
        <f t="shared" si="6"/>
        <v>210</v>
      </c>
      <c r="K37" s="23">
        <f t="shared" si="7"/>
        <v>0</v>
      </c>
    </row>
    <row r="38" spans="1:20" x14ac:dyDescent="0.3">
      <c r="A38" s="24">
        <v>45992</v>
      </c>
      <c r="B38" s="23">
        <v>980</v>
      </c>
      <c r="C38" s="26">
        <v>21</v>
      </c>
      <c r="D38" s="30">
        <f t="shared" si="0"/>
        <v>20580</v>
      </c>
      <c r="E38" s="28">
        <f t="shared" si="1"/>
        <v>15</v>
      </c>
      <c r="F38" s="27">
        <f t="shared" si="2"/>
        <v>0</v>
      </c>
      <c r="G38" s="30">
        <f t="shared" si="3"/>
        <v>315</v>
      </c>
      <c r="H38" s="30">
        <f t="shared" si="4"/>
        <v>315</v>
      </c>
      <c r="I38" s="30">
        <f t="shared" si="5"/>
        <v>0</v>
      </c>
      <c r="J38" s="23">
        <f t="shared" si="6"/>
        <v>315</v>
      </c>
      <c r="K38" s="23">
        <f t="shared" si="7"/>
        <v>0</v>
      </c>
    </row>
    <row r="39" spans="1:20" x14ac:dyDescent="0.3">
      <c r="A39" s="8" t="s">
        <v>15</v>
      </c>
      <c r="K39" s="23"/>
    </row>
    <row r="40" spans="1:20" x14ac:dyDescent="0.3">
      <c r="A40" s="24">
        <v>46023</v>
      </c>
      <c r="K40" s="23"/>
      <c r="L40" s="23">
        <f>B38*(1+$V$14)</f>
        <v>989.8</v>
      </c>
      <c r="M40" s="23">
        <f>B38*(1+$W$14)</f>
        <v>994.69999999999993</v>
      </c>
      <c r="N40" s="23">
        <f>B38*(1+$X$14)</f>
        <v>984.89999999999986</v>
      </c>
      <c r="O40" s="29">
        <f>$C$38</f>
        <v>21</v>
      </c>
      <c r="P40" s="29">
        <f>IF($A40 &lt; DATE(2026,7,1), $C$38, $C$38 * (1 + $W$16))</f>
        <v>21</v>
      </c>
      <c r="Q40" s="29">
        <f>IF($A40 &lt; DATE(2026,7,1), $C$38, $C$38 * (1 + $X$16))</f>
        <v>21</v>
      </c>
      <c r="R40" s="30">
        <f xml:space="preserve"> L40 * O40</f>
        <v>20785.8</v>
      </c>
      <c r="S40" s="30">
        <f xml:space="preserve"> M40 * P40</f>
        <v>20888.699999999997</v>
      </c>
      <c r="T40" s="30">
        <f xml:space="preserve"> N40 * Q40</f>
        <v>20682.899999999998</v>
      </c>
    </row>
    <row r="41" spans="1:20" x14ac:dyDescent="0.3">
      <c r="A41" s="24">
        <v>46054</v>
      </c>
      <c r="K41" s="23"/>
      <c r="L41" s="23">
        <f>L40*(1+$V$14)</f>
        <v>999.69799999999998</v>
      </c>
      <c r="M41" s="23">
        <f>M40*(1+$W$14)</f>
        <v>1009.6204999999999</v>
      </c>
      <c r="N41" s="23">
        <f>N40*(1+$X$14)</f>
        <v>989.82449999999972</v>
      </c>
      <c r="O41" s="29">
        <f t="shared" ref="O41:O51" si="8">$C$38</f>
        <v>21</v>
      </c>
      <c r="P41" s="29">
        <f>IF($A41 &lt; DATE(2026,7,1), $C$38, $C$38 * (1 + $W$16))</f>
        <v>21</v>
      </c>
      <c r="Q41" s="29">
        <f>IF($A41 &lt; DATE(2026,7,1), $C$38, $C$38 * (1 + $X$16))</f>
        <v>21</v>
      </c>
      <c r="R41" s="30">
        <f xml:space="preserve"> L41 * O41</f>
        <v>20993.657999999999</v>
      </c>
      <c r="S41" s="30">
        <f xml:space="preserve"> M41 * P41</f>
        <v>21202.030499999997</v>
      </c>
      <c r="T41" s="30">
        <f xml:space="preserve"> N41 * Q41</f>
        <v>20786.314499999993</v>
      </c>
    </row>
    <row r="42" spans="1:20" x14ac:dyDescent="0.3">
      <c r="A42" s="24">
        <v>46082</v>
      </c>
      <c r="K42" s="23"/>
      <c r="L42" s="23">
        <f>L41*(1+$V$14)</f>
        <v>1009.69498</v>
      </c>
      <c r="M42" s="23">
        <f>M41*(1+$W$14)</f>
        <v>1024.7648074999997</v>
      </c>
      <c r="N42" s="23">
        <f t="shared" ref="N42:N51" si="9">N41*(1+$X$14)</f>
        <v>994.77362249999965</v>
      </c>
      <c r="O42" s="29">
        <f t="shared" si="8"/>
        <v>21</v>
      </c>
      <c r="P42" s="29">
        <f>IF($A42 &lt; DATE(2026,7,1), $C$38, $C$38 * (1 + $W$16))</f>
        <v>21</v>
      </c>
      <c r="Q42" s="29">
        <f>IF($A42 &lt; DATE(2026,7,1), $C$38, $C$38 * (1 + $X$16))</f>
        <v>21</v>
      </c>
      <c r="R42" s="30">
        <f xml:space="preserve"> L42 * O42</f>
        <v>21203.594580000001</v>
      </c>
      <c r="S42" s="30">
        <f xml:space="preserve"> M42 * P42</f>
        <v>21520.060957499994</v>
      </c>
      <c r="T42" s="30">
        <f xml:space="preserve"> N42 * Q42</f>
        <v>20890.246072499991</v>
      </c>
    </row>
    <row r="43" spans="1:20" x14ac:dyDescent="0.3">
      <c r="A43" s="24">
        <v>46113</v>
      </c>
      <c r="K43" s="23"/>
      <c r="L43" s="23">
        <f>L42*(1+$V$14)</f>
        <v>1019.7919298</v>
      </c>
      <c r="M43" s="23">
        <f>M42*(1+$W$14)</f>
        <v>1040.1362796124997</v>
      </c>
      <c r="N43" s="23">
        <f t="shared" si="9"/>
        <v>999.74749061249952</v>
      </c>
      <c r="O43" s="29">
        <f t="shared" si="8"/>
        <v>21</v>
      </c>
      <c r="P43" s="29">
        <f>IF($A43 &lt; DATE(2026,7,1), $C$38, $C$38 * (1 + $W$16))</f>
        <v>21</v>
      </c>
      <c r="Q43" s="29">
        <f>IF($A43 &lt; DATE(2026,7,1), $C$38, $C$38 * (1 + $X$16))</f>
        <v>21</v>
      </c>
      <c r="R43" s="30">
        <f xml:space="preserve"> L43 * O43</f>
        <v>21415.630525799999</v>
      </c>
      <c r="S43" s="30">
        <f xml:space="preserve"> M43 * P43</f>
        <v>21842.861871862493</v>
      </c>
      <c r="T43" s="30">
        <f xml:space="preserve"> N43 * Q43</f>
        <v>20994.697302862489</v>
      </c>
    </row>
    <row r="44" spans="1:20" x14ac:dyDescent="0.3">
      <c r="A44" s="24">
        <v>46143</v>
      </c>
      <c r="K44" s="23"/>
      <c r="L44" s="23">
        <f>L43*(1+$V$14)</f>
        <v>1029.9898490980001</v>
      </c>
      <c r="M44" s="23">
        <f>M43*(1+$W$14)</f>
        <v>1055.738323806687</v>
      </c>
      <c r="N44" s="23">
        <f t="shared" si="9"/>
        <v>1004.7462280655619</v>
      </c>
      <c r="O44" s="29">
        <f t="shared" si="8"/>
        <v>21</v>
      </c>
      <c r="P44" s="29">
        <f>IF($A44 &lt; DATE(2026,7,1), $C$38, $C$38 * (1 + $W$16))</f>
        <v>21</v>
      </c>
      <c r="Q44" s="29">
        <f>IF($A44 &lt; DATE(2026,7,1), $C$38, $C$38 * (1 + $X$16))</f>
        <v>21</v>
      </c>
      <c r="R44" s="30">
        <f xml:space="preserve"> L44 * O44</f>
        <v>21629.786831058002</v>
      </c>
      <c r="S44" s="30">
        <f xml:space="preserve"> M44 * P44</f>
        <v>22170.504799940427</v>
      </c>
      <c r="T44" s="30">
        <f xml:space="preserve"> N44 * Q44</f>
        <v>21099.6707893768</v>
      </c>
    </row>
    <row r="45" spans="1:20" x14ac:dyDescent="0.3">
      <c r="A45" s="24">
        <v>46174</v>
      </c>
      <c r="K45" s="23"/>
      <c r="L45" s="23">
        <f>L44*(1+$V$14)</f>
        <v>1040.2897475889802</v>
      </c>
      <c r="M45" s="23">
        <f>M44*(1+$W$14)</f>
        <v>1071.5743986637872</v>
      </c>
      <c r="N45" s="23">
        <f t="shared" si="9"/>
        <v>1009.7699592058897</v>
      </c>
      <c r="O45" s="29">
        <f t="shared" si="8"/>
        <v>21</v>
      </c>
      <c r="P45" s="29">
        <f>IF($A45 &lt; DATE(2026,7,1), $C$38, $C$38 * (1 + $W$16))</f>
        <v>21</v>
      </c>
      <c r="Q45" s="29">
        <f>IF($A45 &lt; DATE(2026,7,1), $C$38, $C$38 * (1 + $X$16))</f>
        <v>21</v>
      </c>
      <c r="R45" s="30">
        <f xml:space="preserve"> L45 * O45</f>
        <v>21846.084699368585</v>
      </c>
      <c r="S45" s="30">
        <f xml:space="preserve"> M45 * P45</f>
        <v>22503.06237193953</v>
      </c>
      <c r="T45" s="30">
        <f xml:space="preserve"> N45 * Q45</f>
        <v>21205.169143323685</v>
      </c>
    </row>
    <row r="46" spans="1:20" x14ac:dyDescent="0.3">
      <c r="A46" s="24">
        <v>46204</v>
      </c>
      <c r="K46" s="23"/>
      <c r="L46" s="23">
        <f>L45*(1+$V$14)</f>
        <v>1050.69264506487</v>
      </c>
      <c r="M46" s="23">
        <f>M45*(1+$W$14)</f>
        <v>1087.6480146437439</v>
      </c>
      <c r="N46" s="23">
        <f t="shared" si="9"/>
        <v>1014.818809001919</v>
      </c>
      <c r="O46" s="29">
        <f t="shared" si="8"/>
        <v>21</v>
      </c>
      <c r="P46" s="29">
        <f>IF($A46 &lt; DATE(2026,7,1), $C$38, $C$38 * (1 + $W$16))</f>
        <v>22.05</v>
      </c>
      <c r="Q46" s="29">
        <f>IF($A46 &lt; DATE(2026,7,1), $C$38, $C$38 * (1 + $X$16))</f>
        <v>19.95</v>
      </c>
      <c r="R46" s="30">
        <f xml:space="preserve"> L46 * O46</f>
        <v>22064.545546362271</v>
      </c>
      <c r="S46" s="30">
        <f xml:space="preserve"> M46 * P46</f>
        <v>23982.638722894553</v>
      </c>
      <c r="T46" s="30">
        <f xml:space="preserve"> N46 * Q46</f>
        <v>20245.635239588282</v>
      </c>
    </row>
    <row r="47" spans="1:20" x14ac:dyDescent="0.3">
      <c r="A47" s="24">
        <v>46235</v>
      </c>
      <c r="K47" s="23"/>
      <c r="L47" s="23">
        <f>L46*(1+$V$14)</f>
        <v>1061.1995715155188</v>
      </c>
      <c r="M47" s="23">
        <f>M46*(1+$W$14)</f>
        <v>1103.9627348633999</v>
      </c>
      <c r="N47" s="23">
        <f t="shared" si="9"/>
        <v>1019.8929030469285</v>
      </c>
      <c r="O47" s="29">
        <f t="shared" si="8"/>
        <v>21</v>
      </c>
      <c r="P47" s="29">
        <f>IF($A47 &lt; DATE(2026,7,1), $C$38, $C$38 * (1 + $W$16))</f>
        <v>22.05</v>
      </c>
      <c r="Q47" s="29">
        <f>IF($A47 &lt; DATE(2026,7,1), $C$38, $C$38 * (1 + $X$16))</f>
        <v>19.95</v>
      </c>
      <c r="R47" s="30">
        <f xml:space="preserve"> L47 * O47</f>
        <v>22285.191001825893</v>
      </c>
      <c r="S47" s="30">
        <f xml:space="preserve"> M47 * P47</f>
        <v>24342.378303737969</v>
      </c>
      <c r="T47" s="30">
        <f xml:space="preserve"> N47 * Q47</f>
        <v>20346.863415786222</v>
      </c>
    </row>
    <row r="48" spans="1:20" x14ac:dyDescent="0.3">
      <c r="A48" s="24">
        <v>46266</v>
      </c>
      <c r="K48" s="23"/>
      <c r="L48" s="23">
        <f>L47*(1+$V$14)</f>
        <v>1071.811567230674</v>
      </c>
      <c r="M48" s="23">
        <f>M47*(1+$W$14)</f>
        <v>1120.5221758863509</v>
      </c>
      <c r="N48" s="23">
        <f t="shared" si="9"/>
        <v>1024.9923675621631</v>
      </c>
      <c r="O48" s="29">
        <f t="shared" si="8"/>
        <v>21</v>
      </c>
      <c r="P48" s="29">
        <f>IF($A48 &lt; DATE(2026,7,1), $C$38, $C$38 * (1 + $W$16))</f>
        <v>22.05</v>
      </c>
      <c r="Q48" s="29">
        <f>IF($A48 &lt; DATE(2026,7,1), $C$38, $C$38 * (1 + $X$16))</f>
        <v>19.95</v>
      </c>
      <c r="R48" s="30">
        <f xml:space="preserve"> L48 * O48</f>
        <v>22508.042911844153</v>
      </c>
      <c r="S48" s="30">
        <f xml:space="preserve"> M48 * P48</f>
        <v>24707.513978294039</v>
      </c>
      <c r="T48" s="30">
        <f xml:space="preserve"> N48 * Q48</f>
        <v>20448.597732865153</v>
      </c>
    </row>
    <row r="49" spans="1:20" x14ac:dyDescent="0.3">
      <c r="A49" s="24">
        <v>46296</v>
      </c>
      <c r="K49" s="23"/>
      <c r="L49" s="23">
        <f>L48*(1+$V$14)</f>
        <v>1082.5296829029808</v>
      </c>
      <c r="M49" s="23">
        <f>M48*(1+$W$14)</f>
        <v>1137.330008524646</v>
      </c>
      <c r="N49" s="23">
        <f t="shared" si="9"/>
        <v>1030.1173293999739</v>
      </c>
      <c r="O49" s="29">
        <f t="shared" si="8"/>
        <v>21</v>
      </c>
      <c r="P49" s="29">
        <f>IF($A49 &lt; DATE(2026,7,1), $C$38, $C$38 * (1 + $W$16))</f>
        <v>22.05</v>
      </c>
      <c r="Q49" s="29">
        <f>IF($A49 &lt; DATE(2026,7,1), $C$38, $C$38 * (1 + $X$16))</f>
        <v>19.95</v>
      </c>
      <c r="R49" s="30">
        <f xml:space="preserve"> L49 * O49</f>
        <v>22733.123340962597</v>
      </c>
      <c r="S49" s="30">
        <f xml:space="preserve"> M49 * P49</f>
        <v>25078.126687968444</v>
      </c>
      <c r="T49" s="30">
        <f xml:space="preserve"> N49 * Q49</f>
        <v>20550.840721529479</v>
      </c>
    </row>
    <row r="50" spans="1:20" x14ac:dyDescent="0.3">
      <c r="A50" s="24">
        <v>46327</v>
      </c>
      <c r="K50" s="23"/>
      <c r="L50" s="23">
        <f>L49*(1+$V$14)</f>
        <v>1093.3549797320106</v>
      </c>
      <c r="M50" s="23">
        <f>M49*(1+$W$14)</f>
        <v>1154.3899586525156</v>
      </c>
      <c r="N50" s="23">
        <f t="shared" si="9"/>
        <v>1035.2679160469736</v>
      </c>
      <c r="O50" s="29">
        <f t="shared" si="8"/>
        <v>21</v>
      </c>
      <c r="P50" s="29">
        <f>IF($A50 &lt; DATE(2026,7,1), $C$38, $C$38 * (1 + $W$16))</f>
        <v>22.05</v>
      </c>
      <c r="Q50" s="29">
        <f>IF($A50 &lt; DATE(2026,7,1), $C$38, $C$38 * (1 + $X$16))</f>
        <v>19.95</v>
      </c>
      <c r="R50" s="30">
        <f xml:space="preserve"> L50 * O50</f>
        <v>22960.454574372223</v>
      </c>
      <c r="S50" s="30">
        <f xml:space="preserve"> M50 * P50</f>
        <v>25454.298588287969</v>
      </c>
      <c r="T50" s="30">
        <f xml:space="preserve"> N50 * Q50</f>
        <v>20653.594925137124</v>
      </c>
    </row>
    <row r="51" spans="1:20" x14ac:dyDescent="0.3">
      <c r="A51" s="24">
        <v>46357</v>
      </c>
      <c r="K51" s="23"/>
      <c r="L51" s="23">
        <f>L50*(1+$V$14)</f>
        <v>1104.2885295293308</v>
      </c>
      <c r="M51" s="23">
        <f>M50*(1+$W$14)</f>
        <v>1171.7058080323031</v>
      </c>
      <c r="N51" s="23">
        <f t="shared" si="9"/>
        <v>1040.4442556272083</v>
      </c>
      <c r="O51" s="29">
        <f t="shared" si="8"/>
        <v>21</v>
      </c>
      <c r="P51" s="29">
        <f>IF($A51 &lt; DATE(2026,7,1), $C$38, $C$38 * (1 + $W$16))</f>
        <v>22.05</v>
      </c>
      <c r="Q51" s="29">
        <f>IF($A51 &lt; DATE(2026,7,1), $C$38, $C$38 * (1 + $X$16))</f>
        <v>19.95</v>
      </c>
      <c r="R51" s="30">
        <f xml:space="preserve"> L51 * O51</f>
        <v>23190.059120115948</v>
      </c>
      <c r="S51" s="30">
        <f xml:space="preserve"> M51 * P51</f>
        <v>25836.113067112285</v>
      </c>
      <c r="T51" s="30">
        <f xml:space="preserve"> N51 * Q51</f>
        <v>20756.862899762808</v>
      </c>
    </row>
  </sheetData>
  <mergeCells count="6">
    <mergeCell ref="B1:D1"/>
    <mergeCell ref="E1:G1"/>
    <mergeCell ref="H1:J1"/>
    <mergeCell ref="L1:N1"/>
    <mergeCell ref="O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F36D-EFE2-45F2-9915-A414025A0B2C}">
  <dimension ref="A1"/>
  <sheetViews>
    <sheetView workbookViewId="0">
      <selection activeCell="C20" sqref="C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Farghal</dc:creator>
  <cp:lastModifiedBy>Waleed Farghal</cp:lastModifiedBy>
  <dcterms:created xsi:type="dcterms:W3CDTF">2026-01-24T15:25:47Z</dcterms:created>
  <dcterms:modified xsi:type="dcterms:W3CDTF">2026-01-24T18:54:15Z</dcterms:modified>
</cp:coreProperties>
</file>